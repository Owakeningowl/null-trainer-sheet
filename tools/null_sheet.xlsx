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x" sheetId="1" r:id="rId5"/>
    <sheet state="visible" name="Sprites" sheetId="2" r:id="rId6"/>
    <sheet state="visible" name="Roxanne Split" sheetId="3" r:id="rId7"/>
    <sheet state="visible" name="Brawly Split" sheetId="4" r:id="rId8"/>
    <sheet state="visible" name="Wattson Split" sheetId="5" r:id="rId9"/>
    <sheet state="visible" name="Norman Split" sheetId="6" r:id="rId10"/>
    <sheet state="visible" name="Flannery Split" sheetId="7" r:id="rId11"/>
    <sheet state="visible" name="Winona Split" sheetId="8" r:id="rId12"/>
    <sheet state="visible" name="Tate&amp;Liza Split" sheetId="9" r:id="rId13"/>
    <sheet state="visible" name="Steven Split" sheetId="10" r:id="rId14"/>
    <sheet state="visible" name="Victory Road Split" sheetId="11" r:id="rId15"/>
    <sheet state="visible" name="Pokémon Leagu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7">
      <text>
        <t xml:space="preserve">Start of Gauntlet</t>
      </text>
    </comment>
    <comment authorId="0" ref="I15">
      <text>
        <t xml:space="preserve">Randomly generated Teams in this section. Each Slot has its own pool. Refer to the calculator for more information.</t>
      </text>
    </comment>
    <comment authorId="0" ref="I139">
      <text>
        <t xml:space="preserve">End of Gauntlet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6">
      <text>
        <t xml:space="preserve">Consecutive Battle with Hiker Devan</t>
      </text>
    </comment>
    <comment authorId="0" ref="I3">
      <text>
        <t xml:space="preserve">Route 116 Trainers can be done before Roxanne (Good Luck in that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4">
      <text>
        <t xml:space="preserve">Permanent Snow</t>
      </text>
    </comment>
    <comment authorId="0" ref="I70">
      <text>
        <t xml:space="preserve">Consecutive Battle with Team Aqua Elite Grunt</t>
      </text>
    </comment>
    <comment authorId="0" ref="I228">
      <text>
        <t xml:space="preserve">+2 in every main stat</t>
      </text>
    </comment>
    <comment authorId="0" ref="I3">
      <text>
        <t xml:space="preserve">Start of Gauntlet</t>
      </text>
    </comment>
    <comment authorId="0" ref="I115">
      <text>
        <t xml:space="preserve">Permanent Hail</t>
      </text>
    </comment>
    <comment authorId="0" ref="I126">
      <text>
        <t xml:space="preserve">Permanent Hail</t>
      </text>
    </comment>
    <comment authorId="0" ref="I93">
      <text>
        <t xml:space="preserve">Permanent Snow</t>
      </text>
    </comment>
    <comment authorId="0" ref="I58">
      <text>
        <t xml:space="preserve">End of Gauntlet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6">
      <text>
        <t xml:space="preserve">Start of Gauntlet</t>
      </text>
    </comment>
    <comment authorId="0" ref="I147">
      <text>
        <t xml:space="preserve">Consecutive Battle with Pokéfan Kaleb</t>
      </text>
    </comment>
    <comment authorId="0" ref="I271">
      <text>
        <t xml:space="preserve">End of Gauntlet. 
Typhlosion is predamaged to 61 HP and Primarina is predamaged to 153 HP.</t>
      </text>
    </comment>
    <comment authorId="0" ref="I351">
      <text>
        <t xml:space="preserve">Refer to the NormanGymLayout.png in the Drive for the exact Layout</t>
      </text>
    </comment>
    <comment authorId="0" ref="I238">
      <text>
        <t xml:space="preserve">Decision between Rich Boy Dawson and Lady Sarah</t>
      </text>
    </comment>
    <comment authorId="0" ref="I317">
      <text>
        <t xml:space="preserve">Consecutive Battle with Battle Girl Lilith</t>
      </text>
    </comment>
    <comment authorId="0" ref="I428">
      <text>
        <t xml:space="preserve">Inverse Battle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93">
      <text>
        <t xml:space="preserve">+1 Atk and +1 SpAtk</t>
      </text>
    </comment>
    <comment authorId="0" ref="I360">
      <text>
        <t xml:space="preserve">Darmanitan is predamaged to 126 HP.</t>
      </text>
    </comment>
    <comment authorId="0" ref="I438">
      <text>
        <t xml:space="preserve">End of Gauntlet</t>
      </text>
    </comment>
    <comment authorId="0" ref="I325">
      <text>
        <t xml:space="preserve">End of Gauntlet</t>
      </text>
    </comment>
    <comment authorId="0" ref="I36">
      <text>
        <t xml:space="preserve">Automatic Heal for non-fainted Pokemon</t>
      </text>
    </comment>
    <comment authorId="0" ref="I3">
      <text>
        <t xml:space="preserve">Consecutive battles from Victor to Vicky.</t>
      </text>
    </comment>
    <comment authorId="0" ref="I258">
      <text>
        <t xml:space="preserve">Start of Gauntlet</t>
      </text>
    </comment>
    <comment authorId="0" ref="I416">
      <text>
        <t xml:space="preserve">Start of Gauntlet</t>
      </text>
    </comment>
    <comment authorId="0" ref="I47">
      <text>
        <t xml:space="preserve">Permanent Sandstorm starts here and ends after Camper Tanjiro.</t>
      </text>
    </comment>
    <comment authorId="0" ref="I91">
      <text>
        <t xml:space="preserve">Consecutive Battle with Picnicker Celia</t>
      </text>
    </comment>
    <comment authorId="0" ref="I203">
      <text>
        <t xml:space="preserve">Permanent Sun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5">
      <text>
        <t xml:space="preserve">Consecutive Battle with Bird Keeper Perry</t>
      </text>
    </comment>
    <comment authorId="0" ref="I328">
      <text>
        <t xml:space="preserve">Permanent Rain + Electric Terrain</t>
      </text>
    </comment>
    <comment authorId="0" ref="I472">
      <text>
        <t xml:space="preserve">Decision to fight Winona as a Single or Double Battle. Can also fight each Format once with the same Team for a Weakness Policy</t>
      </text>
    </comment>
    <comment authorId="0" ref="I372">
      <text>
        <t xml:space="preserve">Rain + Electric Terrain starts here and ends after Ninja Boy Hideo</t>
      </text>
    </comment>
    <comment authorId="0" ref="I339">
      <text>
        <t xml:space="preserve">Permanent Rain + Grassy Terrain</t>
      </text>
    </comment>
    <comment authorId="0" ref="I128">
      <text>
        <t xml:space="preserve">Rain + Grassy Terrain starts here and ends after Cooltrainer Chape. 
Bug Maniac Taylor until Fisherman Noxie are optional Battles for extra resources (See Item Doc)</t>
      </text>
    </comment>
    <comment authorId="0" ref="I15">
      <text>
        <t xml:space="preserve">Can be fought before Fisherman Ordeaux.</t>
      </text>
    </comment>
    <comment authorId="0" ref="I238">
      <text>
        <t xml:space="preserve">Torkoal is predamaged to 52 HP.</t>
      </text>
    </comment>
    <comment authorId="0" ref="I350">
      <text>
        <t xml:space="preserve">Permanent Sandstorm + Electric Terrain</t>
      </text>
    </comment>
    <comment authorId="0" ref="I317">
      <text>
        <t xml:space="preserve">Permanent Sun + Grassy Terrain</t>
      </text>
    </comment>
    <comment authorId="0" ref="I428">
      <text>
        <t xml:space="preserve">Can fight Ranger Frank Josh first instead.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92">
      <text>
        <t xml:space="preserve">Permanent Misfortune (Quick Claw and Focus Band always activate, moves with accuracies under 100 will always miss) starts here and ends after Team Magma Elite Grunt.</t>
      </text>
    </comment>
    <comment authorId="0" ref="I103">
      <text>
        <t xml:space="preserve">Quaquaval is predamaged to 10 HP and Simisear is predamaged to 114 HP</t>
      </text>
    </comment>
    <comment authorId="0" ref="I3">
      <text>
        <t xml:space="preserve">+2 in every Stat except Accuracy.
Stats and Nature are random.
Bag is disabled during this Wild Battle.
Has smart AI.</t>
      </text>
    </comment>
    <comment authorId="0" ref="I514">
      <text>
        <t xml:space="preserve">Permanent Sandstorm</t>
      </text>
    </comment>
    <comment authorId="0" ref="I447">
      <text>
        <t xml:space="preserve">Permanent Sun.</t>
      </text>
    </comment>
    <comment authorId="0" ref="I572">
      <text>
        <t xml:space="preserve">Permanent Psychic Terrain. Ambipom is predamaged to 1 HP.</t>
      </text>
    </comment>
    <comment authorId="0" ref="I314">
      <text>
        <t xml:space="preserve">+1 Def, SpDef and Speed</t>
      </text>
    </comment>
    <comment authorId="0" ref="I281">
      <text>
        <t xml:space="preserve">Permanent Haunt (Mean Look + Grudge) starts here and ends after Team Aqua Leader Archie. Dark-Types can switch out.</t>
      </text>
    </comment>
    <comment authorId="0" ref="I248">
      <text>
        <t xml:space="preserve">End of Gauntlet.
Team is exact copy of Player Team.
Heals before fight.</t>
      </text>
    </comment>
    <comment authorId="0" ref="I149">
      <text>
        <t xml:space="preserve">Permanent Misty Terrain starts here and ends after Team Aqua Grunt #2</t>
      </text>
    </comment>
    <comment authorId="0" ref="I560">
      <text>
        <t xml:space="preserve">Guards Shoal Cave</t>
      </text>
    </comment>
    <comment authorId="0" ref="I270">
      <text>
        <t xml:space="preserve">Greninja starts in Ash form</t>
      </text>
    </comment>
    <comment authorId="0" ref="I525">
      <text>
        <t xml:space="preserve">Permanent Rain</t>
      </text>
    </comment>
    <comment authorId="0" ref="I171">
      <text>
        <t xml:space="preserve">Start of Gauntlet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28">
      <text>
        <t xml:space="preserve">Permanent Whirlpool starts here and ends after Cooltrainer Bazzo. Water-Types can switch out. Rapid Spin does not remove it. 
Trainers can be reached by going straight down from Pacifidlog Town.</t>
      </text>
    </comment>
    <comment authorId="0" ref="I294">
      <text>
        <t xml:space="preserve">Permanent Tailwind starts here and ends after Swimmer Susie.</t>
      </text>
    </comment>
    <comment authorId="0" ref="I36">
      <text>
        <t xml:space="preserve">Consecutive Battle with Team Magma Grunts #5 and #6</t>
      </text>
    </comment>
    <comment authorId="0" ref="I260">
      <text>
        <t xml:space="preserve">Permanent Rain</t>
      </text>
    </comment>
    <comment authorId="0" ref="I452">
      <text>
        <t xml:space="preserve">Permanent Electric Terrain</t>
      </text>
    </comment>
    <comment authorId="0" ref="I3">
      <text>
        <t xml:space="preserve">Blacephalon is predamaged to 160 HP.</t>
      </text>
    </comment>
    <comment authorId="0" ref="I226">
      <text>
        <t xml:space="preserve">Permanent Rain</t>
      </text>
    </comment>
    <comment authorId="0" ref="I386">
      <text>
        <t xml:space="preserve">From here until after Pokéfan Bobertclef the Lead Pokémon is Random</t>
      </text>
    </comment>
    <comment authorId="0" ref="I159">
      <text>
        <t xml:space="preserve">Decision between Team Aqua Grunt #3 and #4</t>
      </text>
    </comment>
    <comment authorId="0" ref="I125">
      <text>
        <t xml:space="preserve">Tatsugiri is predamaged to 1 HP.</t>
      </text>
    </comment>
    <comment authorId="0" ref="I92">
      <text>
        <t xml:space="preserve">Consecutive Battle with Cooltrainer Puffy</t>
      </text>
    </comment>
    <comment authorId="0" ref="I282">
      <text>
        <t xml:space="preserve">Permanent Sun</t>
      </text>
    </comment>
    <comment authorId="0" ref="I248">
      <text>
        <t xml:space="preserve">Permanent Sun</t>
      </text>
    </comment>
    <comment authorId="0" ref="I408">
      <text>
        <t xml:space="preserve">Cannot leave until after Beauty Bridget &amp; Lady Brianna, but can use Porta-PC.</t>
      </text>
    </comment>
    <comment authorId="0" ref="I214">
      <text>
        <t xml:space="preserve">Permanent Rain.</t>
      </text>
    </comment>
    <comment authorId="0" ref="I374">
      <text>
        <t xml:space="preserve">+1 in every main stat.
Stats and Nature are random.
Bag is disabled during this Wild Battle.
Has smart AI.</t>
      </text>
    </comment>
    <comment authorId="0" ref="I271">
      <text>
        <t xml:space="preserve">Permanent Rain</t>
      </text>
    </comment>
    <comment authorId="0" ref="I237">
      <text>
        <t xml:space="preserve">Permanent Sun</t>
      </text>
    </comment>
    <comment authorId="0" ref="I203">
      <text>
        <t xml:space="preserve">Permanent Sandstorm</t>
      </text>
    </comment>
    <comment authorId="0" ref="I363">
      <text>
        <t xml:space="preserve">Permanent Electric Terrain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7">
      <text>
        <t xml:space="preserve">Random Team</t>
      </text>
    </comment>
    <comment authorId="0" ref="I103">
      <text>
        <t xml:space="preserve">Permanent Psychic Terrain</t>
      </text>
    </comment>
    <comment authorId="0" ref="I325">
      <text>
        <t xml:space="preserve">Optional battle unlocked after Noland for changing Darmanitan-Galars Ability.
</t>
      </text>
    </comment>
    <comment authorId="0" ref="I3">
      <text>
        <t xml:space="preserve">Salamence starts in its Mega Form</t>
      </text>
    </comment>
    <comment authorId="0" ref="I258">
      <text>
        <t xml:space="preserve">Random Team</t>
      </text>
    </comment>
    <comment authorId="0" ref="I192">
      <text>
        <t xml:space="preserve">Random Team.
Stealth Rock cannot be used.</t>
      </text>
    </comment>
    <comment authorId="0" ref="I125">
      <text>
        <t xml:space="preserve">Permanent Snow
Glalie: +1 in every main stat.</t>
      </text>
    </comment>
    <comment authorId="0" ref="I313">
      <text>
        <t xml:space="preserve">After defeating Noland, the cost for maximising IVs is increased to two Heart Scales.</t>
      </text>
    </comment>
    <comment authorId="0" ref="I214">
      <text>
        <t xml:space="preserve">Random Team</t>
      </text>
    </comment>
    <comment authorId="0" ref="I114">
      <text>
        <t xml:space="preserve">Permanent Rain + Electric Terrain</t>
      </text>
    </comment>
    <comment authorId="0" ref="I81">
      <text>
        <t xml:space="preserve">Permanent Sun</t>
      </text>
    </comment>
    <comment authorId="0" ref="I15">
      <text>
        <t xml:space="preserve">Consecutive Battle with Team Rocket Grunts #2 and #3</t>
      </text>
    </comment>
    <comment authorId="0" ref="I302">
      <text>
        <t xml:space="preserve">Consecutive Battle with Frontier Head Noland.</t>
      </text>
    </comment>
    <comment authorId="0" ref="I236">
      <text>
        <t xml:space="preserve">Random Team</t>
      </text>
    </comment>
    <comment authorId="0" ref="I170">
      <text>
        <t xml:space="preserve">Random Team.
Zygarde is predamaged to 176 HP.</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The Elite Four will be 2 Singles and 2 Doubles decided randomly. 
The formats will be revealed when talking to the guards.
The player is NOT forced to enter the Pokémon League immediately after talking to the guards.</t>
      </text>
    </comment>
    <comment authorId="0" ref="I91">
      <text>
        <t xml:space="preserve">Diancie starts off in its regular form and will not Mega Evolve. Immediately upon fainting, Diancie will restore its HP and transform into Mega Diancie. Status and Stat Changes will be left unchanged.</t>
      </text>
    </comment>
  </commentList>
</comments>
</file>

<file path=xl/sharedStrings.xml><?xml version="1.0" encoding="utf-8"?>
<sst xmlns="http://schemas.openxmlformats.org/spreadsheetml/2006/main" count="17731" uniqueCount="3331">
  <si>
    <t>TRAINER_PIC_AQUA_ADMIN_F</t>
  </si>
  <si>
    <t>TRAINER_PIC_AQUA_ADMIN_M</t>
  </si>
  <si>
    <t>Route 103</t>
  </si>
  <si>
    <t>TRAINER_PIC_AQUA_GRUNT_F</t>
  </si>
  <si>
    <t>Route 116</t>
  </si>
  <si>
    <t>Name</t>
  </si>
  <si>
    <t>TRAINER_PIC_AQUA_GRUNT_M</t>
  </si>
  <si>
    <t>TRAINER_PIC_AQUA_LEADER_ARCHIE</t>
  </si>
  <si>
    <t>Youngster Schmo</t>
  </si>
  <si>
    <t>Route 103 Rival</t>
  </si>
  <si>
    <t>TRAINER_PIC_GRETA</t>
  </si>
  <si>
    <t>TRAINER_PIC_AROMA_LADY</t>
  </si>
  <si>
    <t>TRAINER_PIC_BATTLE_GIRL</t>
  </si>
  <si>
    <t>TRAINER_PIC_BEAUTY</t>
  </si>
  <si>
    <t>TRAINER_PIC_BIRD_KEEPER</t>
  </si>
  <si>
    <t>TRAINER_PIC_BLACK_BELT</t>
  </si>
  <si>
    <t>Pokémon</t>
  </si>
  <si>
    <t>TRAINER_PIC_BRENDAN</t>
  </si>
  <si>
    <t>TRAINER_PIC_BUG_CATCHER</t>
  </si>
  <si>
    <t>TRAINER_PIC_BUG_MANIAC</t>
  </si>
  <si>
    <t>Pokemon</t>
  </si>
  <si>
    <t>TRAINER_PIC_CAMPER</t>
  </si>
  <si>
    <t>TRAINER_PIC_CHAMPION_WALLACE</t>
  </si>
  <si>
    <t>Name in file</t>
  </si>
  <si>
    <t>TRAINER_PIC_COLLECTOR</t>
  </si>
  <si>
    <t>Sprite</t>
  </si>
  <si>
    <t>TRAINER_PIC_COOLTRAINER_F</t>
  </si>
  <si>
    <t>None</t>
  </si>
  <si>
    <t>TRAINER_PIC_COOLTRAINER_M</t>
  </si>
  <si>
    <t>none</t>
  </si>
  <si>
    <t>TRAINER_PIC_CYCLING_TRIATHLETE_F</t>
  </si>
  <si>
    <t>TRAINER_PIC_CYCLING_TRIATHLETE_M</t>
  </si>
  <si>
    <t>TRAINER_PIC_DOME_ACE_TUCKER</t>
  </si>
  <si>
    <t>TRAINER_PIC_DRAGON_TAMER</t>
  </si>
  <si>
    <t>TRAINER_PIC_ELITE_FOUR_DRAKE</t>
  </si>
  <si>
    <t>TRAINER_PIC_ELITE_FOUR_GLACIA</t>
  </si>
  <si>
    <t>TRAINER_PIC_ELITE_FOUR_PHOEBE</t>
  </si>
  <si>
    <t>Bulbasaur</t>
  </si>
  <si>
    <t>bulbasaur</t>
  </si>
  <si>
    <t>TRAINER_PIC_ELITE_FOUR_SIDNEY</t>
  </si>
  <si>
    <t>TRAINER_PIC_EXPERT_F</t>
  </si>
  <si>
    <t>TRAINER_PIC_EXPERT_M</t>
  </si>
  <si>
    <t>TRAINER_PIC_NOLAND</t>
  </si>
  <si>
    <t>TRAINER_PIC_FISHERMAN</t>
  </si>
  <si>
    <t>TRAINER_PIC_GENTLEMAN</t>
  </si>
  <si>
    <t>TRAINER_PIC_GUITARIST</t>
  </si>
  <si>
    <t>Ivysaur</t>
  </si>
  <si>
    <t>TRAINER_PIC_HEX_MANIAC</t>
  </si>
  <si>
    <t>ivysaur</t>
  </si>
  <si>
    <t>TRAINER_PIC_HIKER</t>
  </si>
  <si>
    <t>TRAINER_PIC_INTERVIEWER</t>
  </si>
  <si>
    <t>Venusaur</t>
  </si>
  <si>
    <t>TRAINER_PIC_KINDLER</t>
  </si>
  <si>
    <t>TRAINER_PIC_LADY</t>
  </si>
  <si>
    <t>TRAINER_PIC_LASS</t>
  </si>
  <si>
    <t>TRAINER_PIC_LEADER_BRAWLY</t>
  </si>
  <si>
    <t>TRAINER_PIC_LEADER_FLANNERY</t>
  </si>
  <si>
    <t>TRAINER_PIC_LEADER_JUAN</t>
  </si>
  <si>
    <t>TRAINER_PIC_LEADER_LIZA</t>
  </si>
  <si>
    <t>TRAINER_PIC_LEADER_NORMAN</t>
  </si>
  <si>
    <t>TRAINER_PIC_LEADER_ROXANNE</t>
  </si>
  <si>
    <t>TRAINER_PIC_LEADER_TATE</t>
  </si>
  <si>
    <t>Venusaur-Gmax</t>
  </si>
  <si>
    <t>Venusaur-Mega</t>
  </si>
  <si>
    <t>TRAINER_PIC_LEADER_TATE_AND_LIZA</t>
  </si>
  <si>
    <t>Charmander</t>
  </si>
  <si>
    <t>TRAINER_PIC_LEADER_WATTSON</t>
  </si>
  <si>
    <t>Charmeleon</t>
  </si>
  <si>
    <t>charmeleon</t>
  </si>
  <si>
    <t>TRAINER_PIC_LEADER_WINONA</t>
  </si>
  <si>
    <t>Charizard</t>
  </si>
  <si>
    <t>charizard</t>
  </si>
  <si>
    <t>TRAINER_PIC_LEAF</t>
  </si>
  <si>
    <t>Charizard-Gmax</t>
  </si>
  <si>
    <t>TRAINER_PIC_MAGMA_ADMIN</t>
  </si>
  <si>
    <t>TRAINER_PIC_MAGMA_ADMIN_F</t>
  </si>
  <si>
    <t>TRAINER_PIC_MAGMA_GRUNT_F</t>
  </si>
  <si>
    <t>TRAINER_PIC_MAGMA_GRUNT_M</t>
  </si>
  <si>
    <t>TRAINER_PIC_MAGMA_LEADER_MAXIE</t>
  </si>
  <si>
    <t>TRAINER_PIC_MAY</t>
  </si>
  <si>
    <t>Charizard-Mega-X</t>
  </si>
  <si>
    <t>charizard-megax</t>
  </si>
  <si>
    <t>TRAINER_PIC_NINJA_BOY</t>
  </si>
  <si>
    <t>Charizard-Mega-Y</t>
  </si>
  <si>
    <t>charizard-megay</t>
  </si>
  <si>
    <t>TRAINER_PIC_OLD_COUPLE</t>
  </si>
  <si>
    <t>Squirtle</t>
  </si>
  <si>
    <t>TRAINER_PIC_SPENSER</t>
  </si>
  <si>
    <t>TRAINER_PIC_PARASOL_LADY</t>
  </si>
  <si>
    <t>Wartortle</t>
  </si>
  <si>
    <t>Blastoise</t>
  </si>
  <si>
    <t>TRAINER_PIC_PICNICKER</t>
  </si>
  <si>
    <t>Blastoise-Gmax</t>
  </si>
  <si>
    <t>TRAINER_PIC_LUCY</t>
  </si>
  <si>
    <t>Blastoise-Mega</t>
  </si>
  <si>
    <t>TRAINER_PIC_POKEFAN_F</t>
  </si>
  <si>
    <t>TRAINER_PIC_POKEFAN_M</t>
  </si>
  <si>
    <t>Caterpie</t>
  </si>
  <si>
    <t>TRAINER_PIC_POKEMANIAC</t>
  </si>
  <si>
    <t>Metapod</t>
  </si>
  <si>
    <t>TRAINER_PIC_POKEMON_BREEDER_F</t>
  </si>
  <si>
    <t>Butterfree</t>
  </si>
  <si>
    <t>TRAINER_PIC_POKEMON_BREEDER_M</t>
  </si>
  <si>
    <t>Butterfree-Gmax</t>
  </si>
  <si>
    <t>TRAINER_PIC_POKEMON_RANGER_F</t>
  </si>
  <si>
    <t>TRAINER_PIC_POKEMON_RANGER_M</t>
  </si>
  <si>
    <t>Weedle</t>
  </si>
  <si>
    <t>TRAINER_PIC_PSYCHIC_F</t>
  </si>
  <si>
    <t>Kakuna</t>
  </si>
  <si>
    <t>TRAINER_PIC_PSYCHIC_M</t>
  </si>
  <si>
    <t>TRAINER_PIC_BRANDON</t>
  </si>
  <si>
    <t>Beedrill</t>
  </si>
  <si>
    <t>TRAINER_PIC_RED</t>
  </si>
  <si>
    <t>Beedrill-Mega</t>
  </si>
  <si>
    <t>TRAINER_PIC_RICH_BOY</t>
  </si>
  <si>
    <t>Pidgey</t>
  </si>
  <si>
    <t>TRAINER_PIC_RS_BRENDAN</t>
  </si>
  <si>
    <t>TRAINER_PIC_RS_MAY</t>
  </si>
  <si>
    <t>Pidgeotto</t>
  </si>
  <si>
    <t>TRAINER_PIC_RUIN_MANIAC</t>
  </si>
  <si>
    <t>Pidgeot</t>
  </si>
  <si>
    <t>TRAINER_PIC_RUNNING_TRIATHLETE_F</t>
  </si>
  <si>
    <t>TRAINER_PIC_RUNNING_TRIATHLETE_M</t>
  </si>
  <si>
    <t>Pidgeot-Mega</t>
  </si>
  <si>
    <t>TRAINER_PIC_SAILOR</t>
  </si>
  <si>
    <t>Rattata</t>
  </si>
  <si>
    <t>TRAINER_PIC_ANABEL</t>
  </si>
  <si>
    <t>Rattata-Alola</t>
  </si>
  <si>
    <t>TRAINER_PIC_SCHOOL_KID_F</t>
  </si>
  <si>
    <t>Raticate</t>
  </si>
  <si>
    <t>TRAINER_PIC_SCHOOL_KID_M</t>
  </si>
  <si>
    <t>TRAINER_PIC_SIS_AND_BRO</t>
  </si>
  <si>
    <t>Raticate-Alola</t>
  </si>
  <si>
    <t>TRAINER_PIC_SR_AND_JR</t>
  </si>
  <si>
    <t>Spearow</t>
  </si>
  <si>
    <t>TRAINER_PIC_STEVEN</t>
  </si>
  <si>
    <t>Fearow</t>
  </si>
  <si>
    <t>TRAINER_PIC_SWIMMER_F</t>
  </si>
  <si>
    <t>TRAINER_PIC_SWIMMER_M</t>
  </si>
  <si>
    <t>Ekans</t>
  </si>
  <si>
    <t>TRAINER_PIC_SWIMMING_TRIATHLETE_F</t>
  </si>
  <si>
    <t>Arbok</t>
  </si>
  <si>
    <t>TRAINER_PIC_SWIMMING_TRIATHLETE_M</t>
  </si>
  <si>
    <t>TRAINER_PIC_TUBER_F</t>
  </si>
  <si>
    <t>Pikachu</t>
  </si>
  <si>
    <t>TRAINER_PIC_TUBER_M</t>
  </si>
  <si>
    <t>Pikachu-Partner</t>
  </si>
  <si>
    <t>pikachu-partner</t>
  </si>
  <si>
    <t>TRAINER_PIC_TWINS</t>
  </si>
  <si>
    <t>Pikachu-Gmax</t>
  </si>
  <si>
    <t>TRAINER_PIC_WALLY</t>
  </si>
  <si>
    <t>TRAINER_PIC_VR_WALLY</t>
  </si>
  <si>
    <t>TRAINER_PIC_YOUNG_COUPLE</t>
  </si>
  <si>
    <t>Raichu</t>
  </si>
  <si>
    <t>TRAINER_PIC_YOUNGSTER</t>
  </si>
  <si>
    <t>TRAINER_PIC_ZINNIA</t>
  </si>
  <si>
    <t>Raichu-Mega-X</t>
  </si>
  <si>
    <t>raichu-megax</t>
  </si>
  <si>
    <t>TRAINER_PIC_E4_BRENDAN</t>
  </si>
  <si>
    <t>TRAINER_PIC_E4_MAY</t>
  </si>
  <si>
    <t>TRAINER_PIC_AQUA_GRUNT_STEVE</t>
  </si>
  <si>
    <t>TRAINER_PIC_GHOST_BRENDAN</t>
  </si>
  <si>
    <t>TRAINER_PIC_GHOST_MAY</t>
  </si>
  <si>
    <t>Raichu-Mega-Y</t>
  </si>
  <si>
    <t>TRAINER_PIC_ROCKET_GRUNT_M</t>
  </si>
  <si>
    <t>raichu-megay</t>
  </si>
  <si>
    <t>TRAINER_PIC_MORTY</t>
  </si>
  <si>
    <t>TRAINER_PIC_CLAIR</t>
  </si>
  <si>
    <t>Raichu-Alola</t>
  </si>
  <si>
    <t>Sandshrew</t>
  </si>
  <si>
    <t>Sandshrew-Alola</t>
  </si>
  <si>
    <t>Sandslash</t>
  </si>
  <si>
    <t>Sandslash-Alola</t>
  </si>
  <si>
    <t>Nidoran-F</t>
  </si>
  <si>
    <t>nidoranf</t>
  </si>
  <si>
    <t>Nidorina</t>
  </si>
  <si>
    <t>Nidoqueen</t>
  </si>
  <si>
    <t>Nidoran-M</t>
  </si>
  <si>
    <t>nidoranm</t>
  </si>
  <si>
    <t>Nidorino</t>
  </si>
  <si>
    <t>Nidoking</t>
  </si>
  <si>
    <t>Clefairy</t>
  </si>
  <si>
    <t>Clefable</t>
  </si>
  <si>
    <t>Clefable-Mega</t>
  </si>
  <si>
    <t>clefable-mega</t>
  </si>
  <si>
    <t>Vulpix</t>
  </si>
  <si>
    <t>Vulpix-Alola</t>
  </si>
  <si>
    <t>Ninetales</t>
  </si>
  <si>
    <t>Ninetales-Alola</t>
  </si>
  <si>
    <t>Jigglypuff</t>
  </si>
  <si>
    <t>Wigglytuff</t>
  </si>
  <si>
    <t>Zubat</t>
  </si>
  <si>
    <t>Oshawott</t>
  </si>
  <si>
    <t>Golbat</t>
  </si>
  <si>
    <t>Linoone</t>
  </si>
  <si>
    <t>Litten</t>
  </si>
  <si>
    <t>Riolu</t>
  </si>
  <si>
    <t>Oddish</t>
  </si>
  <si>
    <t>Gloom</t>
  </si>
  <si>
    <t>Level</t>
  </si>
  <si>
    <t>Vileplume</t>
  </si>
  <si>
    <t>Held Item</t>
  </si>
  <si>
    <t>Paras</t>
  </si>
  <si>
    <t>Wacan Berry</t>
  </si>
  <si>
    <t>Parasect</t>
  </si>
  <si>
    <t>Iapapa Berry</t>
  </si>
  <si>
    <t>Life Orb</t>
  </si>
  <si>
    <t>Venonat</t>
  </si>
  <si>
    <t>Oran Berry</t>
  </si>
  <si>
    <t>Ability</t>
  </si>
  <si>
    <t>Keen Eye</t>
  </si>
  <si>
    <t>Berry Juice</t>
  </si>
  <si>
    <t>Gluttony</t>
  </si>
  <si>
    <t>Venomoth</t>
  </si>
  <si>
    <t>Competitive</t>
  </si>
  <si>
    <t>Nature</t>
  </si>
  <si>
    <t>Diglett</t>
  </si>
  <si>
    <t>Torrent</t>
  </si>
  <si>
    <t>Hasty</t>
  </si>
  <si>
    <t>Intimidate</t>
  </si>
  <si>
    <t>Adamant</t>
  </si>
  <si>
    <t>Prankster</t>
  </si>
  <si>
    <t>Modest</t>
  </si>
  <si>
    <t>Diglett-Alola</t>
  </si>
  <si>
    <t>Moves</t>
  </si>
  <si>
    <t>Dugtrio</t>
  </si>
  <si>
    <t>Mirror Move</t>
  </si>
  <si>
    <t>Belly Drum</t>
  </si>
  <si>
    <t>Dugtrio-Alola</t>
  </si>
  <si>
    <t>Dazzling Gleam</t>
  </si>
  <si>
    <t>Meowth</t>
  </si>
  <si>
    <t>Jolly</t>
  </si>
  <si>
    <t>Air Slash</t>
  </si>
  <si>
    <t>Extreme Speed</t>
  </si>
  <si>
    <t>Ice Beam</t>
  </si>
  <si>
    <t>Meowth-Alola</t>
  </si>
  <si>
    <t>Heat Wave</t>
  </si>
  <si>
    <t>Seed Bomb</t>
  </si>
  <si>
    <t>Thunderbolt</t>
  </si>
  <si>
    <t>Meowth-Galar</t>
  </si>
  <si>
    <t>Chilling Water</t>
  </si>
  <si>
    <t>Fake Out</t>
  </si>
  <si>
    <t>Mach Punch</t>
  </si>
  <si>
    <t>Steel Wing</t>
  </si>
  <si>
    <t>Stomping Tantrum</t>
  </si>
  <si>
    <t>Meowth-Gmax</t>
  </si>
  <si>
    <t>Flamethrower</t>
  </si>
  <si>
    <t>Razor Shell</t>
  </si>
  <si>
    <t>Persian</t>
  </si>
  <si>
    <t>Flame Charge</t>
  </si>
  <si>
    <t>Metal Claw</t>
  </si>
  <si>
    <t>Persian-Alola</t>
  </si>
  <si>
    <t>Bug Catcher Jose</t>
  </si>
  <si>
    <t>Grass Knot</t>
  </si>
  <si>
    <t>Trailblaze</t>
  </si>
  <si>
    <t>Copycat</t>
  </si>
  <si>
    <t>Psyduck</t>
  </si>
  <si>
    <t>Golduck</t>
  </si>
  <si>
    <t>Encore</t>
  </si>
  <si>
    <t>Torment</t>
  </si>
  <si>
    <t>Mankey</t>
  </si>
  <si>
    <t>Primeape</t>
  </si>
  <si>
    <t>Root Academy</t>
  </si>
  <si>
    <t>Growlithe</t>
  </si>
  <si>
    <t>Growlithe-Hisui</t>
  </si>
  <si>
    <t>Arcanine</t>
  </si>
  <si>
    <t>Youngster Ren</t>
  </si>
  <si>
    <t>Arcanine-Hisui</t>
  </si>
  <si>
    <t>Poliwag</t>
  </si>
  <si>
    <t>Poliwhirl</t>
  </si>
  <si>
    <t>Poliwrath</t>
  </si>
  <si>
    <t>Abra</t>
  </si>
  <si>
    <t>Kadabra</t>
  </si>
  <si>
    <t>Alakazam</t>
  </si>
  <si>
    <t>Alakazam-Mega</t>
  </si>
  <si>
    <t>Machop</t>
  </si>
  <si>
    <t>Machoke</t>
  </si>
  <si>
    <t>Machamp</t>
  </si>
  <si>
    <t>Machamp-Gmax</t>
  </si>
  <si>
    <t>Bellsprout</t>
  </si>
  <si>
    <t>Weepinbell</t>
  </si>
  <si>
    <t>Victreebel</t>
  </si>
  <si>
    <t>Victreebel-Mega</t>
  </si>
  <si>
    <t>victreebel-mega</t>
  </si>
  <si>
    <t>Tentacool</t>
  </si>
  <si>
    <t>Tentacruel</t>
  </si>
  <si>
    <t>Route 109</t>
  </si>
  <si>
    <t>Geodude</t>
  </si>
  <si>
    <t>Geodude-Alola</t>
  </si>
  <si>
    <t>Graveler</t>
  </si>
  <si>
    <t>Graveler-Alola</t>
  </si>
  <si>
    <t>Golem</t>
  </si>
  <si>
    <t>Tuber Hailey</t>
  </si>
  <si>
    <t>Golem-Alola</t>
  </si>
  <si>
    <t>Ponyta</t>
  </si>
  <si>
    <t>Ponyta-Galar</t>
  </si>
  <si>
    <t>Rapidash</t>
  </si>
  <si>
    <t>Rapidash-Galar</t>
  </si>
  <si>
    <t>Slowpoke</t>
  </si>
  <si>
    <t>Slowpoke-Galar</t>
  </si>
  <si>
    <t>Slowbro</t>
  </si>
  <si>
    <t>Slowbro-Galar</t>
  </si>
  <si>
    <t>Slowbro-Mega</t>
  </si>
  <si>
    <t>Magnemite</t>
  </si>
  <si>
    <t>Magneton</t>
  </si>
  <si>
    <t>Farfetch’d</t>
  </si>
  <si>
    <t>farfetchd</t>
  </si>
  <si>
    <t>Farfetch’d-Galar</t>
  </si>
  <si>
    <t>farfetchd-galar</t>
  </si>
  <si>
    <t>Doduo</t>
  </si>
  <si>
    <t>Dodrio</t>
  </si>
  <si>
    <t>Seel</t>
  </si>
  <si>
    <t>Dewgong</t>
  </si>
  <si>
    <t>Grimer</t>
  </si>
  <si>
    <t>Grimer-Alola</t>
  </si>
  <si>
    <t>Muk</t>
  </si>
  <si>
    <t>Muk-Alola</t>
  </si>
  <si>
    <t>Shellder</t>
  </si>
  <si>
    <t>Cloyster</t>
  </si>
  <si>
    <t>Gastly</t>
  </si>
  <si>
    <t>Haunter</t>
  </si>
  <si>
    <t>Gengar</t>
  </si>
  <si>
    <t>Gengar-Gmax</t>
  </si>
  <si>
    <t>Gengar-Mega</t>
  </si>
  <si>
    <t>Onix</t>
  </si>
  <si>
    <t>Drowzee</t>
  </si>
  <si>
    <t>Hypno</t>
  </si>
  <si>
    <t>Krabby</t>
  </si>
  <si>
    <t>Kingler</t>
  </si>
  <si>
    <t>Kingler-Gmax</t>
  </si>
  <si>
    <t>Voltorb</t>
  </si>
  <si>
    <t>Voltorb-Hisui</t>
  </si>
  <si>
    <t>Electrode</t>
  </si>
  <si>
    <t>Electrode-Hisui</t>
  </si>
  <si>
    <t>Exeggcute</t>
  </si>
  <si>
    <t>Exeggutor</t>
  </si>
  <si>
    <t>Exeggutor-Alola</t>
  </si>
  <si>
    <t>Wormadam-Sandy</t>
  </si>
  <si>
    <t>Cubone</t>
  </si>
  <si>
    <t>Gastrodon</t>
  </si>
  <si>
    <t>Kleavor</t>
  </si>
  <si>
    <t>Marowak</t>
  </si>
  <si>
    <t>Marowak-Alola</t>
  </si>
  <si>
    <t>Lum Berry</t>
  </si>
  <si>
    <t>Occa Berry</t>
  </si>
  <si>
    <t>Rindo Berry</t>
  </si>
  <si>
    <t>Rock Gem</t>
  </si>
  <si>
    <t>Hitmonlee</t>
  </si>
  <si>
    <t>Tinted Lens</t>
  </si>
  <si>
    <t>Anticipation</t>
  </si>
  <si>
    <t>Hitmonchan</t>
  </si>
  <si>
    <t>Storm Drain</t>
  </si>
  <si>
    <t>Sheer Force</t>
  </si>
  <si>
    <t>Lickitung</t>
  </si>
  <si>
    <t>Koffing</t>
  </si>
  <si>
    <t>Sludge Bomb</t>
  </si>
  <si>
    <t>Earthquake</t>
  </si>
  <si>
    <t>Earth Power</t>
  </si>
  <si>
    <t>Morning Sun</t>
  </si>
  <si>
    <t>Weezing</t>
  </si>
  <si>
    <t>Bug Buzz</t>
  </si>
  <si>
    <t>Stealth Rock</t>
  </si>
  <si>
    <t>Scald</t>
  </si>
  <si>
    <t>Stone Edge</t>
  </si>
  <si>
    <t>Weezing-Galar</t>
  </si>
  <si>
    <t>Sleep Powder</t>
  </si>
  <si>
    <t>Sucker Punch</t>
  </si>
  <si>
    <t>Recover</t>
  </si>
  <si>
    <t>Lunge</t>
  </si>
  <si>
    <t>Rhyhorn</t>
  </si>
  <si>
    <t>Rhydon</t>
  </si>
  <si>
    <t>Quiver Dance</t>
  </si>
  <si>
    <t>Rock Tomb</t>
  </si>
  <si>
    <t>Brick Break</t>
  </si>
  <si>
    <t>Chansey</t>
  </si>
  <si>
    <t>School Kid Karen</t>
  </si>
  <si>
    <t>Tangela</t>
  </si>
  <si>
    <t>Kangaskhan</t>
  </si>
  <si>
    <t>Kangaskhan-Mega</t>
  </si>
  <si>
    <t>Horsea</t>
  </si>
  <si>
    <t>Seadra</t>
  </si>
  <si>
    <t>Goldeen</t>
  </si>
  <si>
    <t>Seaking</t>
  </si>
  <si>
    <t>Staryu</t>
  </si>
  <si>
    <t>Starmie</t>
  </si>
  <si>
    <t>Starmie-Mega</t>
  </si>
  <si>
    <t>starmie-mega</t>
  </si>
  <si>
    <t>Mr. Mime</t>
  </si>
  <si>
    <t>mrmime</t>
  </si>
  <si>
    <t>Mr. Mime-Galar</t>
  </si>
  <si>
    <t>mrmime-galar</t>
  </si>
  <si>
    <t>Scyther</t>
  </si>
  <si>
    <t>Jynx</t>
  </si>
  <si>
    <t>Electabuzz</t>
  </si>
  <si>
    <t>Magmar</t>
  </si>
  <si>
    <t>Pinsir</t>
  </si>
  <si>
    <t>Pinsir-Mega</t>
  </si>
  <si>
    <t>Tauros</t>
  </si>
  <si>
    <t>Tauros-Paldea</t>
  </si>
  <si>
    <t>tauros-paldeacombat</t>
  </si>
  <si>
    <t>Stunfisk-Galar</t>
  </si>
  <si>
    <t>Carnivine</t>
  </si>
  <si>
    <t>Mothim</t>
  </si>
  <si>
    <t>Wugtrio</t>
  </si>
  <si>
    <t>Tauros-Paldea-Blaze</t>
  </si>
  <si>
    <t>tauros-paldeablaze</t>
  </si>
  <si>
    <t>Chople Berry</t>
  </si>
  <si>
    <t>Binding Band</t>
  </si>
  <si>
    <t>Focus Sash</t>
  </si>
  <si>
    <t>Muscle Band</t>
  </si>
  <si>
    <t>Tauros-Paldea-Aqua</t>
  </si>
  <si>
    <t>tauros-paldeaaqua</t>
  </si>
  <si>
    <t>Mimicry</t>
  </si>
  <si>
    <t>Levitate</t>
  </si>
  <si>
    <t>Hardy</t>
  </si>
  <si>
    <t>Swarm</t>
  </si>
  <si>
    <t>Arena Trap</t>
  </si>
  <si>
    <t>Sassy</t>
  </si>
  <si>
    <t>Magikarp</t>
  </si>
  <si>
    <t>Timid</t>
  </si>
  <si>
    <t>Snap Trap</t>
  </si>
  <si>
    <t>Aqua Cutter</t>
  </si>
  <si>
    <t>Final Gambit</t>
  </si>
  <si>
    <t>Gyarados</t>
  </si>
  <si>
    <t>Thunder Wave</t>
  </si>
  <si>
    <t>Gyarados-Mega</t>
  </si>
  <si>
    <t>Stun Spore</t>
  </si>
  <si>
    <t>Lapras</t>
  </si>
  <si>
    <t>Foul Play</t>
  </si>
  <si>
    <t>Lapras-Gmax</t>
  </si>
  <si>
    <t>Youngster Levi</t>
  </si>
  <si>
    <t>Crunch</t>
  </si>
  <si>
    <t>Aqua Jet</t>
  </si>
  <si>
    <t>Ditto</t>
  </si>
  <si>
    <t>Eevee</t>
  </si>
  <si>
    <t>Tuber Ricky</t>
  </si>
  <si>
    <t>Eevee-Gmax</t>
  </si>
  <si>
    <t>Vaporeon</t>
  </si>
  <si>
    <t>Jolteon</t>
  </si>
  <si>
    <t>Flareon</t>
  </si>
  <si>
    <t>Porygon</t>
  </si>
  <si>
    <t>Omanyte</t>
  </si>
  <si>
    <t>Omastar</t>
  </si>
  <si>
    <t>Kabuto</t>
  </si>
  <si>
    <t>Kabutops</t>
  </si>
  <si>
    <t>Aerodactyl</t>
  </si>
  <si>
    <t>Aerodactyl-Mega</t>
  </si>
  <si>
    <t>Ursaring</t>
  </si>
  <si>
    <t>Throh</t>
  </si>
  <si>
    <t>Snorlax</t>
  </si>
  <si>
    <t>Snorlax-Gmax</t>
  </si>
  <si>
    <t>Eviolite</t>
  </si>
  <si>
    <t>Toxic Orb</t>
  </si>
  <si>
    <t>Flame Orb</t>
  </si>
  <si>
    <t>Articuno</t>
  </si>
  <si>
    <t>Sitrus Berry</t>
  </si>
  <si>
    <t>Anger Point</t>
  </si>
  <si>
    <t>Quick Feet</t>
  </si>
  <si>
    <t>Guts</t>
  </si>
  <si>
    <t>Analytic</t>
  </si>
  <si>
    <t>Articuno-Galar</t>
  </si>
  <si>
    <t>Brave</t>
  </si>
  <si>
    <t>Zapdos</t>
  </si>
  <si>
    <t>Drain Punch</t>
  </si>
  <si>
    <t>Secret Power</t>
  </si>
  <si>
    <t>Protect</t>
  </si>
  <si>
    <t>Zapdos-Galar</t>
  </si>
  <si>
    <t>Substitute</t>
  </si>
  <si>
    <t>Throat Chop</t>
  </si>
  <si>
    <t>Flash Cannon</t>
  </si>
  <si>
    <t>Moltres</t>
  </si>
  <si>
    <t>Rage Fist</t>
  </si>
  <si>
    <t>Last Resort</t>
  </si>
  <si>
    <t>Superpower</t>
  </si>
  <si>
    <t>Hidden Power Grass</t>
  </si>
  <si>
    <t>Moltres-Galar</t>
  </si>
  <si>
    <t>Bulk Up</t>
  </si>
  <si>
    <t>Knock Off</t>
  </si>
  <si>
    <t>Magnet Rise</t>
  </si>
  <si>
    <t>Dratini</t>
  </si>
  <si>
    <t>Hiker Clark &amp; Youngster Johnson [Double]</t>
  </si>
  <si>
    <t>Dragonair</t>
  </si>
  <si>
    <t>Dragonite</t>
  </si>
  <si>
    <t>Dragonite-Mega</t>
  </si>
  <si>
    <t>dragonite-mega</t>
  </si>
  <si>
    <t>Mewtwo</t>
  </si>
  <si>
    <t>Mewtwo-Mega-X</t>
  </si>
  <si>
    <t>mewtwo-megax</t>
  </si>
  <si>
    <t>Mewtwo-Mega-Y</t>
  </si>
  <si>
    <t>mewtwo-megay</t>
  </si>
  <si>
    <t>Mew</t>
  </si>
  <si>
    <t>Chikorita</t>
  </si>
  <si>
    <t>Bayleef</t>
  </si>
  <si>
    <t>Meganium</t>
  </si>
  <si>
    <t>Meganium-Mega</t>
  </si>
  <si>
    <t>meganium-mega</t>
  </si>
  <si>
    <t>Cyndaquil</t>
  </si>
  <si>
    <t>Quilava</t>
  </si>
  <si>
    <t>Typhlosion</t>
  </si>
  <si>
    <t>Typhlosion-Hisui</t>
  </si>
  <si>
    <t>Totodile</t>
  </si>
  <si>
    <t>Croconaw</t>
  </si>
  <si>
    <t>Feraligatr</t>
  </si>
  <si>
    <t>Feraligatr-Mega</t>
  </si>
  <si>
    <t>feraligatr-mega</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</si>
  <si>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</si>
  <si>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</si>
  <si>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</si>
  <si>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</si>
  <si>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</si>
  <si>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</si>
  <si>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</si>
  <si>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</si>
  <si>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</si>
  <si>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</si>
  <si>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</si>
  <si>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</si>
  <si>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</si>
  <si>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</si>
  <si>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</si>
  <si>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</si>
  <si>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</si>
  <si>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</si>
  <si>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</si>
  <si>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</si>
  <si>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</si>
  <si>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Ampharos-Mega</t>
  </si>
  <si>
    <t>Bellossom</t>
  </si>
  <si>
    <t>Chimecho</t>
  </si>
  <si>
    <t>Marill</t>
  </si>
  <si>
    <t>Azumarill</t>
  </si>
  <si>
    <t>Sudowoodo</t>
  </si>
  <si>
    <t>Pincurchin</t>
  </si>
  <si>
    <t>Simisage</t>
  </si>
  <si>
    <t>Clawitzer</t>
  </si>
  <si>
    <t>Politoed</t>
  </si>
  <si>
    <t>Loaded Dice</t>
  </si>
  <si>
    <t>Blunder Policy</t>
  </si>
  <si>
    <t>Sturdy</t>
  </si>
  <si>
    <t>Hoppip</t>
  </si>
  <si>
    <t>Sand Rush</t>
  </si>
  <si>
    <t>Technician</t>
  </si>
  <si>
    <t>Impish</t>
  </si>
  <si>
    <t>Skiploom</t>
  </si>
  <si>
    <t>Mental Herb</t>
  </si>
  <si>
    <t>Eject Pack</t>
  </si>
  <si>
    <t>Water Gem</t>
  </si>
  <si>
    <t>Electric Seed</t>
  </si>
  <si>
    <t>Jumpluff</t>
  </si>
  <si>
    <t>Swords Dance</t>
  </si>
  <si>
    <t>Electric Surge</t>
  </si>
  <si>
    <t>Aipom</t>
  </si>
  <si>
    <t>Hypnosis</t>
  </si>
  <si>
    <t>Overgrow</t>
  </si>
  <si>
    <t>Surge Surfer</t>
  </si>
  <si>
    <t>Rock Slide</t>
  </si>
  <si>
    <t>Mega Launcher</t>
  </si>
  <si>
    <t>Sandstorm</t>
  </si>
  <si>
    <t>Sunkern</t>
  </si>
  <si>
    <t>Fury Swipes</t>
  </si>
  <si>
    <t>Dream Eater</t>
  </si>
  <si>
    <t>X-Scissor</t>
  </si>
  <si>
    <t>Sunflora</t>
  </si>
  <si>
    <t>Nightmare</t>
  </si>
  <si>
    <t>Calm</t>
  </si>
  <si>
    <t>Body Press</t>
  </si>
  <si>
    <t>Yanma</t>
  </si>
  <si>
    <t>High Horsepower</t>
  </si>
  <si>
    <t>Snarl</t>
  </si>
  <si>
    <t>Wooper</t>
  </si>
  <si>
    <t>Spikes</t>
  </si>
  <si>
    <t>Hiker Devan</t>
  </si>
  <si>
    <t>Nature Power</t>
  </si>
  <si>
    <t>Fake Tears</t>
  </si>
  <si>
    <t>Water Pulse</t>
  </si>
  <si>
    <t>Wooper-Paldea</t>
  </si>
  <si>
    <t>Toxic Spikes</t>
  </si>
  <si>
    <t>Leaf Storm</t>
  </si>
  <si>
    <t>Rising Voltage</t>
  </si>
  <si>
    <t>Quagsire</t>
  </si>
  <si>
    <t>Terrain Pulse</t>
  </si>
  <si>
    <t>Memento</t>
  </si>
  <si>
    <t>Focus Blast</t>
  </si>
  <si>
    <t>Espeon</t>
  </si>
  <si>
    <t>Surf</t>
  </si>
  <si>
    <t>Dark Pulse</t>
  </si>
  <si>
    <t>Umbreon</t>
  </si>
  <si>
    <t>Liquidation</t>
  </si>
  <si>
    <t>Volt Switch</t>
  </si>
  <si>
    <t>Aura Sphere</t>
  </si>
  <si>
    <t>Murkrow</t>
  </si>
  <si>
    <t>Tuber Lola</t>
  </si>
  <si>
    <t>Slowking</t>
  </si>
  <si>
    <t>Slowking-Galar</t>
  </si>
  <si>
    <t>Lass Videl</t>
  </si>
  <si>
    <t>Misdreavus</t>
  </si>
  <si>
    <t>Unown</t>
  </si>
  <si>
    <t>Wobbuffet</t>
  </si>
  <si>
    <t>Girafarig</t>
  </si>
  <si>
    <t>Pineco</t>
  </si>
  <si>
    <t>Forretress</t>
  </si>
  <si>
    <t>Dunsparce</t>
  </si>
  <si>
    <t>Gligar</t>
  </si>
  <si>
    <t>Steelix</t>
  </si>
  <si>
    <t>Steelix-Mega</t>
  </si>
  <si>
    <t>Snubbull</t>
  </si>
  <si>
    <t>Granbull</t>
  </si>
  <si>
    <t>Qwilfish</t>
  </si>
  <si>
    <t>Qwilfish-Hisui</t>
  </si>
  <si>
    <t>Scizor</t>
  </si>
  <si>
    <t>Scizor-Mega</t>
  </si>
  <si>
    <t>Shuckle</t>
  </si>
  <si>
    <t>Heracross</t>
  </si>
  <si>
    <t>Heracross-Mega</t>
  </si>
  <si>
    <t>Sneasel</t>
  </si>
  <si>
    <t>Sneasel-Hisui</t>
  </si>
  <si>
    <t>Teddiursa</t>
  </si>
  <si>
    <t>Slugma</t>
  </si>
  <si>
    <t>Magcargo</t>
  </si>
  <si>
    <t>Swinub</t>
  </si>
  <si>
    <t>Piloswine</t>
  </si>
  <si>
    <t>Corsola</t>
  </si>
  <si>
    <t>Corsola-Galar</t>
  </si>
  <si>
    <t>Remoraid</t>
  </si>
  <si>
    <t>Octillery</t>
  </si>
  <si>
    <t>Delibird</t>
  </si>
  <si>
    <t>Mantine</t>
  </si>
  <si>
    <t>Skarmory</t>
  </si>
  <si>
    <t>Skarmory-Mega</t>
  </si>
  <si>
    <t>skarmory-mega</t>
  </si>
  <si>
    <t>Houndour</t>
  </si>
  <si>
    <t>Houndoom</t>
  </si>
  <si>
    <t>Houndoom-Mega</t>
  </si>
  <si>
    <t>Kingdra</t>
  </si>
  <si>
    <t>Phanpy</t>
  </si>
  <si>
    <t>Donphan</t>
  </si>
  <si>
    <t>Porygon2</t>
  </si>
  <si>
    <t>Stantler</t>
  </si>
  <si>
    <t>Smeargle</t>
  </si>
  <si>
    <t>Stunfisk</t>
  </si>
  <si>
    <t>Tyrogue</t>
  </si>
  <si>
    <t>Hitmontop</t>
  </si>
  <si>
    <t>Smoochum</t>
  </si>
  <si>
    <t>Elekid</t>
  </si>
  <si>
    <t>Rocky Helmet</t>
  </si>
  <si>
    <t>Leftovers</t>
  </si>
  <si>
    <t>Magby</t>
  </si>
  <si>
    <t>Tangling Hair</t>
  </si>
  <si>
    <t>Static</t>
  </si>
  <si>
    <t>Miltank</t>
  </si>
  <si>
    <t>Blissey</t>
  </si>
  <si>
    <t>Raikou</t>
  </si>
  <si>
    <t>Iron Head</t>
  </si>
  <si>
    <t>Entei</t>
  </si>
  <si>
    <t>Discharge</t>
  </si>
  <si>
    <t>Suicune</t>
  </si>
  <si>
    <t>Larvitar</t>
  </si>
  <si>
    <t>Metal Sound</t>
  </si>
  <si>
    <t>Pupitar</t>
  </si>
  <si>
    <t>Rusturf Tunnel</t>
  </si>
  <si>
    <t>Tyranitar</t>
  </si>
  <si>
    <t>Tyranitar-Mega</t>
  </si>
  <si>
    <t>Lugia</t>
  </si>
  <si>
    <t>Ho-Oh</t>
  </si>
  <si>
    <t>hooh</t>
  </si>
  <si>
    <t>Rusturf Team Aqua Grunt</t>
  </si>
  <si>
    <t>Celebi</t>
  </si>
  <si>
    <t>Treecko</t>
  </si>
  <si>
    <t>Aromatisse</t>
  </si>
  <si>
    <t>Grovyle</t>
  </si>
  <si>
    <t>Veluza</t>
  </si>
  <si>
    <t>Sceptile</t>
  </si>
  <si>
    <t>Sceptile-Mega</t>
  </si>
  <si>
    <t>Torchic</t>
  </si>
  <si>
    <t>Combusken</t>
  </si>
  <si>
    <t>Thick Club</t>
  </si>
  <si>
    <t>Blaziken</t>
  </si>
  <si>
    <t>Ability Shield</t>
  </si>
  <si>
    <t>Blaziken-Mega</t>
  </si>
  <si>
    <t>Aroma Veil</t>
  </si>
  <si>
    <t>Battle Armor</t>
  </si>
  <si>
    <t>Sharpness</t>
  </si>
  <si>
    <t>Mudkip</t>
  </si>
  <si>
    <t>No Guard</t>
  </si>
  <si>
    <t>Marshtomp</t>
  </si>
  <si>
    <t>Quiet</t>
  </si>
  <si>
    <t>Swampert</t>
  </si>
  <si>
    <t>Youngster Itachi</t>
  </si>
  <si>
    <t>Swampert-Mega</t>
  </si>
  <si>
    <t>Trick Room</t>
  </si>
  <si>
    <t>Bone Rush</t>
  </si>
  <si>
    <t>Poochyena</t>
  </si>
  <si>
    <t>Dynamic Punch</t>
  </si>
  <si>
    <t>Mightyena</t>
  </si>
  <si>
    <t>Nasty Plot</t>
  </si>
  <si>
    <t>Psycho Cut</t>
  </si>
  <si>
    <t>Zigzagoon</t>
  </si>
  <si>
    <t>Moonblast</t>
  </si>
  <si>
    <t>Power-Up Punch</t>
  </si>
  <si>
    <t>Zigzagoon-Galar</t>
  </si>
  <si>
    <t>Ice Punch</t>
  </si>
  <si>
    <t>Mystical Fire</t>
  </si>
  <si>
    <t>Thunder Punch</t>
  </si>
  <si>
    <t>Fillet Away</t>
  </si>
  <si>
    <t>Linoone-Galar</t>
  </si>
  <si>
    <t>Sailor Edmond</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</si>
  <si>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</si>
  <si>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</si>
  <si>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</si>
  <si>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</si>
  <si>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</si>
  <si>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</si>
  <si>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</si>
  <si>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</si>
  <si>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</si>
  <si>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</si>
  <si>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</si>
  <si>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</si>
  <si>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</si>
  <si>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</si>
  <si>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</si>
  <si>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</si>
  <si>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</si>
  <si>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</si>
  <si>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Gardevoir-Mega</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</si>
  <si>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</si>
  <si>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</si>
  <si>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</si>
  <si>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</si>
  <si>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</si>
  <si>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</si>
  <si>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</si>
  <si>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</si>
  <si>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</si>
  <si>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</si>
  <si>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</si>
  <si>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</si>
  <si>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</si>
  <si>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</si>
  <si>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</si>
  <si>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</si>
  <si>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</si>
  <si>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</si>
  <si>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</si>
  <si>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</si>
  <si>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Sableye-Mega</t>
  </si>
  <si>
    <t>Mawile</t>
  </si>
  <si>
    <t>Mawile-Mega</t>
  </si>
  <si>
    <t>Aron</t>
  </si>
  <si>
    <t>Lairon</t>
  </si>
  <si>
    <t>Aggron</t>
  </si>
  <si>
    <t>Aggron-Mega</t>
  </si>
  <si>
    <t>Meditite</t>
  </si>
  <si>
    <t>Medicham</t>
  </si>
  <si>
    <t>Medicham-Mega</t>
  </si>
  <si>
    <t>Electrike</t>
  </si>
  <si>
    <t>Manectric</t>
  </si>
  <si>
    <t>Manectric-Mega</t>
  </si>
  <si>
    <t>Plusle</t>
  </si>
  <si>
    <t>Minun</t>
  </si>
  <si>
    <t>Volbeat</t>
  </si>
  <si>
    <t>Illumise</t>
  </si>
  <si>
    <t>Roselia</t>
  </si>
  <si>
    <t>Gulpin</t>
  </si>
  <si>
    <t>Wormadam</t>
  </si>
  <si>
    <t>Swalot</t>
  </si>
  <si>
    <t>Phione</t>
  </si>
  <si>
    <t>Carvanha</t>
  </si>
  <si>
    <t>Sharpedo</t>
  </si>
  <si>
    <t>Dachsbun</t>
  </si>
  <si>
    <t>Sharpedo-Mega</t>
  </si>
  <si>
    <t>Purugly</t>
  </si>
  <si>
    <t>Druddigon</t>
  </si>
  <si>
    <t>Wailmer</t>
  </si>
  <si>
    <t>Wailord</t>
  </si>
  <si>
    <t>Numel</t>
  </si>
  <si>
    <t>Expert Belt</t>
  </si>
  <si>
    <t>Quick Claw</t>
  </si>
  <si>
    <t>Camerupt</t>
  </si>
  <si>
    <t>Bright Powder</t>
  </si>
  <si>
    <t>Silver Powder</t>
  </si>
  <si>
    <t>Adrenaline Orb</t>
  </si>
  <si>
    <t>Camerupt-Mega</t>
  </si>
  <si>
    <t>Torkoal</t>
  </si>
  <si>
    <t>Well-Baked Body</t>
  </si>
  <si>
    <t>Defiant</t>
  </si>
  <si>
    <t>Quick Draw</t>
  </si>
  <si>
    <t>Spoink</t>
  </si>
  <si>
    <t>Overcoat</t>
  </si>
  <si>
    <t>Hydration</t>
  </si>
  <si>
    <t>Grumpig</t>
  </si>
  <si>
    <t>Spinda</t>
  </si>
  <si>
    <t>Trapinch</t>
  </si>
  <si>
    <t>Yawn</t>
  </si>
  <si>
    <t>Vibrava</t>
  </si>
  <si>
    <t>Dragon Rush</t>
  </si>
  <si>
    <t>Zen Headbutt</t>
  </si>
  <si>
    <t>Tail Glow</t>
  </si>
  <si>
    <t>Flygon</t>
  </si>
  <si>
    <t>Play Rough</t>
  </si>
  <si>
    <t>Howl</t>
  </si>
  <si>
    <t>Return</t>
  </si>
  <si>
    <t>Cacnea</t>
  </si>
  <si>
    <t>Glare</t>
  </si>
  <si>
    <t>Slack Off</t>
  </si>
  <si>
    <t>Energy Ball</t>
  </si>
  <si>
    <t>Sticky Web</t>
  </si>
  <si>
    <t>Cacturne</t>
  </si>
  <si>
    <t>Fire Fang</t>
  </si>
  <si>
    <t>Iron Tail</t>
  </si>
  <si>
    <t>Headbutt</t>
  </si>
  <si>
    <t>Fire Punch</t>
  </si>
  <si>
    <t>Swablu</t>
  </si>
  <si>
    <t>Poison Fang</t>
  </si>
  <si>
    <t>Hydro Pump</t>
  </si>
  <si>
    <t>Shadow Ball</t>
  </si>
  <si>
    <t>Altaria</t>
  </si>
  <si>
    <t>Roar</t>
  </si>
  <si>
    <t>Oldale Town</t>
  </si>
  <si>
    <t>Altaria-Mega</t>
  </si>
  <si>
    <t>Rustboro City</t>
  </si>
  <si>
    <t>Tuber Chandler</t>
  </si>
  <si>
    <t>Zangoose</t>
  </si>
  <si>
    <t>Seviper</t>
  </si>
  <si>
    <t>Lunatone</t>
  </si>
  <si>
    <t>Rustboro Rival Chespin</t>
  </si>
  <si>
    <t>Oldale Team Aqua Grunt</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</si>
  <si>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</si>
  <si>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</si>
  <si>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</si>
  <si>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</si>
  <si>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</si>
  <si>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</si>
  <si>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</si>
  <si>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</si>
  <si>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</si>
  <si>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</si>
  <si>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</si>
  <si>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</si>
  <si>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</si>
  <si>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</si>
  <si>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</si>
  <si>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</si>
  <si>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</si>
  <si>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Banette-Mega</t>
  </si>
  <si>
    <t>Duskull</t>
  </si>
  <si>
    <t>Dusclops</t>
  </si>
  <si>
    <t>Tropius</t>
  </si>
  <si>
    <t>Chimecho-Mega</t>
  </si>
  <si>
    <t>chimecho-mega</t>
  </si>
  <si>
    <t>Absol</t>
  </si>
  <si>
    <t>Absol-Mega</t>
  </si>
  <si>
    <t>Absol-Mega-Z</t>
  </si>
  <si>
    <t>absol-megaz</t>
  </si>
  <si>
    <t>Wynaut</t>
  </si>
  <si>
    <t>Snorunt</t>
  </si>
  <si>
    <t>Glalie</t>
  </si>
  <si>
    <t>Glalie-Mega</t>
  </si>
  <si>
    <t>Spheal</t>
  </si>
  <si>
    <t>Sealeo</t>
  </si>
  <si>
    <t>Walrein</t>
  </si>
  <si>
    <t>Clamperl</t>
  </si>
  <si>
    <t>Huntail</t>
  </si>
  <si>
    <t>Gorebyss</t>
  </si>
  <si>
    <t>Relicanth</t>
  </si>
  <si>
    <t>Luvdisc</t>
  </si>
  <si>
    <t>Bagon</t>
  </si>
  <si>
    <t>Shelgon</t>
  </si>
  <si>
    <t>Salamence</t>
  </si>
  <si>
    <t>Salamence-Mega</t>
  </si>
  <si>
    <t>Beldum</t>
  </si>
  <si>
    <t>Metang</t>
  </si>
  <si>
    <t>Metagross</t>
  </si>
  <si>
    <t>Metagross-Mega</t>
  </si>
  <si>
    <t>Regirock</t>
  </si>
  <si>
    <t>Regice</t>
  </si>
  <si>
    <t>Registeel</t>
  </si>
  <si>
    <t>Latias</t>
  </si>
  <si>
    <t>Latias-Mega</t>
  </si>
  <si>
    <t>Latios</t>
  </si>
  <si>
    <t>Latios-Mega</t>
  </si>
  <si>
    <t>Kyogre</t>
  </si>
  <si>
    <t>Bibarel</t>
  </si>
  <si>
    <t>Palossand</t>
  </si>
  <si>
    <t>Sawsbuck</t>
  </si>
  <si>
    <t>Kyogre-Primal</t>
  </si>
  <si>
    <t>Bellibolt</t>
  </si>
  <si>
    <t>Groudon</t>
  </si>
  <si>
    <t>Cinderace</t>
  </si>
  <si>
    <t>Lucario</t>
  </si>
  <si>
    <t>Mystic Water</t>
  </si>
  <si>
    <t>Alomomola</t>
  </si>
  <si>
    <t>Groudon-Primal</t>
  </si>
  <si>
    <t>Type: Null</t>
  </si>
  <si>
    <t>Protective Pads</t>
  </si>
  <si>
    <t>Rayquaza</t>
  </si>
  <si>
    <t>Simple</t>
  </si>
  <si>
    <t>Shell Armor</t>
  </si>
  <si>
    <t>Water Compaction</t>
  </si>
  <si>
    <t>Shield Dust</t>
  </si>
  <si>
    <t>Serene Grace</t>
  </si>
  <si>
    <t>Water Absorb</t>
  </si>
  <si>
    <t>Rayquaza-Mega</t>
  </si>
  <si>
    <t>Magnet</t>
  </si>
  <si>
    <t>Careful</t>
  </si>
  <si>
    <t>Tanga Berry</t>
  </si>
  <si>
    <t>Bold</t>
  </si>
  <si>
    <t>Soothe Bell</t>
  </si>
  <si>
    <t>Jirachi</t>
  </si>
  <si>
    <t>Electromorphosis</t>
  </si>
  <si>
    <t>Protean</t>
  </si>
  <si>
    <t>Inner Focus</t>
  </si>
  <si>
    <t>Regenerator</t>
  </si>
  <si>
    <t>Deoxys</t>
  </si>
  <si>
    <t>Crabhammer</t>
  </si>
  <si>
    <t>Shore Up</t>
  </si>
  <si>
    <t>Deoxys-Attack</t>
  </si>
  <si>
    <t>Curse</t>
  </si>
  <si>
    <t>Lonely</t>
  </si>
  <si>
    <t>Deoxys-Defense</t>
  </si>
  <si>
    <t>Psychic</t>
  </si>
  <si>
    <t>Deoxys-Speed</t>
  </si>
  <si>
    <t>Hammer Arm</t>
  </si>
  <si>
    <t>Turtwig</t>
  </si>
  <si>
    <t>Will-O-Wisp</t>
  </si>
  <si>
    <t>Horn Leech</t>
  </si>
  <si>
    <t>Giga Drain</t>
  </si>
  <si>
    <t>Aqua Tail</t>
  </si>
  <si>
    <t>Grotle</t>
  </si>
  <si>
    <t>Sailor MSPaint [Double]</t>
  </si>
  <si>
    <t>Quick Attack</t>
  </si>
  <si>
    <t>Blaze Kick</t>
  </si>
  <si>
    <t>Wish</t>
  </si>
  <si>
    <t>Torterra</t>
  </si>
  <si>
    <t>Shadow Claw</t>
  </si>
  <si>
    <t>Muddy Water</t>
  </si>
  <si>
    <t>Hyper Fang</t>
  </si>
  <si>
    <t>Taunt</t>
  </si>
  <si>
    <t>Tailwind</t>
  </si>
  <si>
    <t>Chimchar</t>
  </si>
  <si>
    <t>Toxic</t>
  </si>
  <si>
    <t>Bulldoze</t>
  </si>
  <si>
    <t>Needle Arm</t>
  </si>
  <si>
    <t>Work Up</t>
  </si>
  <si>
    <t>Monferno</t>
  </si>
  <si>
    <t>Vacuum Wave</t>
  </si>
  <si>
    <t>Flip Turn</t>
  </si>
  <si>
    <t>Frustration</t>
  </si>
  <si>
    <t>Route 102</t>
  </si>
  <si>
    <t>Infernape</t>
  </si>
  <si>
    <t>Soak</t>
  </si>
  <si>
    <t>Low Kick</t>
  </si>
  <si>
    <t>Spiky Shield</t>
  </si>
  <si>
    <t>Scary Face</t>
  </si>
  <si>
    <t>Piplup</t>
  </si>
  <si>
    <t>Rustboro Rival Fennekin</t>
  </si>
  <si>
    <t>Youngster Calvin</t>
  </si>
  <si>
    <t>Prinplup</t>
  </si>
  <si>
    <t>Empoleon</t>
  </si>
  <si>
    <t>Starly</t>
  </si>
  <si>
    <t>Staravia</t>
  </si>
  <si>
    <t>Staraptor</t>
  </si>
  <si>
    <t>Staraptor-Mega</t>
  </si>
  <si>
    <t>staraptor-mega</t>
  </si>
  <si>
    <t>Bidoof</t>
  </si>
  <si>
    <t>Kricketot</t>
  </si>
  <si>
    <t>Kricketune</t>
  </si>
  <si>
    <t>Shinx</t>
  </si>
  <si>
    <t>Luxio</t>
  </si>
  <si>
    <t>Luxray</t>
  </si>
  <si>
    <t>Budew</t>
  </si>
  <si>
    <t>Roserade</t>
  </si>
  <si>
    <t>Cranidos</t>
  </si>
  <si>
    <t>Rampardos</t>
  </si>
  <si>
    <t>Shieldon</t>
  </si>
  <si>
    <t>Bastiodon</t>
  </si>
  <si>
    <t>Burmy</t>
  </si>
  <si>
    <t>Wormadam-Trash</t>
  </si>
  <si>
    <t>Combee</t>
  </si>
  <si>
    <t>Vespiquen</t>
  </si>
  <si>
    <t>Pachirisu</t>
  </si>
  <si>
    <t>Buizel</t>
  </si>
  <si>
    <t>Floatzel</t>
  </si>
  <si>
    <t>Cherubi</t>
  </si>
  <si>
    <t>Cherrim</t>
  </si>
  <si>
    <t>Shellos</t>
  </si>
  <si>
    <t>Ambipom</t>
  </si>
  <si>
    <t>Drifloon</t>
  </si>
  <si>
    <t>Drifblim</t>
  </si>
  <si>
    <t>Buneary</t>
  </si>
  <si>
    <t>Lopunny</t>
  </si>
  <si>
    <t>Lopunny-Mega</t>
  </si>
  <si>
    <t>Mismagius</t>
  </si>
  <si>
    <t>Honchkrow</t>
  </si>
  <si>
    <t>Glameow</t>
  </si>
  <si>
    <t>Chingling</t>
  </si>
  <si>
    <t>Stunky</t>
  </si>
  <si>
    <t>Skuntank</t>
  </si>
  <si>
    <t>Bronzor</t>
  </si>
  <si>
    <t>Bronzong</t>
  </si>
  <si>
    <t>Bonsly</t>
  </si>
  <si>
    <t>Mime Jr.</t>
  </si>
  <si>
    <t>mimejr</t>
  </si>
  <si>
    <t>Happiny</t>
  </si>
  <si>
    <t>Chatot</t>
  </si>
  <si>
    <t>Spiritomb</t>
  </si>
  <si>
    <t>Gible</t>
  </si>
  <si>
    <t>Gabite</t>
  </si>
  <si>
    <t>Garchomp</t>
  </si>
  <si>
    <t>Greninja</t>
  </si>
  <si>
    <t>Garchomp-Mega</t>
  </si>
  <si>
    <t>Salazzle</t>
  </si>
  <si>
    <t>Garchomp-Mega-Z</t>
  </si>
  <si>
    <t>garchomp-megaz</t>
  </si>
  <si>
    <t>Wise Glasses</t>
  </si>
  <si>
    <t>Shuca Berry</t>
  </si>
  <si>
    <t>Munchlax</t>
  </si>
  <si>
    <t>Soundproof</t>
  </si>
  <si>
    <t>Corrosion</t>
  </si>
  <si>
    <t>Wyrdeer</t>
  </si>
  <si>
    <t>Zebstrika</t>
  </si>
  <si>
    <t>Comfey</t>
  </si>
  <si>
    <t>Custap Berry</t>
  </si>
  <si>
    <t>Electric Gem</t>
  </si>
  <si>
    <t>Lucario-Mega</t>
  </si>
  <si>
    <t>Sap Sipper</t>
  </si>
  <si>
    <t>Lucario-Mega-Z</t>
  </si>
  <si>
    <t>Flower Veil</t>
  </si>
  <si>
    <t>lucario-megaz</t>
  </si>
  <si>
    <t>Bullet Punch</t>
  </si>
  <si>
    <t>Venoshock</t>
  </si>
  <si>
    <t>Leech Seed</t>
  </si>
  <si>
    <t>Petal Blizzard</t>
  </si>
  <si>
    <t>High Jump Kick</t>
  </si>
  <si>
    <t>Hippopotas</t>
  </si>
  <si>
    <t>Wild Charge</t>
  </si>
  <si>
    <t>Endeavor</t>
  </si>
  <si>
    <t>Light Screen</t>
  </si>
  <si>
    <t>Rustboro Rival Froakie</t>
  </si>
  <si>
    <t>Follow Me</t>
  </si>
  <si>
    <t>Reflect</t>
  </si>
  <si>
    <t>Oinkologne</t>
  </si>
  <si>
    <t>Psyshield Bash</t>
  </si>
  <si>
    <t>Feint</t>
  </si>
  <si>
    <t>Gumshoos</t>
  </si>
  <si>
    <t>Floral Healing</t>
  </si>
  <si>
    <t>Talonflame</t>
  </si>
  <si>
    <t>Endure</t>
  </si>
  <si>
    <t>Agility</t>
  </si>
  <si>
    <t>Hippowdon</t>
  </si>
  <si>
    <t>Slateport Museum</t>
  </si>
  <si>
    <t>Skorupi</t>
  </si>
  <si>
    <t>Liechi Berry</t>
  </si>
  <si>
    <t>Drapion</t>
  </si>
  <si>
    <t>Red Card</t>
  </si>
  <si>
    <t>Museum Team Aqua Grunt</t>
  </si>
  <si>
    <t>Croagunk</t>
  </si>
  <si>
    <t>Lingering Aroma</t>
  </si>
  <si>
    <t>Toxicroak</t>
  </si>
  <si>
    <t>Stakeout</t>
  </si>
  <si>
    <t>Flame Body</t>
  </si>
  <si>
    <t>Finneon</t>
  </si>
  <si>
    <t>Lumineon</t>
  </si>
  <si>
    <t>Mantyke</t>
  </si>
  <si>
    <t>Stuff Cheeks</t>
  </si>
  <si>
    <t>Facade</t>
  </si>
  <si>
    <t>Snover</t>
  </si>
  <si>
    <t>Abomasnow</t>
  </si>
  <si>
    <t>Ice Fang</t>
  </si>
  <si>
    <t>Acrobatics</t>
  </si>
  <si>
    <t>Abomasnow-Mega</t>
  </si>
  <si>
    <t>Weavile</t>
  </si>
  <si>
    <t>Reversal</t>
  </si>
  <si>
    <t>Magnezone</t>
  </si>
  <si>
    <t>Bug Catcher Beni</t>
  </si>
  <si>
    <t>Lickilicky</t>
  </si>
  <si>
    <t>Rhyperior</t>
  </si>
  <si>
    <t>Tangrowth</t>
  </si>
  <si>
    <t>Electivire</t>
  </si>
  <si>
    <t>Magmortar</t>
  </si>
  <si>
    <t>Togekiss</t>
  </si>
  <si>
    <t>Yanmega</t>
  </si>
  <si>
    <t>Leafeon</t>
  </si>
  <si>
    <t>Glaceon</t>
  </si>
  <si>
    <t>Gliscor</t>
  </si>
  <si>
    <t>Mamoswine</t>
  </si>
  <si>
    <t>Porygon-Z</t>
  </si>
  <si>
    <t>porygonz</t>
  </si>
  <si>
    <t>Gallade</t>
  </si>
  <si>
    <t>Gallade-Mega</t>
  </si>
  <si>
    <t>Probopass</t>
  </si>
  <si>
    <t>Dusknoir</t>
  </si>
  <si>
    <t>Froslass</t>
  </si>
  <si>
    <t>Froslass-Mega</t>
  </si>
  <si>
    <t>froslass-mega</t>
  </si>
  <si>
    <t>Rotom</t>
  </si>
  <si>
    <t>Rotom-Frost</t>
  </si>
  <si>
    <t>Rotom-Heat</t>
  </si>
  <si>
    <t>Rotom-Mow</t>
  </si>
  <si>
    <t>Rotom-Fan</t>
  </si>
  <si>
    <t>Rotom-Wash</t>
  </si>
  <si>
    <t>Uxie</t>
  </si>
  <si>
    <t>Mesprit</t>
  </si>
  <si>
    <t>Azelf</t>
  </si>
  <si>
    <t>Dialga</t>
  </si>
  <si>
    <t>Dialga-Origin</t>
  </si>
  <si>
    <t>Palkia</t>
  </si>
  <si>
    <t>Palkia-Origin</t>
  </si>
  <si>
    <t>Heatran</t>
  </si>
  <si>
    <t>Heatran-Mega</t>
  </si>
  <si>
    <t>Heatran-mega</t>
  </si>
  <si>
    <t>Regigigas</t>
  </si>
  <si>
    <t>Giratina</t>
  </si>
  <si>
    <t>Giratina-Origin</t>
  </si>
  <si>
    <t>Cresselia</t>
  </si>
  <si>
    <t>Manaphy</t>
  </si>
  <si>
    <t>Darkrai</t>
  </si>
  <si>
    <t>Darkrai-Mega</t>
  </si>
  <si>
    <t>darkrai-mega</t>
  </si>
  <si>
    <t>Basculin</t>
  </si>
  <si>
    <t>Liepard</t>
  </si>
  <si>
    <t>Shaymin</t>
  </si>
  <si>
    <t>Choice Band</t>
  </si>
  <si>
    <t>Reckless</t>
  </si>
  <si>
    <t>Shed Skin</t>
  </si>
  <si>
    <t>Wave Crash</t>
  </si>
  <si>
    <t>Assist</t>
  </si>
  <si>
    <t>Double-Edge</t>
  </si>
  <si>
    <t>Poison Tail</t>
  </si>
  <si>
    <t>Shaymin-Sky</t>
  </si>
  <si>
    <t>Arceus</t>
  </si>
  <si>
    <t>Dragon Tail</t>
  </si>
  <si>
    <t>Arceus-Bug</t>
  </si>
  <si>
    <t>Arceus-Dark</t>
  </si>
  <si>
    <t>Arceus-Dragon</t>
  </si>
  <si>
    <t>Museum Team Aqua Elite Grunt</t>
  </si>
  <si>
    <t>Arceus-Electric</t>
  </si>
  <si>
    <t>Arceus-Fairy</t>
  </si>
  <si>
    <t>Arceus-Fighting</t>
  </si>
  <si>
    <t>Arceus-Fire</t>
  </si>
  <si>
    <t>Arceus-Flying</t>
  </si>
  <si>
    <t>Spidops</t>
  </si>
  <si>
    <t>Meowscarada</t>
  </si>
  <si>
    <t>Arceus-Ghost</t>
  </si>
  <si>
    <t>Arceus-Grass</t>
  </si>
  <si>
    <t>Arceus-Ground</t>
  </si>
  <si>
    <t>Hondew Berry</t>
  </si>
  <si>
    <t>Flying Gem</t>
  </si>
  <si>
    <t>Coba Berry</t>
  </si>
  <si>
    <t>Arceus-Ice</t>
  </si>
  <si>
    <t>Punching Glove</t>
  </si>
  <si>
    <t>Arceus-Poison</t>
  </si>
  <si>
    <t>Swift Swim</t>
  </si>
  <si>
    <t>Iron Fist</t>
  </si>
  <si>
    <t>Arceus-Psychic</t>
  </si>
  <si>
    <t>Arceus-Rock</t>
  </si>
  <si>
    <t>Arceus-Steel</t>
  </si>
  <si>
    <t>Arceus-Water</t>
  </si>
  <si>
    <t>Icy Wind</t>
  </si>
  <si>
    <t>First Impression</t>
  </si>
  <si>
    <t>Victini</t>
  </si>
  <si>
    <t>Snivy</t>
  </si>
  <si>
    <t>U-Turn</t>
  </si>
  <si>
    <t>Leech Life</t>
  </si>
  <si>
    <t>Servine</t>
  </si>
  <si>
    <t>Natural Gift</t>
  </si>
  <si>
    <t>Silk Trap</t>
  </si>
  <si>
    <t>Serperior</t>
  </si>
  <si>
    <t>Tepig</t>
  </si>
  <si>
    <t>Baton Pass</t>
  </si>
  <si>
    <t>Spider Web</t>
  </si>
  <si>
    <t>Pignite</t>
  </si>
  <si>
    <t>Emboar</t>
  </si>
  <si>
    <t>Youngster Joey</t>
  </si>
  <si>
    <t>Emboar-Mega</t>
  </si>
  <si>
    <t>emboar-mega</t>
  </si>
  <si>
    <t>Route 106</t>
  </si>
  <si>
    <t>Fisherman Elliot &amp; Fisherman Ned [Double]</t>
  </si>
  <si>
    <t>Dewott</t>
  </si>
  <si>
    <t>Samurott</t>
  </si>
  <si>
    <t>Samurott-Hisui</t>
  </si>
  <si>
    <t>Patrat</t>
  </si>
  <si>
    <t>Watchog</t>
  </si>
  <si>
    <t>Lillipup</t>
  </si>
  <si>
    <t>Herdier</t>
  </si>
  <si>
    <t>Stoutland</t>
  </si>
  <si>
    <t>Purrloin</t>
  </si>
  <si>
    <t>Pansage</t>
  </si>
  <si>
    <t>Pansear</t>
  </si>
  <si>
    <t>Simisear</t>
  </si>
  <si>
    <t>Panpour</t>
  </si>
  <si>
    <t>Simipour</t>
  </si>
  <si>
    <t>Munna</t>
  </si>
  <si>
    <t>Musharna</t>
  </si>
  <si>
    <t>Pidove</t>
  </si>
  <si>
    <t>Tranquill</t>
  </si>
  <si>
    <t>Unfezant</t>
  </si>
  <si>
    <t>Blitzle</t>
  </si>
  <si>
    <t>Roggenrola</t>
  </si>
  <si>
    <t>Boldore</t>
  </si>
  <si>
    <t>Gigalith</t>
  </si>
  <si>
    <t>Woobat</t>
  </si>
  <si>
    <t>Swoobat</t>
  </si>
  <si>
    <t>Drilbur</t>
  </si>
  <si>
    <t>Excadrill</t>
  </si>
  <si>
    <t>Excadrill-Mega</t>
  </si>
  <si>
    <t>excadrill-mega</t>
  </si>
  <si>
    <t>Audino</t>
  </si>
  <si>
    <t>Pangoro</t>
  </si>
  <si>
    <t>Audino-Mega</t>
  </si>
  <si>
    <t>Timburr</t>
  </si>
  <si>
    <t>Gurdurr</t>
  </si>
  <si>
    <t>Conkeldurr</t>
  </si>
  <si>
    <t>White Herb</t>
  </si>
  <si>
    <t>Banettite</t>
  </si>
  <si>
    <t>Tympole</t>
  </si>
  <si>
    <t>Clear Body</t>
  </si>
  <si>
    <t>Palpitoad</t>
  </si>
  <si>
    <t>Seismitoad</t>
  </si>
  <si>
    <t>Sawk</t>
  </si>
  <si>
    <t>Sewaddle</t>
  </si>
  <si>
    <t>Swadloon</t>
  </si>
  <si>
    <t>Mystical Power</t>
  </si>
  <si>
    <t>Darkest Lariat</t>
  </si>
  <si>
    <t>Poison Jab</t>
  </si>
  <si>
    <t>Leavanny</t>
  </si>
  <si>
    <t>Venipede</t>
  </si>
  <si>
    <t>Parting Shot</t>
  </si>
  <si>
    <t>Dive</t>
  </si>
  <si>
    <t>Whirlipede</t>
  </si>
  <si>
    <t>Scolipede</t>
  </si>
  <si>
    <t>Mirror Coat</t>
  </si>
  <si>
    <t>Scolipede-Mega</t>
  </si>
  <si>
    <t>Icicle Cave</t>
  </si>
  <si>
    <t>scolipede-mega</t>
  </si>
  <si>
    <t>Lass Haley</t>
  </si>
  <si>
    <t>Cottonee</t>
  </si>
  <si>
    <t>Arboliva</t>
  </si>
  <si>
    <t>Heliolisk</t>
  </si>
  <si>
    <t>Clodsire</t>
  </si>
  <si>
    <t>Whimsicott</t>
  </si>
  <si>
    <t>Petilil</t>
  </si>
  <si>
    <t>Clear Amulet</t>
  </si>
  <si>
    <t>Lilligant</t>
  </si>
  <si>
    <t>Triage</t>
  </si>
  <si>
    <t>Dry Skin</t>
  </si>
  <si>
    <t>Lilligant-Hisui</t>
  </si>
  <si>
    <t>Sandile</t>
  </si>
  <si>
    <t>Parabolic Charge</t>
  </si>
  <si>
    <t>Krokorok</t>
  </si>
  <si>
    <t>Draining Kiss</t>
  </si>
  <si>
    <t>Synthesis</t>
  </si>
  <si>
    <t>Swift</t>
  </si>
  <si>
    <t>Krookodile</t>
  </si>
  <si>
    <t>Darumaka</t>
  </si>
  <si>
    <t>Darumaka-Galar</t>
  </si>
  <si>
    <t>Electro Ball</t>
  </si>
  <si>
    <t>Darmanitan</t>
  </si>
  <si>
    <t>Darmanitan-Zen</t>
  </si>
  <si>
    <t>Lass Tiana</t>
  </si>
  <si>
    <t>darmanitan-zen</t>
  </si>
  <si>
    <t>Darmanitan-Galar</t>
  </si>
  <si>
    <t>Darmanitan-Zen-Galar</t>
  </si>
  <si>
    <t>darmanitan-galarzen</t>
  </si>
  <si>
    <t>Maractus</t>
  </si>
  <si>
    <t>Dwebble</t>
  </si>
  <si>
    <t>Crustle</t>
  </si>
  <si>
    <t>Scraggy</t>
  </si>
  <si>
    <t>Scrafty</t>
  </si>
  <si>
    <t>Scrafty-Mega</t>
  </si>
  <si>
    <t>scrafty-mega</t>
  </si>
  <si>
    <t>Sigilyph</t>
  </si>
  <si>
    <t>Yamask</t>
  </si>
  <si>
    <t>Yamask-Galar</t>
  </si>
  <si>
    <t>Cofagrigus</t>
  </si>
  <si>
    <t>Tirtouga</t>
  </si>
  <si>
    <t>Carracosta</t>
  </si>
  <si>
    <t>Archen</t>
  </si>
  <si>
    <t>Luminous Moss</t>
  </si>
  <si>
    <t>Choice Scarf</t>
  </si>
  <si>
    <t>Archeops</t>
  </si>
  <si>
    <t>Wiki Berry</t>
  </si>
  <si>
    <t>Trubbish</t>
  </si>
  <si>
    <t>Lightning Rod</t>
  </si>
  <si>
    <t>Volt Absorb</t>
  </si>
  <si>
    <t>Garbodor</t>
  </si>
  <si>
    <t>Serious</t>
  </si>
  <si>
    <t>Garbodor-Gmax</t>
  </si>
  <si>
    <t>Zorua</t>
  </si>
  <si>
    <t>Zorua-Hisui</t>
  </si>
  <si>
    <t>Zoroark-Hisui</t>
  </si>
  <si>
    <t>Signal Beam</t>
  </si>
  <si>
    <t>Zoroark</t>
  </si>
  <si>
    <t>Minccino</t>
  </si>
  <si>
    <t>Bubble Beam</t>
  </si>
  <si>
    <t>Cinccino</t>
  </si>
  <si>
    <t>Gothita</t>
  </si>
  <si>
    <t>Gothorita</t>
  </si>
  <si>
    <t>Granite Cave</t>
  </si>
  <si>
    <t>Gothitelle</t>
  </si>
  <si>
    <t>Solosis</t>
  </si>
  <si>
    <t>Duosion</t>
  </si>
  <si>
    <t>Picnicker Emi [Double]</t>
  </si>
  <si>
    <t>Reuniclus</t>
  </si>
  <si>
    <t>Ducklett</t>
  </si>
  <si>
    <t>Swanna</t>
  </si>
  <si>
    <t>Vanillite</t>
  </si>
  <si>
    <t>Vanillish</t>
  </si>
  <si>
    <t>Vanilluxe</t>
  </si>
  <si>
    <t>Deerling</t>
  </si>
  <si>
    <t>Emolga</t>
  </si>
  <si>
    <t>Karrablast</t>
  </si>
  <si>
    <t>Escavalier</t>
  </si>
  <si>
    <t>Foongus</t>
  </si>
  <si>
    <t>Amoonguss</t>
  </si>
  <si>
    <t>Frillish</t>
  </si>
  <si>
    <t>Jellicent</t>
  </si>
  <si>
    <t>Joltik</t>
  </si>
  <si>
    <t>Galvantula</t>
  </si>
  <si>
    <t>Ferroseed</t>
  </si>
  <si>
    <t>Bombirdier</t>
  </si>
  <si>
    <t>Ferrothorn</t>
  </si>
  <si>
    <t>Orthworm</t>
  </si>
  <si>
    <t>Klink</t>
  </si>
  <si>
    <t>Klang</t>
  </si>
  <si>
    <t>Klinklang</t>
  </si>
  <si>
    <t>Cryogonal</t>
  </si>
  <si>
    <t>Tynamo</t>
  </si>
  <si>
    <t>Avalugg-Hisui</t>
  </si>
  <si>
    <t>Crabominable</t>
  </si>
  <si>
    <t>Steel Gem</t>
  </si>
  <si>
    <t>Eelektrik</t>
  </si>
  <si>
    <t>Scope Lens</t>
  </si>
  <si>
    <t>Lansat Berry</t>
  </si>
  <si>
    <t>Big Root</t>
  </si>
  <si>
    <t>Eelektross</t>
  </si>
  <si>
    <t>Rocky Payload</t>
  </si>
  <si>
    <t>Earth Eater</t>
  </si>
  <si>
    <t>Eelektross-Mega</t>
  </si>
  <si>
    <t>Sniper</t>
  </si>
  <si>
    <t>eelektross-mega</t>
  </si>
  <si>
    <t>Insomnia</t>
  </si>
  <si>
    <t>Light Clay</t>
  </si>
  <si>
    <t>Relaxed</t>
  </si>
  <si>
    <t>Hyper Cutter</t>
  </si>
  <si>
    <t>Elgyem</t>
  </si>
  <si>
    <t>Naive</t>
  </si>
  <si>
    <t>Air Cutter</t>
  </si>
  <si>
    <t>Freeze-Dry</t>
  </si>
  <si>
    <t>Chilly Reception</t>
  </si>
  <si>
    <t>Avalanche</t>
  </si>
  <si>
    <t>Aerial Ace</t>
  </si>
  <si>
    <t>Close Combat</t>
  </si>
  <si>
    <t>Pin Missile</t>
  </si>
  <si>
    <t>Roost</t>
  </si>
  <si>
    <t>Beheeyem</t>
  </si>
  <si>
    <t>Aurora Veil</t>
  </si>
  <si>
    <t>Psyshock</t>
  </si>
  <si>
    <t>Litwick</t>
  </si>
  <si>
    <t>Steel Beam</t>
  </si>
  <si>
    <t>Toxic Thread</t>
  </si>
  <si>
    <t>Ice Hammer</t>
  </si>
  <si>
    <t>Lampent</t>
  </si>
  <si>
    <t>Blizzard</t>
  </si>
  <si>
    <t>Route 104</t>
  </si>
  <si>
    <t>Chandelure</t>
  </si>
  <si>
    <t>Explosion</t>
  </si>
  <si>
    <t>Chandelure-Mega</t>
  </si>
  <si>
    <t>chandelure-mega</t>
  </si>
  <si>
    <t>Parasol Lady Saara</t>
  </si>
  <si>
    <t>Youngster Swede</t>
  </si>
  <si>
    <t>Axew</t>
  </si>
  <si>
    <t>Fraxure</t>
  </si>
  <si>
    <t>Haxorus</t>
  </si>
  <si>
    <t>Cubchoo</t>
  </si>
  <si>
    <t>Beartic</t>
  </si>
  <si>
    <t>Shelmet</t>
  </si>
  <si>
    <t>Accelgor</t>
  </si>
  <si>
    <t>Mienfoo</t>
  </si>
  <si>
    <t>Mienshao</t>
  </si>
  <si>
    <t>Golett</t>
  </si>
  <si>
    <t>Golurk</t>
  </si>
  <si>
    <t>Golurk-Mega</t>
  </si>
  <si>
    <t>golurk-mega</t>
  </si>
  <si>
    <t>Pawniard</t>
  </si>
  <si>
    <t>Bisharp</t>
  </si>
  <si>
    <t>Bouffalant</t>
  </si>
  <si>
    <t>Rufflet</t>
  </si>
  <si>
    <t>Braviary</t>
  </si>
  <si>
    <t>Braviary-Hisui</t>
  </si>
  <si>
    <t>Vullaby</t>
  </si>
  <si>
    <t>Mandibuzz</t>
  </si>
  <si>
    <t>Heatmor</t>
  </si>
  <si>
    <t>Durant</t>
  </si>
  <si>
    <t>Deino</t>
  </si>
  <si>
    <t>Zweilous</t>
  </si>
  <si>
    <t>Hydreigon</t>
  </si>
  <si>
    <t>Larvesta</t>
  </si>
  <si>
    <t>Volcarona</t>
  </si>
  <si>
    <t>Cobalion</t>
  </si>
  <si>
    <t>Terrakion</t>
  </si>
  <si>
    <t>Virizion</t>
  </si>
  <si>
    <t>Tornadus</t>
  </si>
  <si>
    <t>Tornadus-Therian</t>
  </si>
  <si>
    <t>tornadus-therian</t>
  </si>
  <si>
    <t>Thundurus</t>
  </si>
  <si>
    <t>Thundurus-Therian</t>
  </si>
  <si>
    <t>thundurus-therian</t>
  </si>
  <si>
    <t>Reshiram</t>
  </si>
  <si>
    <t>Zekrom</t>
  </si>
  <si>
    <t>Landorus</t>
  </si>
  <si>
    <t>Landorus-Therian</t>
  </si>
  <si>
    <t>landorus-therian</t>
  </si>
  <si>
    <t>Kyurem</t>
  </si>
  <si>
    <t>Kyurem-Black</t>
  </si>
  <si>
    <t>Kyurem-White</t>
  </si>
  <si>
    <t>Keldeo</t>
  </si>
  <si>
    <t>Keldeo-Resolute</t>
  </si>
  <si>
    <t>keldeo-resolute</t>
  </si>
  <si>
    <t>Meloetta</t>
  </si>
  <si>
    <t>Meloetta-Pirouette</t>
  </si>
  <si>
    <t>Genesect</t>
  </si>
  <si>
    <t>Charjabug</t>
  </si>
  <si>
    <t>Chespin</t>
  </si>
  <si>
    <t>Quilladin</t>
  </si>
  <si>
    <t>Chesnaught</t>
  </si>
  <si>
    <t>Chesnaught-Mega</t>
  </si>
  <si>
    <t>Petaya Berry</t>
  </si>
  <si>
    <t>chesnaught-mega</t>
  </si>
  <si>
    <t>Enigma Berry</t>
  </si>
  <si>
    <t>Friend Guard</t>
  </si>
  <si>
    <t>Vital Spirit</t>
  </si>
  <si>
    <t>Battery</t>
  </si>
  <si>
    <t>Fennekin</t>
  </si>
  <si>
    <t>Electroweb</t>
  </si>
  <si>
    <t>Ominous Wind</t>
  </si>
  <si>
    <t>Sing</t>
  </si>
  <si>
    <t>Struggle Bug</t>
  </si>
  <si>
    <t>Inferno</t>
  </si>
  <si>
    <t>Zap Cannon</t>
  </si>
  <si>
    <t>Braixen</t>
  </si>
  <si>
    <t>Charge Beam</t>
  </si>
  <si>
    <t>Calm Mind</t>
  </si>
  <si>
    <t>Delphox</t>
  </si>
  <si>
    <t>Ranger Zoe [Double]</t>
  </si>
  <si>
    <t>Delphox-Mega</t>
  </si>
  <si>
    <t>Psychic Gem</t>
  </si>
  <si>
    <t>delphox-mega</t>
  </si>
  <si>
    <t>Slush Rush</t>
  </si>
  <si>
    <t>Magic Guard</t>
  </si>
  <si>
    <t>Ice Body</t>
  </si>
  <si>
    <t>Cloud Nine</t>
  </si>
  <si>
    <t>Froakie</t>
  </si>
  <si>
    <t>Icicle Spear</t>
  </si>
  <si>
    <t>Dual Wingbeat</t>
  </si>
  <si>
    <t>Dark Gem</t>
  </si>
  <si>
    <t>Salac Berry</t>
  </si>
  <si>
    <t>Wood Hammer</t>
  </si>
  <si>
    <t>Future Sight</t>
  </si>
  <si>
    <t>Hustle</t>
  </si>
  <si>
    <t>Dragon Dance</t>
  </si>
  <si>
    <t>Frogadier</t>
  </si>
  <si>
    <t>Guitarist Marcos</t>
  </si>
  <si>
    <t>Greninja-Mega</t>
  </si>
  <si>
    <t>greninja-mega</t>
  </si>
  <si>
    <t>Greninja-Ash</t>
  </si>
  <si>
    <t>Retaliate</t>
  </si>
  <si>
    <t>Bunnelby</t>
  </si>
  <si>
    <t>Fisherman Darian</t>
  </si>
  <si>
    <t>Diggersby</t>
  </si>
  <si>
    <t>Fletchling</t>
  </si>
  <si>
    <t>Fletchinder</t>
  </si>
  <si>
    <t>Scatterbug</t>
  </si>
  <si>
    <t>Spewpa</t>
  </si>
  <si>
    <t>Vivillon</t>
  </si>
  <si>
    <t>Litleo</t>
  </si>
  <si>
    <t>Pyroar</t>
  </si>
  <si>
    <t>Pyroar-Mega</t>
  </si>
  <si>
    <t>pyroar-mega</t>
  </si>
  <si>
    <t>Flabebe</t>
  </si>
  <si>
    <t>Floette</t>
  </si>
  <si>
    <t>Floette-Eternal</t>
  </si>
  <si>
    <t>Floette-Eternal-Mega</t>
  </si>
  <si>
    <t>floette-eternal-mega</t>
  </si>
  <si>
    <t>Florges</t>
  </si>
  <si>
    <t>Skiddo</t>
  </si>
  <si>
    <t>Gogoat</t>
  </si>
  <si>
    <t>Pancham</t>
  </si>
  <si>
    <t>Furfrou</t>
  </si>
  <si>
    <t>Espurr</t>
  </si>
  <si>
    <t>Meowstic</t>
  </si>
  <si>
    <t>Meowstic-F</t>
  </si>
  <si>
    <t>Meowstic-Mega</t>
  </si>
  <si>
    <t>meowstic-mega</t>
  </si>
  <si>
    <t>Honedge</t>
  </si>
  <si>
    <t>Doublade</t>
  </si>
  <si>
    <t>Aegislash</t>
  </si>
  <si>
    <t>Aegislash-Blade</t>
  </si>
  <si>
    <t>Spritzee</t>
  </si>
  <si>
    <t>Swirlix</t>
  </si>
  <si>
    <t>Slurpuff</t>
  </si>
  <si>
    <t>Inkay</t>
  </si>
  <si>
    <t>Malamar</t>
  </si>
  <si>
    <t>Malamar-Mega</t>
  </si>
  <si>
    <t>malamar-mega</t>
  </si>
  <si>
    <t>Binacle</t>
  </si>
  <si>
    <t>Barbaracle</t>
  </si>
  <si>
    <t>Barbaracle-Mega</t>
  </si>
  <si>
    <t>barbaracle-mega</t>
  </si>
  <si>
    <t>Skrelp</t>
  </si>
  <si>
    <t>Dragalge</t>
  </si>
  <si>
    <t>Dragalge-Mega</t>
  </si>
  <si>
    <t>dragalge-mega</t>
  </si>
  <si>
    <t>Clauncher</t>
  </si>
  <si>
    <t>Polteageist</t>
  </si>
  <si>
    <t>Alcremie</t>
  </si>
  <si>
    <t>Flapple</t>
  </si>
  <si>
    <t>Safety Goggles</t>
  </si>
  <si>
    <t>Starf Berry</t>
  </si>
  <si>
    <t>Helioptile</t>
  </si>
  <si>
    <t>Ganlon Berry</t>
  </si>
  <si>
    <t>Assault Vest</t>
  </si>
  <si>
    <t>Snow Cloak</t>
  </si>
  <si>
    <t>Weak Armor</t>
  </si>
  <si>
    <t>Cud Chew</t>
  </si>
  <si>
    <t>Ripen</t>
  </si>
  <si>
    <t>Tyrunt</t>
  </si>
  <si>
    <t>Thick Fat</t>
  </si>
  <si>
    <t>Harvest</t>
  </si>
  <si>
    <t>Tyrantrum</t>
  </si>
  <si>
    <t>Amaura</t>
  </si>
  <si>
    <t>Aurorus</t>
  </si>
  <si>
    <t>Sylveon</t>
  </si>
  <si>
    <t>Pyukumuku</t>
  </si>
  <si>
    <t>Teatime</t>
  </si>
  <si>
    <t>Double Kick</t>
  </si>
  <si>
    <t>Grav Apple</t>
  </si>
  <si>
    <t>Hex</t>
  </si>
  <si>
    <t>Lash Out</t>
  </si>
  <si>
    <t>Dragon Breath</t>
  </si>
  <si>
    <t>Acid Armor</t>
  </si>
  <si>
    <t>Destiny Bond</t>
  </si>
  <si>
    <t>Ice Shard</t>
  </si>
  <si>
    <t>Ice Ball</t>
  </si>
  <si>
    <t>Leer</t>
  </si>
  <si>
    <t>Stored Power</t>
  </si>
  <si>
    <t>Air Balloon</t>
  </si>
  <si>
    <t>Defense Curl</t>
  </si>
  <si>
    <t>Blackbelt Bryant</t>
  </si>
  <si>
    <t>Icicle Crash</t>
  </si>
  <si>
    <t>Innards Out</t>
  </si>
  <si>
    <t>Alluring Voice</t>
  </si>
  <si>
    <t>Ex Elite Four Glacia 1</t>
  </si>
  <si>
    <t>Hawlucha</t>
  </si>
  <si>
    <t>Counter</t>
  </si>
  <si>
    <t>Zing Zap</t>
  </si>
  <si>
    <t>Dragon Rage</t>
  </si>
  <si>
    <t>Sweet Kiss</t>
  </si>
  <si>
    <t>Hawlucha-Mega</t>
  </si>
  <si>
    <t>hawlucha-mega</t>
  </si>
  <si>
    <t>Pain Split</t>
  </si>
  <si>
    <t>Dedenne</t>
  </si>
  <si>
    <t>Whirlpool</t>
  </si>
  <si>
    <t>Heart Stamp</t>
  </si>
  <si>
    <t>Perish Song</t>
  </si>
  <si>
    <t>Lady Cindy</t>
  </si>
  <si>
    <t>Carbink</t>
  </si>
  <si>
    <t>Goomy</t>
  </si>
  <si>
    <t>Sliggoo</t>
  </si>
  <si>
    <t>Sliggoo-Hisui</t>
  </si>
  <si>
    <t>Goodra</t>
  </si>
  <si>
    <t>Goodra-Hisui</t>
  </si>
  <si>
    <t>Klefki</t>
  </si>
  <si>
    <t>Phantump</t>
  </si>
  <si>
    <t>Trevenant</t>
  </si>
  <si>
    <t>Pumpkaboo</t>
  </si>
  <si>
    <t>Gourgeist-Small</t>
  </si>
  <si>
    <t>Gourgeist-Large</t>
  </si>
  <si>
    <t>Gourgeist-Super</t>
  </si>
  <si>
    <t>Gourgeist</t>
  </si>
  <si>
    <t>Bergmite</t>
  </si>
  <si>
    <t>Avalugg</t>
  </si>
  <si>
    <t>Noibat</t>
  </si>
  <si>
    <t>Noivern</t>
  </si>
  <si>
    <t>Xerneas</t>
  </si>
  <si>
    <t>Yveltal</t>
  </si>
  <si>
    <t>Zygarde</t>
  </si>
  <si>
    <t>Zygarde-10%</t>
  </si>
  <si>
    <t>zygarde-10</t>
  </si>
  <si>
    <t>Zygarde-C</t>
  </si>
  <si>
    <t>zygarde-complete</t>
  </si>
  <si>
    <t>Zygarde-Mega</t>
  </si>
  <si>
    <t>zygarde-mega</t>
  </si>
  <si>
    <t>Diancie</t>
  </si>
  <si>
    <t>Diancie-Mega</t>
  </si>
  <si>
    <t>Hoopa</t>
  </si>
  <si>
    <t>Hoopa-Unbound</t>
  </si>
  <si>
    <t>Volcanion</t>
  </si>
  <si>
    <t>Rowlet</t>
  </si>
  <si>
    <t>Dartrix</t>
  </si>
  <si>
    <t>Decidueye</t>
  </si>
  <si>
    <t>Decidueye-Hisui</t>
  </si>
  <si>
    <t>Torracat</t>
  </si>
  <si>
    <t>Incineroar</t>
  </si>
  <si>
    <t>Popplio</t>
  </si>
  <si>
    <t>Brionne</t>
  </si>
  <si>
    <t>Primarina</t>
  </si>
  <si>
    <t>Pikipek</t>
  </si>
  <si>
    <t>Trumbeak</t>
  </si>
  <si>
    <t>Toucannon</t>
  </si>
  <si>
    <t>Yungoos</t>
  </si>
  <si>
    <t>Grubbin</t>
  </si>
  <si>
    <t>Vikavolt</t>
  </si>
  <si>
    <t>Crabrawler</t>
  </si>
  <si>
    <t>Crabominable-Mega</t>
  </si>
  <si>
    <t>crabominable-mega</t>
  </si>
  <si>
    <t>Metronome</t>
  </si>
  <si>
    <t>Oricorio</t>
  </si>
  <si>
    <t>Normalize</t>
  </si>
  <si>
    <t>Cute Charm</t>
  </si>
  <si>
    <t>Oricorio-Pom-Pom</t>
  </si>
  <si>
    <t>Arctovish</t>
  </si>
  <si>
    <t>oricorio-pompom</t>
  </si>
  <si>
    <t>Calyrex</t>
  </si>
  <si>
    <t>Oricorio-Pau</t>
  </si>
  <si>
    <t>Kubfu</t>
  </si>
  <si>
    <t>oricorio-pau</t>
  </si>
  <si>
    <t>Kommo-O</t>
  </si>
  <si>
    <t>Oricorio-Sensu</t>
  </si>
  <si>
    <t>Fury Cutter</t>
  </si>
  <si>
    <t>Snore</t>
  </si>
  <si>
    <t>Attract</t>
  </si>
  <si>
    <t>Cutiefly</t>
  </si>
  <si>
    <t>Silver Wind</t>
  </si>
  <si>
    <t>Ribombee</t>
  </si>
  <si>
    <t>Heavy-Duty Boots</t>
  </si>
  <si>
    <t>Black Belt</t>
  </si>
  <si>
    <t>Petalburg Woods</t>
  </si>
  <si>
    <t>Rockruff</t>
  </si>
  <si>
    <t>Glalitite</t>
  </si>
  <si>
    <t>Lycanroc</t>
  </si>
  <si>
    <t>Unnerve</t>
  </si>
  <si>
    <t>Shadow Tag</t>
  </si>
  <si>
    <t>Refrigerate</t>
  </si>
  <si>
    <t>Bug Catcher Kenobi</t>
  </si>
  <si>
    <t>Lycanroc-Dusk</t>
  </si>
  <si>
    <t>Rash</t>
  </si>
  <si>
    <t>Lycanroc-Midnight</t>
  </si>
  <si>
    <t>Wishiwashi</t>
  </si>
  <si>
    <t>Wishiwashi-School</t>
  </si>
  <si>
    <t>Fishious Rend</t>
  </si>
  <si>
    <t>Lava Plume</t>
  </si>
  <si>
    <t>Mareanie</t>
  </si>
  <si>
    <t>Focus Punch</t>
  </si>
  <si>
    <t>Toxapex</t>
  </si>
  <si>
    <t>Acid Spray</t>
  </si>
  <si>
    <t>Mudbray</t>
  </si>
  <si>
    <t>Rock Smash</t>
  </si>
  <si>
    <t>Clanging Scales</t>
  </si>
  <si>
    <t>Hidden Power Fighting</t>
  </si>
  <si>
    <t>Mudsdale</t>
  </si>
  <si>
    <t>Teleport</t>
  </si>
  <si>
    <t>Super Fang</t>
  </si>
  <si>
    <t>Dewpider</t>
  </si>
  <si>
    <t>Ancient Power</t>
  </si>
  <si>
    <t>Araquanid</t>
  </si>
  <si>
    <t>Rest</t>
  </si>
  <si>
    <t>Fomantis</t>
  </si>
  <si>
    <t>Dewford Gym</t>
  </si>
  <si>
    <t>Lurantis</t>
  </si>
  <si>
    <t>Morelull</t>
  </si>
  <si>
    <t>Hiker Mike</t>
  </si>
  <si>
    <t>Shiinotic</t>
  </si>
  <si>
    <t>Blackbelt Takao</t>
  </si>
  <si>
    <t>Salandit</t>
  </si>
  <si>
    <t>Stufful</t>
  </si>
  <si>
    <t>Bewear</t>
  </si>
  <si>
    <t>Bounsweet</t>
  </si>
  <si>
    <t>Steenee</t>
  </si>
  <si>
    <t>Tsareena</t>
  </si>
  <si>
    <t>Oranguru</t>
  </si>
  <si>
    <t>Passimian</t>
  </si>
  <si>
    <t>Wimpod</t>
  </si>
  <si>
    <t>Golisopod</t>
  </si>
  <si>
    <t>Golisopod-Mega</t>
  </si>
  <si>
    <t>golisopod-mega</t>
  </si>
  <si>
    <t>Sandygast</t>
  </si>
  <si>
    <t>typenull</t>
  </si>
  <si>
    <t>Silvally</t>
  </si>
  <si>
    <t>Silvally-Fire</t>
  </si>
  <si>
    <t>Silvally-Flying</t>
  </si>
  <si>
    <t>Silvally-Poison</t>
  </si>
  <si>
    <t>Silvally-Ground</t>
  </si>
  <si>
    <t>Silvally-Rock</t>
  </si>
  <si>
    <t>Silvally-Bug</t>
  </si>
  <si>
    <t>Silvally-Fairy</t>
  </si>
  <si>
    <t>Silvally-Ice</t>
  </si>
  <si>
    <t>Silvally-Fighting</t>
  </si>
  <si>
    <t>Silvally-Water</t>
  </si>
  <si>
    <t>Silvally-Grass</t>
  </si>
  <si>
    <t>Silvally-Electric</t>
  </si>
  <si>
    <t>Silvally-Psychic</t>
  </si>
  <si>
    <t>Dipplin</t>
  </si>
  <si>
    <t>Silvally-Steel</t>
  </si>
  <si>
    <t>Silvally-Dragon</t>
  </si>
  <si>
    <t>Silvally-Dark</t>
  </si>
  <si>
    <t>Silvally-Ghost</t>
  </si>
  <si>
    <t>Charti Berry</t>
  </si>
  <si>
    <t>Minior</t>
  </si>
  <si>
    <t>Minior-Core</t>
  </si>
  <si>
    <t>minior-meteor</t>
  </si>
  <si>
    <t>Supersweet Syrup</t>
  </si>
  <si>
    <t>Komala</t>
  </si>
  <si>
    <t>Syrup Bomb</t>
  </si>
  <si>
    <t>Turtonator</t>
  </si>
  <si>
    <t>Togedemaru</t>
  </si>
  <si>
    <t>Infestation</t>
  </si>
  <si>
    <t>Mimikyu</t>
  </si>
  <si>
    <t>Powder</t>
  </si>
  <si>
    <t>Bruxish</t>
  </si>
  <si>
    <t>Bug Catcher James</t>
  </si>
  <si>
    <t>Drampa</t>
  </si>
  <si>
    <t>Drampa-Mega</t>
  </si>
  <si>
    <t>drampa-mega</t>
  </si>
  <si>
    <t>Dhelmise</t>
  </si>
  <si>
    <t>Jangmo-o</t>
  </si>
  <si>
    <t>jangmoo</t>
  </si>
  <si>
    <t>Hakamo-o</t>
  </si>
  <si>
    <t>hakamoo</t>
  </si>
  <si>
    <t>Kommo-o</t>
  </si>
  <si>
    <t>kommoo</t>
  </si>
  <si>
    <t>Tapu Koko</t>
  </si>
  <si>
    <t>tapukoko</t>
  </si>
  <si>
    <t>Tapu Lele</t>
  </si>
  <si>
    <t>tapulele</t>
  </si>
  <si>
    <t>Tapu Bulu</t>
  </si>
  <si>
    <t>tapubulu</t>
  </si>
  <si>
    <t>Tapu Fini</t>
  </si>
  <si>
    <t>tapufini</t>
  </si>
  <si>
    <t>Cosmog</t>
  </si>
  <si>
    <t>Cosmoem</t>
  </si>
  <si>
    <t>Solgaleo</t>
  </si>
  <si>
    <t>Lunala</t>
  </si>
  <si>
    <t>Nihilego</t>
  </si>
  <si>
    <t>Buzzwole</t>
  </si>
  <si>
    <t>Kee Berry</t>
  </si>
  <si>
    <t>Pheromosa</t>
  </si>
  <si>
    <t>Illuminate</t>
  </si>
  <si>
    <t>Xurkitree</t>
  </si>
  <si>
    <t>Celesteela</t>
  </si>
  <si>
    <t>Kartana</t>
  </si>
  <si>
    <t>Guzzlord</t>
  </si>
  <si>
    <t>Poltergeist</t>
  </si>
  <si>
    <t>Necrozma</t>
  </si>
  <si>
    <t>Necrozma-Dusk</t>
  </si>
  <si>
    <t>necrozma-duskmane</t>
  </si>
  <si>
    <t>Necrozma-Dawn</t>
  </si>
  <si>
    <t>necrozma-dawnwings</t>
  </si>
  <si>
    <t>Necrozma-Ultra</t>
  </si>
  <si>
    <t>Fire Spin</t>
  </si>
  <si>
    <t>Normal Gem</t>
  </si>
  <si>
    <t>Swagger</t>
  </si>
  <si>
    <t>Route 117</t>
  </si>
  <si>
    <t>Unburden</t>
  </si>
  <si>
    <t>Magearna</t>
  </si>
  <si>
    <t>Iron Barbs</t>
  </si>
  <si>
    <t>Magearna-Mega</t>
  </si>
  <si>
    <t>magearna-mega</t>
  </si>
  <si>
    <t>Rich Boy Techno</t>
  </si>
  <si>
    <t>Spore</t>
  </si>
  <si>
    <t>Marshadow</t>
  </si>
  <si>
    <t>Nuzzle</t>
  </si>
  <si>
    <t>Bullet Seed</t>
  </si>
  <si>
    <t>Poipole</t>
  </si>
  <si>
    <t>Battle Girl Laura</t>
  </si>
  <si>
    <t>Naganadel</t>
  </si>
  <si>
    <t>Stakataka</t>
  </si>
  <si>
    <t>Blacephalon</t>
  </si>
  <si>
    <t>Zeraora</t>
  </si>
  <si>
    <t>Zeraora-Mega</t>
  </si>
  <si>
    <t>zeraora-mega</t>
  </si>
  <si>
    <t>Leek</t>
  </si>
  <si>
    <t>Lucky Punch</t>
  </si>
  <si>
    <t>Effect Spore</t>
  </si>
  <si>
    <t>Meltan</t>
  </si>
  <si>
    <t>Natural Cure</t>
  </si>
  <si>
    <t>Melmetal</t>
  </si>
  <si>
    <t>Cross Poison</t>
  </si>
  <si>
    <t>Night Slash</t>
  </si>
  <si>
    <t>Egg Bomb</t>
  </si>
  <si>
    <t>Melmetal-Gmax</t>
  </si>
  <si>
    <t>Leaf Blade</t>
  </si>
  <si>
    <t>Grookey</t>
  </si>
  <si>
    <t>Bug Bite</t>
  </si>
  <si>
    <t>Thwackey</t>
  </si>
  <si>
    <t>Rillaboom</t>
  </si>
  <si>
    <t>Slash</t>
  </si>
  <si>
    <t>Rillaboom-Gmax</t>
  </si>
  <si>
    <t>Drill Run</t>
  </si>
  <si>
    <t>Minimize</t>
  </si>
  <si>
    <t>Scorbunny</t>
  </si>
  <si>
    <t>Woods Team Aqua Grunt</t>
  </si>
  <si>
    <t>Raboot</t>
  </si>
  <si>
    <t>Cinderace-Gmax</t>
  </si>
  <si>
    <t>Sobble</t>
  </si>
  <si>
    <t>Drizzile</t>
  </si>
  <si>
    <t>Inteleon</t>
  </si>
  <si>
    <t>Inteleon-Gmax</t>
  </si>
  <si>
    <t>Skwovet</t>
  </si>
  <si>
    <t>Greedent</t>
  </si>
  <si>
    <t>Rookidee</t>
  </si>
  <si>
    <t>Corvisquire</t>
  </si>
  <si>
    <t>Corviknight</t>
  </si>
  <si>
    <t>Corviknight-Gmax</t>
  </si>
  <si>
    <t>Blipbug</t>
  </si>
  <si>
    <t>Dottler</t>
  </si>
  <si>
    <t>Orbeetle</t>
  </si>
  <si>
    <t>Orbeetle-Gmax</t>
  </si>
  <si>
    <t>Nickit</t>
  </si>
  <si>
    <t>Thievul</t>
  </si>
  <si>
    <t>Gossifleur</t>
  </si>
  <si>
    <t>Eldegoss</t>
  </si>
  <si>
    <t>Wooloo</t>
  </si>
  <si>
    <t>Dubwool</t>
  </si>
  <si>
    <t>Chewtle</t>
  </si>
  <si>
    <t>Drednaw</t>
  </si>
  <si>
    <t>Drednaw-Gmax</t>
  </si>
  <si>
    <t>Yamper</t>
  </si>
  <si>
    <t>Boltund</t>
  </si>
  <si>
    <t>Rolycoly</t>
  </si>
  <si>
    <t>Carkol</t>
  </si>
  <si>
    <t>Coalossal</t>
  </si>
  <si>
    <t>Coalossal-Gmax</t>
  </si>
  <si>
    <t>Applin</t>
  </si>
  <si>
    <t>Flapple-Gmax</t>
  </si>
  <si>
    <t>Appletun</t>
  </si>
  <si>
    <t>Hatterene</t>
  </si>
  <si>
    <t>Appletun-Gmax</t>
  </si>
  <si>
    <t>Silicobra</t>
  </si>
  <si>
    <t>Sandaconda</t>
  </si>
  <si>
    <t>Magic Bounce</t>
  </si>
  <si>
    <t>Sandaconda-Gmax</t>
  </si>
  <si>
    <t>Cramorant</t>
  </si>
  <si>
    <t>Trick-or-Treat</t>
  </si>
  <si>
    <t>Pursuit</t>
  </si>
  <si>
    <t>Arrokuda</t>
  </si>
  <si>
    <t>Magic Powder</t>
  </si>
  <si>
    <t>Barraskewda</t>
  </si>
  <si>
    <t>Power Whip</t>
  </si>
  <si>
    <t>Power Trip</t>
  </si>
  <si>
    <t>Toxel</t>
  </si>
  <si>
    <t>Toxtricity</t>
  </si>
  <si>
    <t>Toxtricity-Low-Key</t>
  </si>
  <si>
    <t>Psychic Brandi</t>
  </si>
  <si>
    <t>toxtricity-lowkey</t>
  </si>
  <si>
    <t>Toxtricity-Gmax</t>
  </si>
  <si>
    <t>Sizzlipede</t>
  </si>
  <si>
    <t>Centiskorch</t>
  </si>
  <si>
    <t>Centiskorch-Gmax</t>
  </si>
  <si>
    <t>Clobbopus</t>
  </si>
  <si>
    <t>Toedscruel</t>
  </si>
  <si>
    <t>Grapploct</t>
  </si>
  <si>
    <t>Sinistea</t>
  </si>
  <si>
    <t>Hatenna</t>
  </si>
  <si>
    <t>Schooling</t>
  </si>
  <si>
    <t>Big Pecks</t>
  </si>
  <si>
    <t>Mycelium Might</t>
  </si>
  <si>
    <t>Hattrem</t>
  </si>
  <si>
    <t>Mild</t>
  </si>
  <si>
    <t>Hatterene-Gmax</t>
  </si>
  <si>
    <t>Chatter</t>
  </si>
  <si>
    <t>Twin Beam</t>
  </si>
  <si>
    <t>Impidimp</t>
  </si>
  <si>
    <t>Hyper Voice</t>
  </si>
  <si>
    <t>Double Hit</t>
  </si>
  <si>
    <t>Morgrem</t>
  </si>
  <si>
    <t>Grimmsnarl</t>
  </si>
  <si>
    <t>Grimmsnarl-Gmax</t>
  </si>
  <si>
    <t>Night Shade</t>
  </si>
  <si>
    <t>Obstagoon</t>
  </si>
  <si>
    <t>Perrserker</t>
  </si>
  <si>
    <t>Rich Boy Winston</t>
  </si>
  <si>
    <t>Cursola</t>
  </si>
  <si>
    <t>Sirfetch’d</t>
  </si>
  <si>
    <t>sirfetchd</t>
  </si>
  <si>
    <t>Mr. Rime</t>
  </si>
  <si>
    <t>mrrime</t>
  </si>
  <si>
    <t>Runerigus</t>
  </si>
  <si>
    <t>Cheek Pouch</t>
  </si>
  <si>
    <t>Milcery</t>
  </si>
  <si>
    <t>Alcremie-Gmax</t>
  </si>
  <si>
    <t>Thunder</t>
  </si>
  <si>
    <t>Falinks</t>
  </si>
  <si>
    <t>Dire Claw</t>
  </si>
  <si>
    <t>Falinks-Mega</t>
  </si>
  <si>
    <t>falinks-mega</t>
  </si>
  <si>
    <t>Shadow Punch</t>
  </si>
  <si>
    <t>Blackbelt Cristian</t>
  </si>
  <si>
    <t>Snom</t>
  </si>
  <si>
    <t>Frosmoth</t>
  </si>
  <si>
    <t>Stonjourner</t>
  </si>
  <si>
    <t>Eiscue</t>
  </si>
  <si>
    <t>Eiscue-Noice</t>
  </si>
  <si>
    <t>Indeedee</t>
  </si>
  <si>
    <t>Indeedee-F</t>
  </si>
  <si>
    <t>Morpeko</t>
  </si>
  <si>
    <t>Cufant</t>
  </si>
  <si>
    <t>Copperajah</t>
  </si>
  <si>
    <t>Copperajah-Gmax</t>
  </si>
  <si>
    <t>Dracozolt</t>
  </si>
  <si>
    <t>Arctozolt</t>
  </si>
  <si>
    <t>Dracovish</t>
  </si>
  <si>
    <t>Duraludon</t>
  </si>
  <si>
    <t>Duraludon-Gmax</t>
  </si>
  <si>
    <t>Dreepy</t>
  </si>
  <si>
    <t>Drakloak</t>
  </si>
  <si>
    <t>Dragapult</t>
  </si>
  <si>
    <t>Zacian</t>
  </si>
  <si>
    <t>Zacian-Crowned</t>
  </si>
  <si>
    <t>zacian-crowned</t>
  </si>
  <si>
    <t>Zamazenta</t>
  </si>
  <si>
    <t>Zamazenta-Crowned</t>
  </si>
  <si>
    <t>zamazenta-crowned</t>
  </si>
  <si>
    <t>Eternatus</t>
  </si>
  <si>
    <t>Chimechite</t>
  </si>
  <si>
    <t>Eternatus-Eternamax</t>
  </si>
  <si>
    <t>Colbur Berry</t>
  </si>
  <si>
    <t>eternatus-eternamax</t>
  </si>
  <si>
    <t>Power Herb</t>
  </si>
  <si>
    <t>Color Change</t>
  </si>
  <si>
    <t>Urshifu</t>
  </si>
  <si>
    <t>urshifu</t>
  </si>
  <si>
    <t>Urshifu-Single-Gmax</t>
  </si>
  <si>
    <t>urshifu-gmax</t>
  </si>
  <si>
    <t>Wonder Room</t>
  </si>
  <si>
    <t>Lovely Kiss</t>
  </si>
  <si>
    <t>Urshifu-Rapid-Strike</t>
  </si>
  <si>
    <t>Meteor Beam</t>
  </si>
  <si>
    <t>urshifu-rapidstrike</t>
  </si>
  <si>
    <t>Urshifu-Rapid-Gmax</t>
  </si>
  <si>
    <t>urshifu-rapidstrikegmax</t>
  </si>
  <si>
    <t>Body Slam</t>
  </si>
  <si>
    <t>Cosmic Power</t>
  </si>
  <si>
    <t>Zarude</t>
  </si>
  <si>
    <t>Regieleki</t>
  </si>
  <si>
    <t>Bug Maniac Derek</t>
  </si>
  <si>
    <t>Regidrago</t>
  </si>
  <si>
    <t>Glastrier</t>
  </si>
  <si>
    <t>Spectrier</t>
  </si>
  <si>
    <t>Magma Armor</t>
  </si>
  <si>
    <t>Chlorophyll</t>
  </si>
  <si>
    <t>Calyrex-Ice</t>
  </si>
  <si>
    <t>Sunny Day</t>
  </si>
  <si>
    <t>Growth</t>
  </si>
  <si>
    <t>Solar Blade</t>
  </si>
  <si>
    <t>Weather Ball</t>
  </si>
  <si>
    <t>Take Down</t>
  </si>
  <si>
    <t>Calyrex-Shadow</t>
  </si>
  <si>
    <t>Solar Beam</t>
  </si>
  <si>
    <t>Jump Kick</t>
  </si>
  <si>
    <t>Magnitude</t>
  </si>
  <si>
    <t>Ursaluna</t>
  </si>
  <si>
    <t>Twins Gina&amp;Mia [Double]</t>
  </si>
  <si>
    <t>Ursaluna-Bloodmoon</t>
  </si>
  <si>
    <t>ursaluna-bloodmoon</t>
  </si>
  <si>
    <t>Basculegion</t>
  </si>
  <si>
    <t>Basculegion-F</t>
  </si>
  <si>
    <t>Sneasler</t>
  </si>
  <si>
    <t>Overqwil</t>
  </si>
  <si>
    <t>Enamorus</t>
  </si>
  <si>
    <t>Enamorus-Therian</t>
  </si>
  <si>
    <t>enamorus-therian</t>
  </si>
  <si>
    <t>Sprigatito</t>
  </si>
  <si>
    <t>sprigatito</t>
  </si>
  <si>
    <t>Floragato</t>
  </si>
  <si>
    <t>floragato</t>
  </si>
  <si>
    <t>meowscarada</t>
  </si>
  <si>
    <t>Fuecoco</t>
  </si>
  <si>
    <t>fuecoco</t>
  </si>
  <si>
    <t>Crocalor</t>
  </si>
  <si>
    <t>crocalor</t>
  </si>
  <si>
    <t>Skeledirge</t>
  </si>
  <si>
    <t>skeledirge</t>
  </si>
  <si>
    <t>Quaxly</t>
  </si>
  <si>
    <t>quaxly</t>
  </si>
  <si>
    <t>Quaxwell</t>
  </si>
  <si>
    <t>quaxwell</t>
  </si>
  <si>
    <t>Quaquaval</t>
  </si>
  <si>
    <t>quaquaval</t>
  </si>
  <si>
    <t>Lechonk</t>
  </si>
  <si>
    <t>lechonk</t>
  </si>
  <si>
    <t>oinkologne</t>
  </si>
  <si>
    <t>Oinkologne-F</t>
  </si>
  <si>
    <t>oinkologne-f</t>
  </si>
  <si>
    <t>Tarountula</t>
  </si>
  <si>
    <t>tarountula</t>
  </si>
  <si>
    <t>Disguise</t>
  </si>
  <si>
    <t>spidops</t>
  </si>
  <si>
    <t>Circle Throw</t>
  </si>
  <si>
    <t>Shadow Sneak</t>
  </si>
  <si>
    <t>Nymble</t>
  </si>
  <si>
    <t>nymble</t>
  </si>
  <si>
    <t>Cross Chop</t>
  </si>
  <si>
    <t>Lokix</t>
  </si>
  <si>
    <t>lokix</t>
  </si>
  <si>
    <t>Battle Girl Jocelyn</t>
  </si>
  <si>
    <t>Pawmi</t>
  </si>
  <si>
    <t>pawmi</t>
  </si>
  <si>
    <t>Pawmo</t>
  </si>
  <si>
    <t>pawmo</t>
  </si>
  <si>
    <t>Pawmot</t>
  </si>
  <si>
    <t>pawmot</t>
  </si>
  <si>
    <t>Tandemaus</t>
  </si>
  <si>
    <t>tandemaus</t>
  </si>
  <si>
    <t>Maushold</t>
  </si>
  <si>
    <t>maushold</t>
  </si>
  <si>
    <t>Water Bubble</t>
  </si>
  <si>
    <t>Contrary</t>
  </si>
  <si>
    <t>Fidough</t>
  </si>
  <si>
    <t>fidough</t>
  </si>
  <si>
    <t>Shell Smash</t>
  </si>
  <si>
    <t>dachsbun</t>
  </si>
  <si>
    <t>Rock Blast</t>
  </si>
  <si>
    <t>Smoliv</t>
  </si>
  <si>
    <t>smoliv</t>
  </si>
  <si>
    <t>Ingrain</t>
  </si>
  <si>
    <t>Triathlete Dylan &amp; Triathlete Maria [Double]</t>
  </si>
  <si>
    <t>Dolliv</t>
  </si>
  <si>
    <t>dolliv</t>
  </si>
  <si>
    <t>arboliva</t>
  </si>
  <si>
    <t>Squawkabilly</t>
  </si>
  <si>
    <t>squawkabilly</t>
  </si>
  <si>
    <t>Covert Cloak</t>
  </si>
  <si>
    <t>Grass Gem</t>
  </si>
  <si>
    <t>Ring Target</t>
  </si>
  <si>
    <t>Beast Boost</t>
  </si>
  <si>
    <t>Grassy Surge</t>
  </si>
  <si>
    <t>Leaf Guard</t>
  </si>
  <si>
    <t>Nacli</t>
  </si>
  <si>
    <t>nacli</t>
  </si>
  <si>
    <t>Sludge Wave</t>
  </si>
  <si>
    <t>Helping Hand</t>
  </si>
  <si>
    <t>Grassy Glide</t>
  </si>
  <si>
    <t>Naclstack</t>
  </si>
  <si>
    <t>naclstack</t>
  </si>
  <si>
    <t>Absorb</t>
  </si>
  <si>
    <t>Garganacl</t>
  </si>
  <si>
    <t>Acupressure</t>
  </si>
  <si>
    <t>garganacl</t>
  </si>
  <si>
    <t>Sleep Talk</t>
  </si>
  <si>
    <t>Baby-Doll Eyes</t>
  </si>
  <si>
    <t>Charcadet</t>
  </si>
  <si>
    <t>Fisherman Ivan</t>
  </si>
  <si>
    <t>charcadet</t>
  </si>
  <si>
    <t>Armarouge</t>
  </si>
  <si>
    <t>armarouge</t>
  </si>
  <si>
    <t>Ceruledge</t>
  </si>
  <si>
    <t>ceruledge</t>
  </si>
  <si>
    <t>Tadbulb</t>
  </si>
  <si>
    <t>tadbulb</t>
  </si>
  <si>
    <t>bellibolt</t>
  </si>
  <si>
    <t>Wattrel</t>
  </si>
  <si>
    <t>wattrel</t>
  </si>
  <si>
    <t>Kilowattrel</t>
  </si>
  <si>
    <t>kilowattrel</t>
  </si>
  <si>
    <t>Maschiff</t>
  </si>
  <si>
    <t>maschiff</t>
  </si>
  <si>
    <t>Mabosstiff</t>
  </si>
  <si>
    <t>mabosstiff</t>
  </si>
  <si>
    <t>Shroodle</t>
  </si>
  <si>
    <t>shroodle</t>
  </si>
  <si>
    <t>Grafaiai</t>
  </si>
  <si>
    <t>grafaiai</t>
  </si>
  <si>
    <t>Bramblin</t>
  </si>
  <si>
    <t>bramblin</t>
  </si>
  <si>
    <t>Brambleghast</t>
  </si>
  <si>
    <t>brambleghast</t>
  </si>
  <si>
    <t>Toedscool</t>
  </si>
  <si>
    <t>toedscool</t>
  </si>
  <si>
    <t>toedscruel</t>
  </si>
  <si>
    <t>Klawf</t>
  </si>
  <si>
    <t>klawf</t>
  </si>
  <si>
    <t>Capsakid</t>
  </si>
  <si>
    <t>capsakid</t>
  </si>
  <si>
    <t>Scovillain</t>
  </si>
  <si>
    <t>scovillain</t>
  </si>
  <si>
    <t>Scovillain-Mega</t>
  </si>
  <si>
    <t>scovillain-mega</t>
  </si>
  <si>
    <t>Rellor</t>
  </si>
  <si>
    <t>rellor</t>
  </si>
  <si>
    <t>Eject Button</t>
  </si>
  <si>
    <t>Rabsca</t>
  </si>
  <si>
    <t>rabsca</t>
  </si>
  <si>
    <t>Limber</t>
  </si>
  <si>
    <t>Fur Coat</t>
  </si>
  <si>
    <t>Hunger Switch</t>
  </si>
  <si>
    <t>Pure Power</t>
  </si>
  <si>
    <t>Flittle</t>
  </si>
  <si>
    <t>flittle</t>
  </si>
  <si>
    <t>Black Sludge</t>
  </si>
  <si>
    <t>Aura Wheel</t>
  </si>
  <si>
    <t>Drizzle</t>
  </si>
  <si>
    <t>Espathra</t>
  </si>
  <si>
    <t>Forecast</t>
  </si>
  <si>
    <t>Raging Bull</t>
  </si>
  <si>
    <t>espathra</t>
  </si>
  <si>
    <t>Obstruct</t>
  </si>
  <si>
    <t>Tinkatink</t>
  </si>
  <si>
    <t>tinkatink</t>
  </si>
  <si>
    <t>Focus Energy</t>
  </si>
  <si>
    <t>Jet Punch</t>
  </si>
  <si>
    <t>Triple Axel</t>
  </si>
  <si>
    <t>Tinkatuff</t>
  </si>
  <si>
    <t>tinkatuff</t>
  </si>
  <si>
    <t>Octazooka</t>
  </si>
  <si>
    <t>Hurricane</t>
  </si>
  <si>
    <t>Reflect Type</t>
  </si>
  <si>
    <t>Leader Brawly</t>
  </si>
  <si>
    <t>Tinkaton</t>
  </si>
  <si>
    <t>tinkaton</t>
  </si>
  <si>
    <t>Breeder Tommy</t>
  </si>
  <si>
    <t>Rain Dance</t>
  </si>
  <si>
    <t>Rustboro Gym</t>
  </si>
  <si>
    <t>Wiglett</t>
  </si>
  <si>
    <t>wiglett</t>
  </si>
  <si>
    <t>Youngster Josh</t>
  </si>
  <si>
    <t>wugtrio</t>
  </si>
  <si>
    <t>bombirdier</t>
  </si>
  <si>
    <t>Finizen</t>
  </si>
  <si>
    <t>finizen</t>
  </si>
  <si>
    <t>Palafin</t>
  </si>
  <si>
    <t>palafin</t>
  </si>
  <si>
    <t>Palafin-Hero</t>
  </si>
  <si>
    <t>palafin-hero</t>
  </si>
  <si>
    <t>Varoom</t>
  </si>
  <si>
    <t>varoom</t>
  </si>
  <si>
    <t>Revavroom</t>
  </si>
  <si>
    <t>revavroom</t>
  </si>
  <si>
    <t>Cyclizar</t>
  </si>
  <si>
    <t>cyclizar</t>
  </si>
  <si>
    <t>orthworm</t>
  </si>
  <si>
    <t>Glimmet</t>
  </si>
  <si>
    <t>glimmet</t>
  </si>
  <si>
    <t>Glimmora</t>
  </si>
  <si>
    <t>glimmora</t>
  </si>
  <si>
    <t>Glimmora-Mega</t>
  </si>
  <si>
    <t>glimmora-mega</t>
  </si>
  <si>
    <t>Greavard</t>
  </si>
  <si>
    <t>greavard</t>
  </si>
  <si>
    <t>Houndstone</t>
  </si>
  <si>
    <t>houndstone</t>
  </si>
  <si>
    <t>Flamigo</t>
  </si>
  <si>
    <t>flamigo</t>
  </si>
  <si>
    <t>Cetoddle</t>
  </si>
  <si>
    <t>cetoddle</t>
  </si>
  <si>
    <t>Cetitan</t>
  </si>
  <si>
    <t>cetitan</t>
  </si>
  <si>
    <t>veluza</t>
  </si>
  <si>
    <t>Dondozo</t>
  </si>
  <si>
    <t>dondozo</t>
  </si>
  <si>
    <t>Tatsugiri</t>
  </si>
  <si>
    <t>tatsugiri</t>
  </si>
  <si>
    <t>Tatsugiri-Droopy</t>
  </si>
  <si>
    <t>tatsugiri-droopy</t>
  </si>
  <si>
    <t>Tatsugiri-Stretchy</t>
  </si>
  <si>
    <t>tatsugiri-stretchy</t>
  </si>
  <si>
    <t>Tatsugiri-Mega</t>
  </si>
  <si>
    <t>tatsugiri-mega</t>
  </si>
  <si>
    <t>Anger Shell</t>
  </si>
  <si>
    <t>Tatsugiri-Droopy-Mega</t>
  </si>
  <si>
    <t>tatsugiri-droopy-mega</t>
  </si>
  <si>
    <t>Stockpile</t>
  </si>
  <si>
    <t>Swallow</t>
  </si>
  <si>
    <t>Tatsugiri-Stretchy-Mega</t>
  </si>
  <si>
    <t>tatsugiri-stretchy-mega</t>
  </si>
  <si>
    <t>Seismic Toss</t>
  </si>
  <si>
    <t>Annihilape</t>
  </si>
  <si>
    <t>annihilape</t>
  </si>
  <si>
    <t>Youngster Tommy</t>
  </si>
  <si>
    <t>clodsire</t>
  </si>
  <si>
    <t>Farigiraf</t>
  </si>
  <si>
    <t>farigiraf</t>
  </si>
  <si>
    <t>Dudunsparce</t>
  </si>
  <si>
    <t>dudunsparce</t>
  </si>
  <si>
    <t>Kingambit</t>
  </si>
  <si>
    <t>kingambit</t>
  </si>
  <si>
    <t>Great tusk</t>
  </si>
  <si>
    <t>greattusk</t>
  </si>
  <si>
    <t>Scream tail</t>
  </si>
  <si>
    <t>screamtail</t>
  </si>
  <si>
    <t>Brute bonnet</t>
  </si>
  <si>
    <t>brutebonnet</t>
  </si>
  <si>
    <t>Flutter mane</t>
  </si>
  <si>
    <t>fluttermane</t>
  </si>
  <si>
    <t>Slither wing</t>
  </si>
  <si>
    <t>slitherwing</t>
  </si>
  <si>
    <t>Sandy shocks</t>
  </si>
  <si>
    <t>sandyshocks</t>
  </si>
  <si>
    <t>Rusted Shield</t>
  </si>
  <si>
    <t>Heracronite</t>
  </si>
  <si>
    <t>Iron treads</t>
  </si>
  <si>
    <t>irontreads</t>
  </si>
  <si>
    <t>Dauntless Shield</t>
  </si>
  <si>
    <t>Skill Link</t>
  </si>
  <si>
    <t>Iron bundle</t>
  </si>
  <si>
    <t>Strong Jaw</t>
  </si>
  <si>
    <t>Toxic Boost</t>
  </si>
  <si>
    <t>ironbundle</t>
  </si>
  <si>
    <t>Fluffy</t>
  </si>
  <si>
    <t>Iron hands</t>
  </si>
  <si>
    <t>ironhands</t>
  </si>
  <si>
    <t>Iron jugulis</t>
  </si>
  <si>
    <t>ironjugulis</t>
  </si>
  <si>
    <t>Cotton Guard</t>
  </si>
  <si>
    <t>Coil</t>
  </si>
  <si>
    <t>Last Respects</t>
  </si>
  <si>
    <t>Smart Strike</t>
  </si>
  <si>
    <t>Psychic Fangs</t>
  </si>
  <si>
    <t>Iron moth</t>
  </si>
  <si>
    <t>ironmoth</t>
  </si>
  <si>
    <t>Gunk Shot</t>
  </si>
  <si>
    <t>Revival Blessing</t>
  </si>
  <si>
    <t>Iron thorns</t>
  </si>
  <si>
    <t>ironthorns</t>
  </si>
  <si>
    <t>Electrify</t>
  </si>
  <si>
    <t>Twins Anna&amp;Meg [Double]</t>
  </si>
  <si>
    <t>Frigibax</t>
  </si>
  <si>
    <t>frigibax</t>
  </si>
  <si>
    <t>Arctibax</t>
  </si>
  <si>
    <t>arctibax</t>
  </si>
  <si>
    <t>Baxcalibur</t>
  </si>
  <si>
    <t>baxcalibur</t>
  </si>
  <si>
    <t>Baxcalibur-Mega</t>
  </si>
  <si>
    <t>baxcalibur-mega</t>
  </si>
  <si>
    <t>Gimmighoul</t>
  </si>
  <si>
    <t>gimmighoul</t>
  </si>
  <si>
    <t>Gholdengo</t>
  </si>
  <si>
    <t>gholdengo</t>
  </si>
  <si>
    <t>Wo chien</t>
  </si>
  <si>
    <t>wochien</t>
  </si>
  <si>
    <t>Chien pao</t>
  </si>
  <si>
    <t>chienpao</t>
  </si>
  <si>
    <t>Ting lu</t>
  </si>
  <si>
    <t>tinglu</t>
  </si>
  <si>
    <t>Chi yu</t>
  </si>
  <si>
    <t>chiyu</t>
  </si>
  <si>
    <t>Roaring moon</t>
  </si>
  <si>
    <t>roaringmoon</t>
  </si>
  <si>
    <t>Iron valiant</t>
  </si>
  <si>
    <t>ironvaliant</t>
  </si>
  <si>
    <t>Koraidon</t>
  </si>
  <si>
    <t>koraidon</t>
  </si>
  <si>
    <t>Miraidon</t>
  </si>
  <si>
    <t>miraidon</t>
  </si>
  <si>
    <t>Walking wake</t>
  </si>
  <si>
    <t>walkingwake</t>
  </si>
  <si>
    <t>Iron leaves</t>
  </si>
  <si>
    <t>ironleaves</t>
  </si>
  <si>
    <t>dipplin</t>
  </si>
  <si>
    <t>Poltchageist</t>
  </si>
  <si>
    <t>poltchageist</t>
  </si>
  <si>
    <t>Galvanize</t>
  </si>
  <si>
    <t>Rock Head</t>
  </si>
  <si>
    <t>Sinistcha</t>
  </si>
  <si>
    <t>sinistcha</t>
  </si>
  <si>
    <t>Okidogi</t>
  </si>
  <si>
    <t>okidogi</t>
  </si>
  <si>
    <t>Power Trick</t>
  </si>
  <si>
    <t>Head Smash</t>
  </si>
  <si>
    <t>Munkidori</t>
  </si>
  <si>
    <t>munkidori</t>
  </si>
  <si>
    <t>Hiker Marcster</t>
  </si>
  <si>
    <t>Fezandipiti</t>
  </si>
  <si>
    <t>fezandipiti</t>
  </si>
  <si>
    <t>Ogerpon</t>
  </si>
  <si>
    <t>ogerpon</t>
  </si>
  <si>
    <t>Land Cave</t>
  </si>
  <si>
    <t>Ogerpon-Wellspring</t>
  </si>
  <si>
    <t>ogerpon-wellspring</t>
  </si>
  <si>
    <t>Land Cave Team Magma Grunt #1</t>
  </si>
  <si>
    <t>Ogerpon-Hearthflame</t>
  </si>
  <si>
    <t>ogerpon-hearthflame</t>
  </si>
  <si>
    <t>Ogerpon-Cornerstone</t>
  </si>
  <si>
    <t>ogerpon-cornerstone</t>
  </si>
  <si>
    <t>Archaludon</t>
  </si>
  <si>
    <t>archaludon</t>
  </si>
  <si>
    <t>Hydrapple</t>
  </si>
  <si>
    <t>hydrapple</t>
  </si>
  <si>
    <t>Gouging Fire</t>
  </si>
  <si>
    <t>gougingfire</t>
  </si>
  <si>
    <t>Raging bolt</t>
  </si>
  <si>
    <t>ragingbolt</t>
  </si>
  <si>
    <t>Iron boulder</t>
  </si>
  <si>
    <t>ironboulder</t>
  </si>
  <si>
    <t>Iron crown</t>
  </si>
  <si>
    <t>ironcrown</t>
  </si>
  <si>
    <t>Terapagos-Base</t>
  </si>
  <si>
    <t>terapagos</t>
  </si>
  <si>
    <t>Dancer</t>
  </si>
  <si>
    <t>Terapagos</t>
  </si>
  <si>
    <t>terapagos-terastal</t>
  </si>
  <si>
    <t>Terapagos-Stellar</t>
  </si>
  <si>
    <t>terapagos-stellar</t>
  </si>
  <si>
    <t>Pecharunt</t>
  </si>
  <si>
    <t>pecharunt</t>
  </si>
  <si>
    <t>Revelation Dance</t>
  </si>
  <si>
    <t>Petal Dance</t>
  </si>
  <si>
    <t>Fiery Dance</t>
  </si>
  <si>
    <t>Teeter Dance</t>
  </si>
  <si>
    <t>Hidden Power Water</t>
  </si>
  <si>
    <t>Feather Dance</t>
  </si>
  <si>
    <t>Blackbelt Iageezus</t>
  </si>
  <si>
    <t>Sticky Barb</t>
  </si>
  <si>
    <t>Absorb Bulb</t>
  </si>
  <si>
    <t>Toxic Debris</t>
  </si>
  <si>
    <t>Shields Down</t>
  </si>
  <si>
    <t>Merciless</t>
  </si>
  <si>
    <t>Cursed Body</t>
  </si>
  <si>
    <t>Strength Sap</t>
  </si>
  <si>
    <t>Iron Defense</t>
  </si>
  <si>
    <t>Power Gem</t>
  </si>
  <si>
    <t>Moonlight</t>
  </si>
  <si>
    <t>Leader Roxanne</t>
  </si>
  <si>
    <t>Heat Rock</t>
  </si>
  <si>
    <t>Fighting Gem</t>
  </si>
  <si>
    <t>Speed Boost</t>
  </si>
  <si>
    <t>Steely Spirit</t>
  </si>
  <si>
    <t>Flare Blitz</t>
  </si>
  <si>
    <t>Grass Whistle</t>
  </si>
  <si>
    <t>Octolock</t>
  </si>
  <si>
    <t>Revenge</t>
  </si>
  <si>
    <t>Thunder Fang</t>
  </si>
  <si>
    <t>Overheat</t>
  </si>
  <si>
    <t>Team Magma Grunt Croven</t>
  </si>
  <si>
    <t>Brutal Swing</t>
  </si>
  <si>
    <t>Mauville City</t>
  </si>
  <si>
    <t>Trainer Wally</t>
  </si>
  <si>
    <t>Hard Stone</t>
  </si>
  <si>
    <t>Weakness Policy</t>
  </si>
  <si>
    <t>Aerodactylite</t>
  </si>
  <si>
    <t>Sand Stream</t>
  </si>
  <si>
    <t>Power Construct</t>
  </si>
  <si>
    <t>Tough Claws</t>
  </si>
  <si>
    <t>Land's Wrath</t>
  </si>
  <si>
    <t>Wing Attack</t>
  </si>
  <si>
    <t>Skitter Smack</t>
  </si>
  <si>
    <t>Sand Tomb</t>
  </si>
  <si>
    <t>Everstone</t>
  </si>
  <si>
    <t>Trace</t>
  </si>
  <si>
    <t>Mauville Gym</t>
  </si>
  <si>
    <t>Battle Girl Vivian</t>
  </si>
  <si>
    <t>Focus Band</t>
  </si>
  <si>
    <t>Route 111</t>
  </si>
  <si>
    <t>Drought</t>
  </si>
  <si>
    <t>Flash Fire</t>
  </si>
  <si>
    <t>Super Luck</t>
  </si>
  <si>
    <t>Winstrate Victor</t>
  </si>
  <si>
    <t>Fire Lash</t>
  </si>
  <si>
    <t>Land Cave Team Magma Grunt #3</t>
  </si>
  <si>
    <t>Iron Hands</t>
  </si>
  <si>
    <t>Moody</t>
  </si>
  <si>
    <t>Quark Drive</t>
  </si>
  <si>
    <t>Bug Maniac Angelo</t>
  </si>
  <si>
    <t>Winstrate Victoria</t>
  </si>
  <si>
    <t>Scream Tail</t>
  </si>
  <si>
    <t>King's Rock</t>
  </si>
  <si>
    <t>Booster Energy</t>
  </si>
  <si>
    <t>Poison Point</t>
  </si>
  <si>
    <t>Protosynthesis</t>
  </si>
  <si>
    <t>Blaze</t>
  </si>
  <si>
    <t>Misty Explosion</t>
  </si>
  <si>
    <t>Route 118</t>
  </si>
  <si>
    <t>Leppa Berry</t>
  </si>
  <si>
    <t>Synchronize</t>
  </si>
  <si>
    <t>Fisherman Ordeaux</t>
  </si>
  <si>
    <t>Land Cave Team Magma Grunt #4</t>
  </si>
  <si>
    <t>Youngster Ben</t>
  </si>
  <si>
    <t>Pressure</t>
  </si>
  <si>
    <t>Heal Order</t>
  </si>
  <si>
    <t>Water Sport</t>
  </si>
  <si>
    <t>Soft-Boiled</t>
  </si>
  <si>
    <t>Attack Order</t>
  </si>
  <si>
    <t>Winstrate Vivi</t>
  </si>
  <si>
    <t>Cell Battery</t>
  </si>
  <si>
    <t>Compound Eyes</t>
  </si>
  <si>
    <t>Wind Power</t>
  </si>
  <si>
    <t>Shed Tail</t>
  </si>
  <si>
    <t>Heavy Slam</t>
  </si>
  <si>
    <t>Guitarist Shawn &amp; Guitarist Kirk [Double]</t>
  </si>
  <si>
    <t>Grip Claw</t>
  </si>
  <si>
    <t>Tatsugirinite</t>
  </si>
  <si>
    <t>Multiscale</t>
  </si>
  <si>
    <t>Steelworker</t>
  </si>
  <si>
    <t>Phantom Force</t>
  </si>
  <si>
    <t>Make It Rain</t>
  </si>
  <si>
    <t>Fly</t>
  </si>
  <si>
    <t>Anchor Shot</t>
  </si>
  <si>
    <t>Dragon Pulse</t>
  </si>
  <si>
    <t>Route 108</t>
  </si>
  <si>
    <t>Cooltrainer Carolina &amp; Sailor Cory [Double]</t>
  </si>
  <si>
    <t>Rowap Berry</t>
  </si>
  <si>
    <t>Aftermath</t>
  </si>
  <si>
    <t>Land Cave Team Magma Elite Grunt</t>
  </si>
  <si>
    <t>Shell Bell</t>
  </si>
  <si>
    <t>Huge Power</t>
  </si>
  <si>
    <t>Poison Heal</t>
  </si>
  <si>
    <t>Ice Spinner</t>
  </si>
  <si>
    <t>Winstrate Vicky</t>
  </si>
  <si>
    <t>Terrain Extender</t>
  </si>
  <si>
    <t>Ice Gem</t>
  </si>
  <si>
    <t>Throat Spray</t>
  </si>
  <si>
    <t>Plus</t>
  </si>
  <si>
    <t>Minus</t>
  </si>
  <si>
    <t>Gear Up</t>
  </si>
  <si>
    <t>Thunder Cage</t>
  </si>
  <si>
    <t>Overdrive</t>
  </si>
  <si>
    <t>Mirror Shot</t>
  </si>
  <si>
    <t>Electric Terrain</t>
  </si>
  <si>
    <t>Magnetic Flux</t>
  </si>
  <si>
    <t>Hidden Power Ice</t>
  </si>
  <si>
    <t>Leader Wattson [Double]</t>
  </si>
  <si>
    <t>Feraligite</t>
  </si>
  <si>
    <t>Commander</t>
  </si>
  <si>
    <t>Oblivious</t>
  </si>
  <si>
    <t>Dragon's Maw</t>
  </si>
  <si>
    <t>Order Up</t>
  </si>
  <si>
    <t>Scale Shot</t>
  </si>
  <si>
    <t>Dragon Cheer</t>
  </si>
  <si>
    <t>Abandoned Ship</t>
  </si>
  <si>
    <t>Rich Boy Milky</t>
  </si>
  <si>
    <t>Ground Gem</t>
  </si>
  <si>
    <t>Pidgeotite</t>
  </si>
  <si>
    <t>Pastel Veil</t>
  </si>
  <si>
    <t>Team Magma Admin Courtney 1</t>
  </si>
  <si>
    <t>Wide Lens</t>
  </si>
  <si>
    <t>Bug Gem</t>
  </si>
  <si>
    <t>Medichamite</t>
  </si>
  <si>
    <t>Solid Rock</t>
  </si>
  <si>
    <t>Victory Star</t>
  </si>
  <si>
    <t>Victory Dance</t>
  </si>
  <si>
    <t>Searing Shot</t>
  </si>
  <si>
    <t>Iron Thorns</t>
  </si>
  <si>
    <t>Eruption</t>
  </si>
  <si>
    <t>Sceptilite</t>
  </si>
  <si>
    <t>Picnicker Irene</t>
  </si>
  <si>
    <t>Motor Drive</t>
  </si>
  <si>
    <t>Falinksite</t>
  </si>
  <si>
    <t>Bolt Beak</t>
  </si>
  <si>
    <t>Tri Attack</t>
  </si>
  <si>
    <t>Tail Slap</t>
  </si>
  <si>
    <t>Sacred Sword</t>
  </si>
  <si>
    <t>No Retreat</t>
  </si>
  <si>
    <t>Tidy Up</t>
  </si>
  <si>
    <t>Sailor Duncan</t>
  </si>
  <si>
    <t>Slither Wing</t>
  </si>
  <si>
    <t>Cameruptite</t>
  </si>
  <si>
    <t>Poison Touch</t>
  </si>
  <si>
    <t>Magma Storm</t>
  </si>
  <si>
    <t>Route 110</t>
  </si>
  <si>
    <t>Psychic Jaclyn</t>
  </si>
  <si>
    <t>Route 120</t>
  </si>
  <si>
    <t>Rogue Kecleon</t>
  </si>
  <si>
    <t>Sand Veil</t>
  </si>
  <si>
    <t>Sand Force</t>
  </si>
  <si>
    <t>Dragon Claw</t>
  </si>
  <si>
    <t>Camper Travis</t>
  </si>
  <si>
    <t>73 (Burn)</t>
  </si>
  <si>
    <t>74 (Burn)</t>
  </si>
  <si>
    <t>Scolipite</t>
  </si>
  <si>
    <t>Headlong Rush</t>
  </si>
  <si>
    <t>Megahorn</t>
  </si>
  <si>
    <t>Foresight</t>
  </si>
  <si>
    <t>Tuber Jani</t>
  </si>
  <si>
    <t>Libero</t>
  </si>
  <si>
    <t>Choice Specs</t>
  </si>
  <si>
    <t>Cooltrainer Abobo</t>
  </si>
  <si>
    <t>Power Split</t>
  </si>
  <si>
    <t>Triathlete Abigail</t>
  </si>
  <si>
    <t>Hone Claws</t>
  </si>
  <si>
    <t>Ruin Maniac Dusty</t>
  </si>
  <si>
    <t>Pyroarite</t>
  </si>
  <si>
    <t>Stance Change</t>
  </si>
  <si>
    <t>Toxic Chain</t>
  </si>
  <si>
    <t>King's Shield</t>
  </si>
  <si>
    <t>Spirit Shackle</t>
  </si>
  <si>
    <t>Magic Coat</t>
  </si>
  <si>
    <t>Burning Bulwark</t>
  </si>
  <si>
    <t>Cooltrainer Irie</t>
  </si>
  <si>
    <t>79 (Burn)</t>
  </si>
  <si>
    <t>Magnet Pull</t>
  </si>
  <si>
    <t>Magic Room</t>
  </si>
  <si>
    <t>Brave Bird</t>
  </si>
  <si>
    <t>Soft Sand</t>
  </si>
  <si>
    <t>Yache Berry</t>
  </si>
  <si>
    <t>Steelixite</t>
  </si>
  <si>
    <t>Parasol Lady Angelica</t>
  </si>
  <si>
    <t>Mud-Slap</t>
  </si>
  <si>
    <t>Tangled Feet</t>
  </si>
  <si>
    <t>Precipice Blades</t>
  </si>
  <si>
    <t>Metal Burst</t>
  </si>
  <si>
    <t>Gyro Ball</t>
  </si>
  <si>
    <t>Thrash</t>
  </si>
  <si>
    <t>Drill Peck</t>
  </si>
  <si>
    <t>Picnicker Becky</t>
  </si>
  <si>
    <t>Triathlete Benjamin &amp; Triathlete Alyssa [Double]</t>
  </si>
  <si>
    <t>Roseli Berry</t>
  </si>
  <si>
    <t>Aggronite</t>
  </si>
  <si>
    <t>Defeatist</t>
  </si>
  <si>
    <t>Filter</t>
  </si>
  <si>
    <t>Cooltrainer Geena</t>
  </si>
  <si>
    <t>Spell Tag</t>
  </si>
  <si>
    <t>Greninjite</t>
  </si>
  <si>
    <t>Water Shuriken</t>
  </si>
  <si>
    <t>Outrage</t>
  </si>
  <si>
    <t>Detect</t>
  </si>
  <si>
    <t>Razor Fang</t>
  </si>
  <si>
    <t>Ninja Boy Alex</t>
  </si>
  <si>
    <t>Sky Attack</t>
  </si>
  <si>
    <t>Picnicker Heidi &amp; Ruin Maniac Bryan [Double]</t>
  </si>
  <si>
    <t>Raichunite X</t>
  </si>
  <si>
    <t>Icy Rock</t>
  </si>
  <si>
    <t>Raichunite Y</t>
  </si>
  <si>
    <t>Ice Face</t>
  </si>
  <si>
    <t>Snow Warning</t>
  </si>
  <si>
    <t>Triathlete Jasmine &amp; Triathlete Jacob [Double]</t>
  </si>
  <si>
    <t>Sablenite</t>
  </si>
  <si>
    <t>Maranga Berry</t>
  </si>
  <si>
    <t>Supreme Overlord</t>
  </si>
  <si>
    <t>Fickle Beam</t>
  </si>
  <si>
    <t>Kowtow Cleave</t>
  </si>
  <si>
    <t>Cooltrainer Garrison [Double]</t>
  </si>
  <si>
    <t>79 (Poison)</t>
  </si>
  <si>
    <t>Snowball</t>
  </si>
  <si>
    <t>Steadfast</t>
  </si>
  <si>
    <t>Power Spot</t>
  </si>
  <si>
    <t>Aura Break</t>
  </si>
  <si>
    <t>Cooltrainer Melodic</t>
  </si>
  <si>
    <t>Thousand Waves</t>
  </si>
  <si>
    <t>Breaking Swipe</t>
  </si>
  <si>
    <t>Raging Fury</t>
  </si>
  <si>
    <t>Picnicker Celia</t>
  </si>
  <si>
    <t>Scraftinite</t>
  </si>
  <si>
    <t>Costar</t>
  </si>
  <si>
    <t>Justified</t>
  </si>
  <si>
    <t>Beat Up</t>
  </si>
  <si>
    <t>Cycling Road Rival Chespin</t>
  </si>
  <si>
    <t>Passho Berry</t>
  </si>
  <si>
    <t>Alakazite</t>
  </si>
  <si>
    <t>Instruct</t>
  </si>
  <si>
    <t>Rock Climb</t>
  </si>
  <si>
    <t>Ally Switch</t>
  </si>
  <si>
    <t>Aroma Lady Rose</t>
  </si>
  <si>
    <t>Delphoxite</t>
  </si>
  <si>
    <t>Dazzling</t>
  </si>
  <si>
    <t>Wind Rider</t>
  </si>
  <si>
    <t>Fire Blast</t>
  </si>
  <si>
    <t>Shift Gear</t>
  </si>
  <si>
    <t>Psystrike</t>
  </si>
  <si>
    <t>Noxious Torque</t>
  </si>
  <si>
    <t>Dragon Hammer</t>
  </si>
  <si>
    <t>Upper Hand</t>
  </si>
  <si>
    <t>Blazing Torque</t>
  </si>
  <si>
    <t>Tickle</t>
  </si>
  <si>
    <t>Cooltrainer Perseid</t>
  </si>
  <si>
    <t>Camper Johnny &amp; Camper Tarian [Double]</t>
  </si>
  <si>
    <t>Pyro Ball</t>
  </si>
  <si>
    <t>Meteor Mash</t>
  </si>
  <si>
    <t>Cycling Road Rival Fennekin</t>
  </si>
  <si>
    <t>80 (Burn)</t>
  </si>
  <si>
    <t>Telepathy</t>
  </si>
  <si>
    <t>Mawilite</t>
  </si>
  <si>
    <t>Dragon Gem</t>
  </si>
  <si>
    <t>Meganiumite</t>
  </si>
  <si>
    <t>Payback</t>
  </si>
  <si>
    <t>Esper Wing</t>
  </si>
  <si>
    <t>Volt Tackle</t>
  </si>
  <si>
    <t>Dragon Energy</t>
  </si>
  <si>
    <t>Camper Tanjiro</t>
  </si>
  <si>
    <t>Draco Meteor</t>
  </si>
  <si>
    <t>Screech</t>
  </si>
  <si>
    <t>Mega Drain</t>
  </si>
  <si>
    <t>Snipe Shot</t>
  </si>
  <si>
    <t>Jaw Lock</t>
  </si>
  <si>
    <t>Temper Flare</t>
  </si>
  <si>
    <t>Hidden Power Fire</t>
  </si>
  <si>
    <t>Route 121</t>
  </si>
  <si>
    <t>Youngster Deandre &amp; Bird Keeper Chester [Double]</t>
  </si>
  <si>
    <t>Beauty Jessica</t>
  </si>
  <si>
    <t>Miracle Seed</t>
  </si>
  <si>
    <t>Cycling Road Rival Froakie</t>
  </si>
  <si>
    <t>Great Tusk</t>
  </si>
  <si>
    <t>Utility Umbrella</t>
  </si>
  <si>
    <t>78 (Burn)</t>
  </si>
  <si>
    <t>Adaptability</t>
  </si>
  <si>
    <t>Ice Scales</t>
  </si>
  <si>
    <t>Absolite</t>
  </si>
  <si>
    <t>Pixilate</t>
  </si>
  <si>
    <t>Full Metal Body</t>
  </si>
  <si>
    <t>Marvel Scale</t>
  </si>
  <si>
    <t>Flower Trick</t>
  </si>
  <si>
    <t>Naughty</t>
  </si>
  <si>
    <t>Sandsear Storm</t>
  </si>
  <si>
    <t>Sunsteel Strike</t>
  </si>
  <si>
    <t>Rapid Spin</t>
  </si>
  <si>
    <t>Pokéfan Isabel</t>
  </si>
  <si>
    <t>Scorching Sands</t>
  </si>
  <si>
    <t>Bird Keeper Perry</t>
  </si>
  <si>
    <t>Sr.And Jr.Kate&amp;Joy [Double]</t>
  </si>
  <si>
    <t>Heat Crash</t>
  </si>
  <si>
    <t>Route 113</t>
  </si>
  <si>
    <t>Bug Maniac Wyatt</t>
  </si>
  <si>
    <t>Pokéfan Kaleb</t>
  </si>
  <si>
    <t>79 (Sleep)</t>
  </si>
  <si>
    <t>Download</t>
  </si>
  <si>
    <t>Armor Tail</t>
  </si>
  <si>
    <t>Bad Dreams</t>
  </si>
  <si>
    <t>Dark Void</t>
  </si>
  <si>
    <t>Night Daze</t>
  </si>
  <si>
    <t>Spirit Break</t>
  </si>
  <si>
    <t>Psycho Shift</t>
  </si>
  <si>
    <t>False Surrender</t>
  </si>
  <si>
    <t>Wake-Up Slap</t>
  </si>
  <si>
    <t>Cooltrainer Marcel</t>
  </si>
  <si>
    <t>Mirror Herb</t>
  </si>
  <si>
    <t>Dragon Ascent</t>
  </si>
  <si>
    <t>Moxie</t>
  </si>
  <si>
    <t>Route 119</t>
  </si>
  <si>
    <t>Bug Maniac Taylor</t>
  </si>
  <si>
    <t>Ninja Boy Lung</t>
  </si>
  <si>
    <t>Rollout</t>
  </si>
  <si>
    <t>Blackbelt Rhett</t>
  </si>
  <si>
    <t>Chesnaughtite</t>
  </si>
  <si>
    <t>Crabominite</t>
  </si>
  <si>
    <t>Pinsirite</t>
  </si>
  <si>
    <t>Triple Kick</t>
  </si>
  <si>
    <t>Aerilate</t>
  </si>
  <si>
    <t>Bulletproof</t>
  </si>
  <si>
    <t>Light Metal</t>
  </si>
  <si>
    <t>Scrappy</t>
  </si>
  <si>
    <t>Meteor Assault</t>
  </si>
  <si>
    <t>Mountain Gale</t>
  </si>
  <si>
    <t>Cooltrainer Cristin</t>
  </si>
  <si>
    <t>Bug Maniac Brent</t>
  </si>
  <si>
    <t>Twins Amy&amp;Liv [Double]</t>
  </si>
  <si>
    <t>Twins Tori&amp;Tia [Double]</t>
  </si>
  <si>
    <t>Iron Crown</t>
  </si>
  <si>
    <t>Psychic Surge</t>
  </si>
  <si>
    <t>Expanding Force</t>
  </si>
  <si>
    <t>Shock Drive</t>
  </si>
  <si>
    <t>Beedrillite</t>
  </si>
  <si>
    <t>Audinite</t>
  </si>
  <si>
    <t>Nature's Madness</t>
  </si>
  <si>
    <t>Slow Start</t>
  </si>
  <si>
    <t>Psychic Terrain</t>
  </si>
  <si>
    <t>Belch</t>
  </si>
  <si>
    <t>Lilycove City</t>
  </si>
  <si>
    <t>Crush Grip</t>
  </si>
  <si>
    <t>Lilycove Rival Chespin [Double]</t>
  </si>
  <si>
    <t>Techno Blast</t>
  </si>
  <si>
    <t>Rage Powder</t>
  </si>
  <si>
    <t>Fling</t>
  </si>
  <si>
    <t>Fisherman Andrew</t>
  </si>
  <si>
    <t>Fisherman Noxie</t>
  </si>
  <si>
    <t>Own Tempo</t>
  </si>
  <si>
    <t>Bitter Blade</t>
  </si>
  <si>
    <t>Psych Up</t>
  </si>
  <si>
    <t>Ninja Boy Lao</t>
  </si>
  <si>
    <t>Water Memory</t>
  </si>
  <si>
    <t>Lucarionite</t>
  </si>
  <si>
    <t>RKS System</t>
  </si>
  <si>
    <t>Multi-Attack</t>
  </si>
  <si>
    <t>Lilycove Rival Fennekin [Double]</t>
  </si>
  <si>
    <t>Eelektrossite</t>
  </si>
  <si>
    <t>Supercell Slam</t>
  </si>
  <si>
    <t>Mud Sport</t>
  </si>
  <si>
    <t>Altering Cave</t>
  </si>
  <si>
    <t>Aroma Lady Daisy</t>
  </si>
  <si>
    <t>Blastoisinite</t>
  </si>
  <si>
    <t>Surging Strikes</t>
  </si>
  <si>
    <t>Plasma Fists</t>
  </si>
  <si>
    <t>Mimic</t>
  </si>
  <si>
    <t>Bug Catcher Kent</t>
  </si>
  <si>
    <t>Double Team</t>
  </si>
  <si>
    <t>Ranger Moxi</t>
  </si>
  <si>
    <t>Grass Memory</t>
  </si>
  <si>
    <t>Lilycove Rival Froakie [Double]</t>
  </si>
  <si>
    <t>Cotton Down</t>
  </si>
  <si>
    <t>Queenly Majesty</t>
  </si>
  <si>
    <t>Trop Kick</t>
  </si>
  <si>
    <t>Worry Seed</t>
  </si>
  <si>
    <t>Verdanturf Tunnel</t>
  </si>
  <si>
    <t>Dragalgite</t>
  </si>
  <si>
    <t>Grassy Seed</t>
  </si>
  <si>
    <t>Lass Janice</t>
  </si>
  <si>
    <t>Ranger Catherine</t>
  </si>
  <si>
    <t>69 (Poison)</t>
  </si>
  <si>
    <t>Fire Memory</t>
  </si>
  <si>
    <t>Forest's Curse</t>
  </si>
  <si>
    <t>Spin Out</t>
  </si>
  <si>
    <t>Mean Look</t>
  </si>
  <si>
    <t>Expert Necro</t>
  </si>
  <si>
    <t>Mt.Pyre</t>
  </si>
  <si>
    <t>Hex Maniac Leah</t>
  </si>
  <si>
    <t>Water Spout</t>
  </si>
  <si>
    <t>Self-Destruct</t>
  </si>
  <si>
    <t>Seed Flare</t>
  </si>
  <si>
    <t>Ranger Nak</t>
  </si>
  <si>
    <t>School Kid Mewttins</t>
  </si>
  <si>
    <t>Poison Gem</t>
  </si>
  <si>
    <t>Prism Armor</t>
  </si>
  <si>
    <t>Barb Barrage</t>
  </si>
  <si>
    <t>Ceaseless Edge</t>
  </si>
  <si>
    <t>Prismatic Laser</t>
  </si>
  <si>
    <t>Clefablite</t>
  </si>
  <si>
    <t>Babiri Berry</t>
  </si>
  <si>
    <t>Misty Seed</t>
  </si>
  <si>
    <t>Shadow Shield</t>
  </si>
  <si>
    <t>Route 114</t>
  </si>
  <si>
    <t>Mind's Eye</t>
  </si>
  <si>
    <t>Team Magma Admin Courtney 2</t>
  </si>
  <si>
    <t>Moongeist Beam</t>
  </si>
  <si>
    <t>Blood Moon</t>
  </si>
  <si>
    <t>Blackbelt Tyrone</t>
  </si>
  <si>
    <t>Purifying Salt</t>
  </si>
  <si>
    <t>Rain Dish</t>
  </si>
  <si>
    <t>Salt Cure</t>
  </si>
  <si>
    <t>Bird Keeper Phil &amp; Parasol Lady Rachel [Double]</t>
  </si>
  <si>
    <t>63 (Poison)</t>
  </si>
  <si>
    <t>Rich Boy Dawson</t>
  </si>
  <si>
    <t>Iron Moth</t>
  </si>
  <si>
    <t>Gengarite</t>
  </si>
  <si>
    <t>Burn Up</t>
  </si>
  <si>
    <t>Wandering Spirit</t>
  </si>
  <si>
    <t>Truant</t>
  </si>
  <si>
    <t>Mummy</t>
  </si>
  <si>
    <t>Fisherman Nolan &amp; Fisherman Kai [Double]</t>
  </si>
  <si>
    <t>Corrosive Gas</t>
  </si>
  <si>
    <t>Psychic Kayla</t>
  </si>
  <si>
    <t>Wo Chien</t>
  </si>
  <si>
    <t>Hospitality</t>
  </si>
  <si>
    <t>Tablets of Ruin</t>
  </si>
  <si>
    <t>Matcha Gotcha</t>
  </si>
  <si>
    <t>Ruination</t>
  </si>
  <si>
    <t>Pokémaniac Truhcaz</t>
  </si>
  <si>
    <t>Silk Scarf</t>
  </si>
  <si>
    <t>Milk Drink</t>
  </si>
  <si>
    <t>Lady Sarah</t>
  </si>
  <si>
    <t>Psychic William</t>
  </si>
  <si>
    <t>Damp Rock</t>
  </si>
  <si>
    <t>Cooltrainer June</t>
  </si>
  <si>
    <t>Kebia Berry</t>
  </si>
  <si>
    <t>Ivy Cudgel</t>
  </si>
  <si>
    <t>Chloroblast</t>
  </si>
  <si>
    <t>Bird Keeper Dayton</t>
  </si>
  <si>
    <t>Youngster Timmy</t>
  </si>
  <si>
    <t>Hex Maniac Tasha</t>
  </si>
  <si>
    <t>Flying Memory</t>
  </si>
  <si>
    <t>Wonder Guard</t>
  </si>
  <si>
    <t>Picnicker Frieren</t>
  </si>
  <si>
    <t>Ninja Boy Terror</t>
  </si>
  <si>
    <t>Team Magma Grunt &amp; Team Aqua Grunt [Double]</t>
  </si>
  <si>
    <t>Never-Melt Ice</t>
  </si>
  <si>
    <t>Zero To Hero</t>
  </si>
  <si>
    <t>Cooltrainer Chape</t>
  </si>
  <si>
    <t>Abomasite</t>
  </si>
  <si>
    <t>Sr.And Jr.Tyra&amp;Ivy [Double]</t>
  </si>
  <si>
    <t>Emboarite</t>
  </si>
  <si>
    <t>Liquid Voice</t>
  </si>
  <si>
    <t>Hex Maniac Valerie</t>
  </si>
  <si>
    <t>Blast Burn</t>
  </si>
  <si>
    <t>Echoed Voice</t>
  </si>
  <si>
    <t>Infernal Parade</t>
  </si>
  <si>
    <t>Aqua Step</t>
  </si>
  <si>
    <t>Coaching</t>
  </si>
  <si>
    <t>Psychic Edward &amp; Fisherman Dale [Double]</t>
  </si>
  <si>
    <t>Grass Pelt</t>
  </si>
  <si>
    <t>Weather Institute</t>
  </si>
  <si>
    <t>Institute Team Aqua Grunt #1</t>
  </si>
  <si>
    <t>Froslassite</t>
  </si>
  <si>
    <t>Regrigerate</t>
  </si>
  <si>
    <t>Round</t>
  </si>
  <si>
    <t>Psychic Noise</t>
  </si>
  <si>
    <t>Eerie Impulse</t>
  </si>
  <si>
    <t>Pokémaniac Shikamaru</t>
  </si>
  <si>
    <t>Twisted Spoon</t>
  </si>
  <si>
    <t>Curious Medicine</t>
  </si>
  <si>
    <t>Eerie Spell</t>
  </si>
  <si>
    <t>Verdanturf Grotto</t>
  </si>
  <si>
    <t>Bleakwind Storm</t>
  </si>
  <si>
    <t>Brine</t>
  </si>
  <si>
    <t>Aroma Lady Cutie</t>
  </si>
  <si>
    <t>Institute Team Aqua Grunt #2</t>
  </si>
  <si>
    <t>Ghost Gem</t>
  </si>
  <si>
    <t>Psycho Boost</t>
  </si>
  <si>
    <t>Sappy Seed</t>
  </si>
  <si>
    <t>Pokemaniac Mark</t>
  </si>
  <si>
    <t>Comatose</t>
  </si>
  <si>
    <t>Apple Acid</t>
  </si>
  <si>
    <t>Recycle</t>
  </si>
  <si>
    <t>Kindler Bakugo</t>
  </si>
  <si>
    <t>Gulp Missile</t>
  </si>
  <si>
    <t>Infiltrator</t>
  </si>
  <si>
    <t>Wildbolt Storm</t>
  </si>
  <si>
    <t>Charge</t>
  </si>
  <si>
    <t>Institute Team Aqua Grunt #3</t>
  </si>
  <si>
    <t>Bounce</t>
  </si>
  <si>
    <t>Camper Charlie</t>
  </si>
  <si>
    <t>80 (Paralysis)</t>
  </si>
  <si>
    <t>Hiker Alphonse &amp; Picnicker Winry [Double]</t>
  </si>
  <si>
    <t>Aqua Ring</t>
  </si>
  <si>
    <t>Bouncy Bubble</t>
  </si>
  <si>
    <t>Breeder Gabrielle</t>
  </si>
  <si>
    <t>Rock Polish</t>
  </si>
  <si>
    <t>Institute Team Aqua Grunt #4</t>
  </si>
  <si>
    <t>Light of Ruin</t>
  </si>
  <si>
    <t>Aeroblast</t>
  </si>
  <si>
    <t>Heatproof</t>
  </si>
  <si>
    <t>Parasol Lady Madeline &amp; Youngster Jaylen [Double]</t>
  </si>
  <si>
    <t>Steel Roller</t>
  </si>
  <si>
    <t>Waterfall</t>
  </si>
  <si>
    <t>Psychic Cedric</t>
  </si>
  <si>
    <t>Hiker Jotaro</t>
  </si>
  <si>
    <t>Perish Body</t>
  </si>
  <si>
    <t>Triple Dive</t>
  </si>
  <si>
    <t>Institute Team Aqua Elite Grunt</t>
  </si>
  <si>
    <t>Charizardite X</t>
  </si>
  <si>
    <t>Neutralizing Gas</t>
  </si>
  <si>
    <t>Grim Neigh</t>
  </si>
  <si>
    <t>Emergency Exit</t>
  </si>
  <si>
    <t>Doodle</t>
  </si>
  <si>
    <t>Amnesia</t>
  </si>
  <si>
    <t>Boomburst</t>
  </si>
  <si>
    <t>Battle Girl Lilith</t>
  </si>
  <si>
    <t>Route 115</t>
  </si>
  <si>
    <t>Blackbelt Nob</t>
  </si>
  <si>
    <t>Sharpedonite</t>
  </si>
  <si>
    <t>Springtide Storm</t>
  </si>
  <si>
    <t>Team Aqua Admin Shelly 1</t>
  </si>
  <si>
    <t>Pyre Team Aqua Grunt #1</t>
  </si>
  <si>
    <t>70 (Burn)</t>
  </si>
  <si>
    <t>Mold Breaker</t>
  </si>
  <si>
    <t>Collector Tully</t>
  </si>
  <si>
    <t>Entrainment</t>
  </si>
  <si>
    <t>Pokéfan Miguel</t>
  </si>
  <si>
    <t>Soul Dew</t>
  </si>
  <si>
    <t>Arm Thrust</t>
  </si>
  <si>
    <t>Kasib Berry</t>
  </si>
  <si>
    <t>Horn Drill</t>
  </si>
  <si>
    <t>Camouflage</t>
  </si>
  <si>
    <t>Bridge Rival Chespin</t>
  </si>
  <si>
    <t>Pyre Team Aqua Grunt #2</t>
  </si>
  <si>
    <t>Ampharosite</t>
  </si>
  <si>
    <t>Armor Cannon</t>
  </si>
  <si>
    <t>Diamond Storm</t>
  </si>
  <si>
    <t>Petalburg Gym</t>
  </si>
  <si>
    <t>Cooltrainer Emmie (Offense Room)</t>
  </si>
  <si>
    <t>Psychic Marlene</t>
  </si>
  <si>
    <t>Walking Wake</t>
  </si>
  <si>
    <t>Malamarite</t>
  </si>
  <si>
    <t>Battle Bond</t>
  </si>
  <si>
    <t>Neuroforce</t>
  </si>
  <si>
    <t>Black Glasses</t>
  </si>
  <si>
    <t>Extrasensory</t>
  </si>
  <si>
    <t>Mist Ball</t>
  </si>
  <si>
    <t>Hydro Steam</t>
  </si>
  <si>
    <t>Pyre Team Aqua Grunt #3</t>
  </si>
  <si>
    <t>Cooltrainer Lauren (Defense Room)</t>
  </si>
  <si>
    <t>Grass Pledge</t>
  </si>
  <si>
    <t>Transform</t>
  </si>
  <si>
    <t>Meowsticite</t>
  </si>
  <si>
    <t>Bridge Rival Fennekin</t>
  </si>
  <si>
    <t>Route 112</t>
  </si>
  <si>
    <t>Hiker Trent</t>
  </si>
  <si>
    <t>Stamina</t>
  </si>
  <si>
    <t>Cooltrainer Brian (Crit Room)</t>
  </si>
  <si>
    <t>Shell Side Arm</t>
  </si>
  <si>
    <t>Take Heart</t>
  </si>
  <si>
    <t>Pyre Team Aqua Grunt #4</t>
  </si>
  <si>
    <t>Iron Leaves</t>
  </si>
  <si>
    <t>Psyblade</t>
  </si>
  <si>
    <t>Bridge Rival Froakie</t>
  </si>
  <si>
    <t>Hiker Brice</t>
  </si>
  <si>
    <t>Razor Claw</t>
  </si>
  <si>
    <t>Triple Arrows</t>
  </si>
  <si>
    <t>Laser Focus</t>
  </si>
  <si>
    <t>Cooltrainer Alexia (Confusion Room)</t>
  </si>
  <si>
    <t>Barbaracite</t>
  </si>
  <si>
    <t>Hyperspace Hole</t>
  </si>
  <si>
    <t>Embargo</t>
  </si>
  <si>
    <t>Pyre Team Aqua Grunt #5</t>
  </si>
  <si>
    <t>Heavy Metal</t>
  </si>
  <si>
    <t>Metal Powder</t>
  </si>
  <si>
    <t>Poison Puppeteer</t>
  </si>
  <si>
    <t>Mt.Chimney</t>
  </si>
  <si>
    <t>Imposter</t>
  </si>
  <si>
    <t>Mt.Chimney Team Magma Grunt</t>
  </si>
  <si>
    <t>Celebrate</t>
  </si>
  <si>
    <t>Dizzy Punch</t>
  </si>
  <si>
    <t>Punishment</t>
  </si>
  <si>
    <t>Cooltrainer George (Pass Room)</t>
  </si>
  <si>
    <t>Team Aqua Grunt &amp; Team Aqua Steve [Tag]</t>
  </si>
  <si>
    <t>Berserk</t>
  </si>
  <si>
    <t>Fairy Gem</t>
  </si>
  <si>
    <t>Head Charge</t>
  </si>
  <si>
    <t>Submission</t>
  </si>
  <si>
    <t>Cooltrainer Dan (Grassy Room)</t>
  </si>
  <si>
    <t>Secret Sword</t>
  </si>
  <si>
    <t>Spectral Thief</t>
  </si>
  <si>
    <t>Team Aqua Leader Archie 1</t>
  </si>
  <si>
    <t>Zen Mode</t>
  </si>
  <si>
    <t>Burning Jealousy</t>
  </si>
  <si>
    <t>Mt.Chimney Team Magma Elite Grunt</t>
  </si>
  <si>
    <t>Sharp Beak</t>
  </si>
  <si>
    <t>Tyranitarite</t>
  </si>
  <si>
    <t>Partner Rival</t>
  </si>
  <si>
    <t>Fury Attack</t>
  </si>
  <si>
    <t>Relic Song</t>
  </si>
  <si>
    <t>Beak Blast</t>
  </si>
  <si>
    <t>Cooltrainer Kya (Psychic Room)</t>
  </si>
  <si>
    <t>Hadron Engine</t>
  </si>
  <si>
    <t>Electro Drift</t>
  </si>
  <si>
    <t>Magma Hideout</t>
  </si>
  <si>
    <t>Hideout Team Magma Grunt Zeldest</t>
  </si>
  <si>
    <t>Pokémaniac Shinji (Inverse Room)</t>
  </si>
  <si>
    <t>Manectite</t>
  </si>
  <si>
    <t>Team Magma Admin Tabitha 1</t>
  </si>
  <si>
    <t>Cooltrainer Greg</t>
  </si>
  <si>
    <t>Tera Shell</t>
  </si>
  <si>
    <t>Rawst Berry</t>
  </si>
  <si>
    <t>Topsy-Turvy</t>
  </si>
  <si>
    <t>Skull Bash</t>
  </si>
  <si>
    <t>Dark Aura</t>
  </si>
  <si>
    <t>Hyper Beam</t>
  </si>
  <si>
    <t>Conversion</t>
  </si>
  <si>
    <t>Conversion 2</t>
  </si>
  <si>
    <t>Leader Norman</t>
  </si>
  <si>
    <t>Fiery Wrath</t>
  </si>
  <si>
    <t>Steam Eruption</t>
  </si>
  <si>
    <t>Team Magma Grunt Coffee</t>
  </si>
  <si>
    <t>Fire Gem</t>
  </si>
  <si>
    <t>Scizorite</t>
  </si>
  <si>
    <t>Pounce</t>
  </si>
  <si>
    <t>Team Magma Leader Maxie 1</t>
  </si>
  <si>
    <t>Fighting Memory</t>
  </si>
  <si>
    <t>Kangaskhanite</t>
  </si>
  <si>
    <t>Illusion</t>
  </si>
  <si>
    <t>Parental Bond</t>
  </si>
  <si>
    <t>Population Bomb</t>
  </si>
  <si>
    <t>Bitter Malice</t>
  </si>
  <si>
    <t>Ninja Boy Yasu &amp; Guitarist Fabian [Double]</t>
  </si>
  <si>
    <t>Chandelurite</t>
  </si>
  <si>
    <t>Space Center</t>
  </si>
  <si>
    <t>Space Center Team Magma Grunt #1</t>
  </si>
  <si>
    <t>Orichalcum Pulse</t>
  </si>
  <si>
    <t>Tera Starstorm</t>
  </si>
  <si>
    <t>Collision Course</t>
  </si>
  <si>
    <t>Hideout Team Magma Grunt #3</t>
  </si>
  <si>
    <t>Jagged Pass</t>
  </si>
  <si>
    <t>Hiker Berni</t>
  </si>
  <si>
    <t>Good as Gold</t>
  </si>
  <si>
    <t>Gooey</t>
  </si>
  <si>
    <t>Mind Blown</t>
  </si>
  <si>
    <t>Sacred Fire</t>
  </si>
  <si>
    <t>Life Dew</t>
  </si>
  <si>
    <t>Shelter</t>
  </si>
  <si>
    <t>Whirlwind</t>
  </si>
  <si>
    <t>Ninja Boy Hideo</t>
  </si>
  <si>
    <t>Space Center Team Magma Grunt #2</t>
  </si>
  <si>
    <t>Clangorous Soul</t>
  </si>
  <si>
    <t>Torch Song</t>
  </si>
  <si>
    <t>Noble Roar</t>
  </si>
  <si>
    <t>Jagged Pass Team Magma Grunt</t>
  </si>
  <si>
    <t>Hideout Team Magma Grunt #4</t>
  </si>
  <si>
    <t>Flutter Mane</t>
  </si>
  <si>
    <t>Berserk Gene</t>
  </si>
  <si>
    <t>V-create</t>
  </si>
  <si>
    <t>Bolt Strike</t>
  </si>
  <si>
    <t>Space Center Team Magma Elite Grunt [Double]</t>
  </si>
  <si>
    <t>Iron Valiant</t>
  </si>
  <si>
    <t>75 (Paralysis)</t>
  </si>
  <si>
    <t>Iron Ball</t>
  </si>
  <si>
    <t>Fortree Gym</t>
  </si>
  <si>
    <t>Bird Keeper Specter</t>
  </si>
  <si>
    <t>Team Magma Grunt Grintoul</t>
  </si>
  <si>
    <t>Raging Bolt</t>
  </si>
  <si>
    <t>Victreebelite</t>
  </si>
  <si>
    <t>90 (Burn)</t>
  </si>
  <si>
    <t>Floaty Fall</t>
  </si>
  <si>
    <t>Thunderclap</t>
  </si>
  <si>
    <t>Space Center Team Magma Cobalt</t>
  </si>
  <si>
    <t>Picnicker Diana</t>
  </si>
  <si>
    <t>Stench</t>
  </si>
  <si>
    <t>Wonder Skin</t>
  </si>
  <si>
    <t>Gigaton Hammer</t>
  </si>
  <si>
    <t>Sky Uppercut</t>
  </si>
  <si>
    <t>Hawluchanite</t>
  </si>
  <si>
    <t>Griseous Orb</t>
  </si>
  <si>
    <t>Gale Wings</t>
  </si>
  <si>
    <t>Hideout Magma Grunt #6 &amp; #7 [Double]</t>
  </si>
  <si>
    <t>Flying Press</t>
  </si>
  <si>
    <t>Shadow Force</t>
  </si>
  <si>
    <t>Camper Flint &amp; Bird Keeper Edwardo [Double]</t>
  </si>
  <si>
    <t>Lopunnite</t>
  </si>
  <si>
    <t>Space Center Team Magma Virgil</t>
  </si>
  <si>
    <t>Triathlete Julio</t>
  </si>
  <si>
    <t>Heatranite</t>
  </si>
  <si>
    <t>Teravolt</t>
  </si>
  <si>
    <t>Drampanite</t>
  </si>
  <si>
    <t>Glimmoranite</t>
  </si>
  <si>
    <t>Fusion Flare</t>
  </si>
  <si>
    <t>Photon Geyser</t>
  </si>
  <si>
    <t>Fusion Bolt</t>
  </si>
  <si>
    <t>Space Center Team Magma Terrence</t>
  </si>
  <si>
    <t>Hideout Team Magma Grunt #8</t>
  </si>
  <si>
    <t>Bird Keeper Narth</t>
  </si>
  <si>
    <t>Accelerock</t>
  </si>
  <si>
    <t>Lavaridge Gym</t>
  </si>
  <si>
    <t>Hiker Eli</t>
  </si>
  <si>
    <t>Darkranite</t>
  </si>
  <si>
    <t>Magma Leader Maxie &amp; Tabitha [Tag]</t>
  </si>
  <si>
    <t>Staraptite</t>
  </si>
  <si>
    <t>Stone Axe</t>
  </si>
  <si>
    <t>Ranger Frank Josh</t>
  </si>
  <si>
    <t>Disable</t>
  </si>
  <si>
    <t>Hideout Team Magma Grunt #9</t>
  </si>
  <si>
    <t>Magnet Bomb</t>
  </si>
  <si>
    <t>Behemoth Bash</t>
  </si>
  <si>
    <t>Spicy Extract</t>
  </si>
  <si>
    <t>Partner Steven</t>
  </si>
  <si>
    <t>Sandy Shocks</t>
  </si>
  <si>
    <t>Scovillainite</t>
  </si>
  <si>
    <t>82 (Burn)</t>
  </si>
  <si>
    <t>Kindler Nathan</t>
  </si>
  <si>
    <t>Double Shock</t>
  </si>
  <si>
    <t>Luster Purge</t>
  </si>
  <si>
    <t>Hideout Team Magma Grunt #10</t>
  </si>
  <si>
    <t>Golurkite</t>
  </si>
  <si>
    <t>Thunderous Kick</t>
  </si>
  <si>
    <t>Bird Keeper Jared</t>
  </si>
  <si>
    <t>Rusted Sword</t>
  </si>
  <si>
    <t>Metagrossite</t>
  </si>
  <si>
    <t>Intrepid Sword</t>
  </si>
  <si>
    <t>Behemoth Blade</t>
  </si>
  <si>
    <t>Route 127</t>
  </si>
  <si>
    <t>Bird Keeper Halo &amp; Ranger Jmash [Double]</t>
  </si>
  <si>
    <t>Shadow Bone</t>
  </si>
  <si>
    <t>Bonemerang</t>
  </si>
  <si>
    <t>Hideout Team Magma Elite Grunt</t>
  </si>
  <si>
    <t>Blue Flare</t>
  </si>
  <si>
    <t>Mud Shot</t>
  </si>
  <si>
    <t>Kindler Cole &amp; Battle Girl Danielle [Double]</t>
  </si>
  <si>
    <t>Skarmorite</t>
  </si>
  <si>
    <t>Rattled</t>
  </si>
  <si>
    <t>Hyper Drill</t>
  </si>
  <si>
    <t>Freezing Glare</t>
  </si>
  <si>
    <t>Hard Press</t>
  </si>
  <si>
    <t>Dragon Tamer Sora</t>
  </si>
  <si>
    <t>Cooltrainer Puffy</t>
  </si>
  <si>
    <t>81 (Burn)</t>
  </si>
  <si>
    <t>Turboblaze</t>
  </si>
  <si>
    <t>Team Magma Admin Tabitha 2</t>
  </si>
  <si>
    <t>Flower Gift</t>
  </si>
  <si>
    <t>Dragon Tamer Jace</t>
  </si>
  <si>
    <t>Ting Lu</t>
  </si>
  <si>
    <t>Vessel of Ruin</t>
  </si>
  <si>
    <t>Axe Kick</t>
  </si>
  <si>
    <t>Expert Qspec</t>
  </si>
  <si>
    <t>Latiasite</t>
  </si>
  <si>
    <t>Charizardite Y</t>
  </si>
  <si>
    <t>Rough Skin</t>
  </si>
  <si>
    <t>Thermal Exchange</t>
  </si>
  <si>
    <t>Team Magma Leader Maxie 2</t>
  </si>
  <si>
    <t>Leader Winona 1</t>
  </si>
  <si>
    <t>Payapa Berry</t>
  </si>
  <si>
    <t>Wellspring Mask</t>
  </si>
  <si>
    <t>Excadrite</t>
  </si>
  <si>
    <t>Solar Power</t>
  </si>
  <si>
    <t>Astral Barrage</t>
  </si>
  <si>
    <t>Cooltrainer Axle</t>
  </si>
  <si>
    <t>Sis And Bro Reli&amp;Ian [Double]</t>
  </si>
  <si>
    <t>Gravity</t>
  </si>
  <si>
    <t>Aqua Hideout</t>
  </si>
  <si>
    <t>Team Aqua Grunt Soph</t>
  </si>
  <si>
    <t>Altarianite</t>
  </si>
  <si>
    <t>Hideout Team Aqua Grunt #2</t>
  </si>
  <si>
    <t>Charcoal</t>
  </si>
  <si>
    <t>Ice Memory</t>
  </si>
  <si>
    <t>Roaring Moon</t>
  </si>
  <si>
    <t>85 (Burn)</t>
  </si>
  <si>
    <t>Leader Winona 2 [Double]</t>
  </si>
  <si>
    <t>Freezy Frost</t>
  </si>
  <si>
    <t>Splash</t>
  </si>
  <si>
    <t>Hold Hands</t>
  </si>
  <si>
    <t>Expert Keegan</t>
  </si>
  <si>
    <t>Seafloor Cavern</t>
  </si>
  <si>
    <t>Seafloor Team Aqua Grunt #1</t>
  </si>
  <si>
    <t>Freeze Shock</t>
  </si>
  <si>
    <t>Confuse Ray</t>
  </si>
  <si>
    <t>Team Aqua Grunt Gian</t>
  </si>
  <si>
    <t>Fissure</t>
  </si>
  <si>
    <t>Seafloor Team Aqua Grunt #2</t>
  </si>
  <si>
    <t>Misty Surge</t>
  </si>
  <si>
    <t>Flare Boost</t>
  </si>
  <si>
    <t>Telekinesis</t>
  </si>
  <si>
    <t>Misty Terrain</t>
  </si>
  <si>
    <t>Leader Flannery</t>
  </si>
  <si>
    <t>Swampertite</t>
  </si>
  <si>
    <t>Hideout Team Aqua Grunt #4</t>
  </si>
  <si>
    <t>Evergrande City</t>
  </si>
  <si>
    <t>Lorekeeper Zinnia</t>
  </si>
  <si>
    <t>Chien Pao</t>
  </si>
  <si>
    <t>Sword of Ruin</t>
  </si>
  <si>
    <t>Dragon Darts</t>
  </si>
  <si>
    <t>Seafloor Team Aqua Grunt #3</t>
  </si>
  <si>
    <t>Hideout Team Aqua Grunt #5</t>
  </si>
  <si>
    <t>Brute Bonnet</t>
  </si>
  <si>
    <t>Houndoominite</t>
  </si>
  <si>
    <t>Delta Stream</t>
  </si>
  <si>
    <t>Route 123</t>
  </si>
  <si>
    <t>Team Rocket Grunt #1</t>
  </si>
  <si>
    <t>Damp</t>
  </si>
  <si>
    <t>Seafloor Team Aqua Grunt #4</t>
  </si>
  <si>
    <t>Pokémon League</t>
  </si>
  <si>
    <t>Elite Four Sidney Singles</t>
  </si>
  <si>
    <t>Team Aqua Grunt Steve 2</t>
  </si>
  <si>
    <t>Golisopite</t>
  </si>
  <si>
    <t>Team Aqua Grunt Gren</t>
  </si>
  <si>
    <t>Dig</t>
  </si>
  <si>
    <t>Team Rocket Grunt #2</t>
  </si>
  <si>
    <t>Chi Yu</t>
  </si>
  <si>
    <t>Beads of Ruin</t>
  </si>
  <si>
    <t>Oblivion Wing</t>
  </si>
  <si>
    <t>Elite Four Sidney Doubles [Double]</t>
  </si>
  <si>
    <t>Garchompite</t>
  </si>
  <si>
    <t>Venusaurite</t>
  </si>
  <si>
    <t>Team Aqua Admin Matt</t>
  </si>
  <si>
    <t>Team Aqua Admin Shelly 2</t>
  </si>
  <si>
    <t>Gyaradosite</t>
  </si>
  <si>
    <t>Baddy Bad</t>
  </si>
  <si>
    <t>96 (Burn)</t>
  </si>
  <si>
    <t>Chesto Berry</t>
  </si>
  <si>
    <t>Garchompite Z</t>
  </si>
  <si>
    <t>Elite Four Phoebe Singles</t>
  </si>
  <si>
    <t>Gear Grind</t>
  </si>
  <si>
    <t>Team Rocket Grunt #3</t>
  </si>
  <si>
    <t>Latiosite</t>
  </si>
  <si>
    <t>Team Aqua Grunt Steve 3</t>
  </si>
  <si>
    <t>Lustrous Orb</t>
  </si>
  <si>
    <t>Electro Shot</t>
  </si>
  <si>
    <t>Spacial Rend</t>
  </si>
  <si>
    <t>Route 124</t>
  </si>
  <si>
    <t>Swimmer Webe &amp; Swimmer D.K [Double]</t>
  </si>
  <si>
    <t>Griseous Core</t>
  </si>
  <si>
    <t>Hidden Power Bug</t>
  </si>
  <si>
    <t>Elite Four Phoebe Doubles [Double]</t>
  </si>
  <si>
    <t>97 (Poison)</t>
  </si>
  <si>
    <t>Magearnite</t>
  </si>
  <si>
    <t>92 (Paralysis)</t>
  </si>
  <si>
    <t>Spite</t>
  </si>
  <si>
    <t>Team Aqua Leader Archie 2</t>
  </si>
  <si>
    <t>Cooltrainer Reyna</t>
  </si>
  <si>
    <t>Iron Jugulis</t>
  </si>
  <si>
    <t>Lax Inscense</t>
  </si>
  <si>
    <t>Origin Pulse</t>
  </si>
  <si>
    <t>As One</t>
  </si>
  <si>
    <t>Route 129</t>
  </si>
  <si>
    <t>Swimmer Byonemil</t>
  </si>
  <si>
    <t>Swimmer Reed</t>
  </si>
  <si>
    <t>Wide Guard</t>
  </si>
  <si>
    <t>Elite Four Rival Singles</t>
  </si>
  <si>
    <t>Cooltrainer Yoru</t>
  </si>
  <si>
    <t>Dragoninite</t>
  </si>
  <si>
    <t>Steam Engine</t>
  </si>
  <si>
    <t>86 (Paralysis)</t>
  </si>
  <si>
    <t>Sparkling Aria</t>
  </si>
  <si>
    <t>Cornerstone Mask</t>
  </si>
  <si>
    <t>Room Service</t>
  </si>
  <si>
    <t>Metal Coat</t>
  </si>
  <si>
    <t>Hearthflame Mask</t>
  </si>
  <si>
    <t>Triathlete Allison</t>
  </si>
  <si>
    <t>Route 125</t>
  </si>
  <si>
    <t>Expert Cash</t>
  </si>
  <si>
    <t>Elite Four Rival Doubles [Double]</t>
  </si>
  <si>
    <t>Iron Boulder</t>
  </si>
  <si>
    <t>Floettite</t>
  </si>
  <si>
    <t>Mind Plate</t>
  </si>
  <si>
    <t>Fairy Aura</t>
  </si>
  <si>
    <t>Multitype</t>
  </si>
  <si>
    <t>Mighty Cleave</t>
  </si>
  <si>
    <t>Expert Niklas</t>
  </si>
  <si>
    <t>Stephin &amp; Triathlete Barron [Double]</t>
  </si>
  <si>
    <t>Iron Bundle</t>
  </si>
  <si>
    <t>Dynamax Cannon</t>
  </si>
  <si>
    <t>Mossdeep City</t>
  </si>
  <si>
    <t>Pokémon Trainer Leaf 1</t>
  </si>
  <si>
    <t>Fairy Memory</t>
  </si>
  <si>
    <t>Elite Four Drake Singles</t>
  </si>
  <si>
    <t>Pollen Puff</t>
  </si>
  <si>
    <t>Route 130</t>
  </si>
  <si>
    <t>Swimmer Puppy</t>
  </si>
  <si>
    <t>Lucarionite Z</t>
  </si>
  <si>
    <t>Unseen Fist</t>
  </si>
  <si>
    <t>Hydro Cannon</t>
  </si>
  <si>
    <t>Wicked Blow</t>
  </si>
  <si>
    <t>Kindler Kos</t>
  </si>
  <si>
    <t>Psychic Memory</t>
  </si>
  <si>
    <t>Absolite Z</t>
  </si>
  <si>
    <t>Psychic Seed</t>
  </si>
  <si>
    <t>Flail</t>
  </si>
  <si>
    <t>Mossdeep Gym</t>
  </si>
  <si>
    <t>Psychic Preston &amp; Psychic Maura [Double]</t>
  </si>
  <si>
    <t>Swimmer Katie &amp; Swimmer Santiago [Double]</t>
  </si>
  <si>
    <t>Adamant Orb</t>
  </si>
  <si>
    <t>Elite Four Drake Doubles [Double]</t>
  </si>
  <si>
    <t>Youngster Des</t>
  </si>
  <si>
    <t>Miracle Eye</t>
  </si>
  <si>
    <t>Speed Swap</t>
  </si>
  <si>
    <t>Pokémaniac Symes &amp; Bug Maniac Connor [Double]</t>
  </si>
  <si>
    <t>Imprison</t>
  </si>
  <si>
    <t>Triathlete Rydia</t>
  </si>
  <si>
    <t>Salamencite</t>
  </si>
  <si>
    <t>Champion Wallace</t>
  </si>
  <si>
    <t>Blazikenite</t>
  </si>
  <si>
    <t>Thousand Arrows</t>
  </si>
  <si>
    <t>Starminite</t>
  </si>
  <si>
    <t>Power Of Alchemy</t>
  </si>
  <si>
    <t>Pokémon Trainer Leaf 2</t>
  </si>
  <si>
    <t>Role Play</t>
  </si>
  <si>
    <t>Route 131</t>
  </si>
  <si>
    <t>Triathlete Talia</t>
  </si>
  <si>
    <t>Psychic Virgil &amp; Psychic Nate [Double]</t>
  </si>
  <si>
    <t>100 (Burn)</t>
  </si>
  <si>
    <t>Lustrous Globe</t>
  </si>
  <si>
    <t>Douse Drive</t>
  </si>
  <si>
    <t>Diancite</t>
  </si>
  <si>
    <t>Geomancy</t>
  </si>
  <si>
    <t>94 (Burn)</t>
  </si>
  <si>
    <t>Transistor</t>
  </si>
  <si>
    <t>Swimmer Kara</t>
  </si>
  <si>
    <t>Slowbronite</t>
  </si>
  <si>
    <t>Double Iron Bash</t>
  </si>
  <si>
    <t>Twins Ame&amp;Yuki [Double]</t>
  </si>
  <si>
    <t>Psychic Hannah &amp; Hex Maniac Sylvia [Double]</t>
  </si>
  <si>
    <t>Sweet Veil</t>
  </si>
  <si>
    <t>Chilling Neigh</t>
  </si>
  <si>
    <t>Swimmer Susie</t>
  </si>
  <si>
    <t>Gardevoirite</t>
  </si>
  <si>
    <t>Symbiosis</t>
  </si>
  <si>
    <t>Fleur Cannon</t>
  </si>
  <si>
    <t>Gentleman Andreas &amp; Maniac Tina [Double]</t>
  </si>
  <si>
    <t>99 (Poison)</t>
  </si>
  <si>
    <t>Pecha Berry</t>
  </si>
  <si>
    <t>Ex Elite Four Glacia 2</t>
  </si>
  <si>
    <t>Hyperspace Fury</t>
  </si>
  <si>
    <t>Route 132</t>
  </si>
  <si>
    <t>Tourist Morty</t>
  </si>
  <si>
    <t>Galladite</t>
  </si>
  <si>
    <t>Gentleman Clifford &amp; Psychic Macey [Double]</t>
  </si>
  <si>
    <t>Glacial Lance</t>
  </si>
  <si>
    <t>Ice Burn</t>
  </si>
  <si>
    <t>Victory Road</t>
  </si>
  <si>
    <t>95 (Sleep)</t>
  </si>
  <si>
    <t>Rival Wally 1</t>
  </si>
  <si>
    <t>Tourist Clair</t>
  </si>
  <si>
    <t>Lumina Crash</t>
  </si>
  <si>
    <t>Leader Liza [Double with Leader Tate]</t>
  </si>
  <si>
    <t>Force Palm</t>
  </si>
  <si>
    <t>Route 134</t>
  </si>
  <si>
    <t>Cooltrainer Bazzo</t>
  </si>
  <si>
    <t>Rival Wally 2</t>
  </si>
  <si>
    <t>Ultranecrozium Z</t>
  </si>
  <si>
    <t>Sky Pillar</t>
  </si>
  <si>
    <t>Leader Tate</t>
  </si>
  <si>
    <t>Old Couple John&amp;Jay</t>
  </si>
  <si>
    <t>Soul-Heart</t>
  </si>
  <si>
    <t>Rival Wally 3</t>
  </si>
  <si>
    <t>Draco Plate</t>
  </si>
  <si>
    <t>Iron Plate</t>
  </si>
  <si>
    <t>Judgment</t>
  </si>
  <si>
    <t>Sky Pillar Rayquaza</t>
  </si>
  <si>
    <t>Air Lock</t>
  </si>
  <si>
    <t>Sootopolis Gym</t>
  </si>
  <si>
    <t>Lass Andrea</t>
  </si>
  <si>
    <t>Adventurer Brandon 1 [Double]</t>
  </si>
  <si>
    <t>Iron Treads</t>
  </si>
  <si>
    <t>Pokéfan Annika</t>
  </si>
  <si>
    <t>Zygardite</t>
  </si>
  <si>
    <t>Core Enforcer</t>
  </si>
  <si>
    <t>Adventurer Brandon 2 [Double]</t>
  </si>
  <si>
    <t>Gorilla Tactics</t>
  </si>
  <si>
    <t>Lady Daphne</t>
  </si>
  <si>
    <t>Light Ball</t>
  </si>
  <si>
    <t>Naturalist Greta 1</t>
  </si>
  <si>
    <t>Combat Torque</t>
  </si>
  <si>
    <t>Lady Brianna &amp; Beauty Bridget [Double]</t>
  </si>
  <si>
    <t>Zeraorite</t>
  </si>
  <si>
    <t>Pokéfan Bethany</t>
  </si>
  <si>
    <t>Insect Plate</t>
  </si>
  <si>
    <t>Naturalist Greta 2</t>
  </si>
  <si>
    <t>Baxcalibrite</t>
  </si>
  <si>
    <t>Glaive Rush</t>
  </si>
  <si>
    <t>Pokéfan Bobertclef</t>
  </si>
  <si>
    <t>Earth Plate</t>
  </si>
  <si>
    <t>Natural Guru Spenser 1 [Double]</t>
  </si>
  <si>
    <t>Ex Leader Juan</t>
  </si>
  <si>
    <t>Meadow Plate</t>
  </si>
  <si>
    <t>Natural Guru Spenser 2 [Double]</t>
  </si>
  <si>
    <t>Tachyon Cutter</t>
  </si>
  <si>
    <t>Supersonic</t>
  </si>
  <si>
    <t>Leader Steven</t>
  </si>
  <si>
    <t>Splash Plate</t>
  </si>
  <si>
    <t>Adamant Crystal</t>
  </si>
  <si>
    <t>Battle Queen Lucy 1</t>
  </si>
  <si>
    <t>Roar Of Time</t>
  </si>
  <si>
    <t>Malignant Chain</t>
  </si>
  <si>
    <t>Eternabeam</t>
  </si>
  <si>
    <t>Battle Queen Lucy 2</t>
  </si>
  <si>
    <t>Superstar Tucker 1</t>
  </si>
  <si>
    <t>Superstar Tucker 2</t>
  </si>
  <si>
    <t>Trainer Maxie [Double with Trainer Archie]</t>
  </si>
  <si>
    <t>Red Orb</t>
  </si>
  <si>
    <t>Doom Desire</t>
  </si>
  <si>
    <t>Trainer Archie</t>
  </si>
  <si>
    <t>Blue Orb</t>
  </si>
  <si>
    <t>Teacher Anabel</t>
  </si>
  <si>
    <t>Mewtwonite Y</t>
  </si>
  <si>
    <t>Frontier Head Noland</t>
  </si>
  <si>
    <t>Mewtwonite X</t>
  </si>
  <si>
    <t>Autotomize</t>
  </si>
  <si>
    <t>Slateport City</t>
  </si>
  <si>
    <t>Pokémaniac Darm</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</si>
</sst>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0.0"/>
      <color rgb="FFFFD966"/>
      <name val="Arial"/>
    </font>
    <font>
      <b/>
      <sz val="10.0"/>
      <color rgb="FF00FFFF"/>
      <name val="Nunito"/>
    </font>
    <font/>
    <font>
      <b/>
      <sz val="10.0"/>
      <color rgb="FFFFD966"/>
      <name val="Nunito"/>
    </font>
    <font>
      <b/>
      <sz val="11.0"/>
      <color theme="1"/>
      <name val="Arial"/>
    </font>
    <font>
      <color theme="1"/>
      <name val="Arial"/>
    </font>
    <font>
      <sz val="10.0"/>
      <color theme="1"/>
      <name val="Nunito"/>
    </font>
    <font>
      <b/>
      <sz val="10.0"/>
      <color theme="1"/>
      <name val="Nunito"/>
    </font>
    <font>
      <sz val="10.0"/>
      <color theme="1"/>
      <name val="Arial"/>
    </font>
    <font>
      <sz val="10.0"/>
      <color rgb="FF000000"/>
      <name val="Nunito"/>
    </font>
    <font>
      <b/>
      <color rgb="FF00FFFF"/>
      <name val="Nunito"/>
    </font>
    <font>
      <sz val="10.0"/>
      <color rgb="FFFFD966"/>
      <name val="Nunito"/>
    </font>
  </fonts>
  <fills count="7">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FF0000"/>
        <bgColor rgb="FFFF0000"/>
      </patternFill>
    </fill>
    <fill>
      <patternFill patternType="solid">
        <fgColor rgb="FFEFEFEF"/>
        <bgColor rgb="FFEFEFEF"/>
      </patternFill>
    </fill>
    <fill>
      <patternFill patternType="solid">
        <fgColor rgb="FFD9D9D9"/>
        <bgColor rgb="FFD9D9D9"/>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49" xfId="0" applyFill="1" applyFont="1" applyNumberFormat="1"/>
    <xf borderId="0" fillId="2" fontId="3" numFmtId="0" xfId="0" applyAlignment="1" applyFill="1" applyFont="1">
      <alignment horizontal="center" readingOrder="0" vertical="center"/>
    </xf>
    <xf borderId="0" fillId="2" fontId="3" numFmtId="49" xfId="0" applyAlignment="1" applyFill="1" applyFont="1" applyNumberFormat="1">
      <alignment horizontal="center" readingOrder="0"/>
    </xf>
    <xf borderId="0" fillId="0" fontId="1" numFmtId="0" xfId="0" applyAlignment="1" applyFont="1">
      <alignment readingOrder="0"/>
    </xf>
    <xf borderId="0" fillId="2" fontId="3" numFmtId="49" xfId="0" applyAlignment="1" applyFill="1" applyFont="1" applyNumberFormat="1">
      <alignment horizontal="center"/>
    </xf>
    <xf borderId="1" fillId="2" fontId="3" numFmtId="0" xfId="0" applyAlignment="1" applyBorder="1" applyFill="1" applyFont="1">
      <alignment horizontal="center" readingOrder="0" vertical="center"/>
    </xf>
    <xf borderId="2" fillId="0" fontId="4" numFmtId="0" xfId="0" applyBorder="1" applyFont="1"/>
    <xf borderId="3" fillId="3" fontId="5" numFmtId="0" xfId="0" applyAlignment="1" applyBorder="1" applyFill="1" applyFont="1">
      <alignment horizontal="center" readingOrder="0" vertical="center"/>
    </xf>
    <xf borderId="1" fillId="3" fontId="5" numFmtId="0" xfId="0" applyAlignment="1" applyBorder="1" applyFill="1" applyFont="1">
      <alignment horizontal="center" readingOrder="0" vertical="center"/>
    </xf>
    <xf borderId="2" fillId="0" fontId="1" numFmtId="0" xfId="0" applyBorder="1" applyFont="1"/>
    <xf borderId="3" fillId="4" fontId="3" numFmtId="0" xfId="0" applyAlignment="1" applyBorder="1" applyFill="1" applyFont="1">
      <alignment horizontal="center" readingOrder="0" vertical="center"/>
    </xf>
    <xf borderId="3" fillId="3" fontId="3" numFmtId="0" xfId="0" applyAlignment="1" applyBorder="1" applyFill="1" applyFont="1">
      <alignment horizontal="center" readingOrder="0" vertical="center"/>
    </xf>
    <xf borderId="4" fillId="3" fontId="5" numFmtId="0" xfId="0" applyAlignment="1" applyBorder="1" applyFill="1" applyFont="1">
      <alignment horizontal="center" readingOrder="0" vertical="center"/>
    </xf>
    <xf borderId="0" fillId="0" fontId="6" numFmtId="0" xfId="0" applyAlignment="1" applyFont="1">
      <alignment horizontal="left" vertical="center"/>
    </xf>
    <xf borderId="0" fillId="0" fontId="6" numFmtId="0" xfId="0" applyAlignment="1" applyFont="1">
      <alignment horizontal="left" readingOrder="0" vertical="center"/>
    </xf>
    <xf borderId="0" fillId="0" fontId="6" numFmtId="0" xfId="0" applyAlignment="1" applyFont="1">
      <alignment horizontal="center" readingOrder="0" vertical="center"/>
    </xf>
    <xf borderId="0" fillId="0" fontId="7" numFmtId="0" xfId="0" applyAlignment="1" applyFont="1">
      <alignment horizontal="left" readingOrder="0" vertical="center"/>
    </xf>
    <xf borderId="0" fillId="0" fontId="7" numFmtId="0" xfId="0" applyAlignment="1" applyFont="1">
      <alignment horizontal="center" readingOrder="0" vertical="center"/>
    </xf>
    <xf borderId="0" fillId="0" fontId="7" numFmtId="0" xfId="0" applyAlignment="1" applyFont="1">
      <alignment horizontal="left" vertical="center"/>
    </xf>
    <xf borderId="5" fillId="5" fontId="8" numFmtId="0" xfId="0" applyAlignment="1" applyBorder="1" applyFill="1" applyFont="1">
      <alignment horizontal="center" readingOrder="0" vertical="center"/>
    </xf>
    <xf borderId="6" fillId="3" fontId="3" numFmtId="0" xfId="0" applyAlignment="1" applyBorder="1" applyFill="1" applyFont="1">
      <alignment horizontal="center" readingOrder="0" vertical="center"/>
    </xf>
    <xf borderId="7" fillId="0" fontId="4" numFmtId="0" xfId="0" applyBorder="1" applyFont="1"/>
    <xf borderId="8" fillId="0" fontId="4" numFmtId="0" xfId="0" applyBorder="1" applyFont="1"/>
    <xf borderId="5" fillId="6" fontId="9" numFmtId="0" xfId="0" applyAlignment="1" applyBorder="1" applyFill="1" applyFont="1">
      <alignment horizontal="center" readingOrder="0" vertical="center"/>
    </xf>
    <xf borderId="9" fillId="0" fontId="4" numFmtId="0" xfId="0" applyBorder="1" applyFont="1"/>
    <xf borderId="9" fillId="0" fontId="1" numFmtId="0" xfId="0" applyBorder="1" applyFont="1"/>
    <xf borderId="5" fillId="6" fontId="8" numFmtId="0" xfId="0" applyAlignment="1" applyBorder="1" applyFill="1" applyFont="1">
      <alignment horizontal="center" readingOrder="0" vertical="center"/>
    </xf>
    <xf borderId="10" fillId="0" fontId="4" numFmtId="0" xfId="0" applyBorder="1" applyFont="1"/>
    <xf borderId="11" fillId="0" fontId="4" numFmtId="0" xfId="0" applyBorder="1" applyFont="1"/>
    <xf borderId="12" fillId="0" fontId="4" numFmtId="0" xfId="0" applyBorder="1" applyFont="1"/>
    <xf borderId="0" fillId="0" fontId="1" numFmtId="0" xfId="0" applyAlignment="1" applyFont="1">
      <alignment horizontal="left" readingOrder="0" vertical="center"/>
    </xf>
    <xf borderId="3" fillId="0" fontId="4" numFmtId="0" xfId="0" applyBorder="1" applyFont="1"/>
    <xf borderId="3" fillId="4" fontId="3" numFmtId="0" xfId="0" applyAlignment="1" applyBorder="1" applyFill="1" applyFont="1">
      <alignment horizontal="center" readingOrder="0" vertical="center"/>
    </xf>
    <xf borderId="8" fillId="2" fontId="2" numFmtId="49" xfId="0" applyBorder="1" applyFill="1" applyFont="1" applyNumberFormat="1"/>
    <xf borderId="3" fillId="2" fontId="3" numFmtId="0" xfId="0" applyAlignment="1" applyBorder="1" applyFill="1" applyFont="1">
      <alignment horizontal="center" readingOrder="0" vertical="center"/>
    </xf>
    <xf borderId="0" fillId="0" fontId="1" numFmtId="0" xfId="0" applyAlignment="1" applyFont="1">
      <alignment horizontal="left" readingOrder="0"/>
    </xf>
    <xf borderId="7" fillId="3" fontId="3" numFmtId="0" xfId="0" applyAlignment="1" applyBorder="1" applyFill="1" applyFont="1">
      <alignment horizontal="center" readingOrder="0" vertical="center"/>
    </xf>
    <xf borderId="0" fillId="3" fontId="3" numFmtId="0" xfId="0" applyAlignment="1" applyFill="1" applyFont="1">
      <alignment horizontal="center" readingOrder="0" vertical="center"/>
    </xf>
    <xf borderId="11" fillId="0" fontId="1" numFmtId="0" xfId="0" applyBorder="1" applyFont="1"/>
    <xf borderId="12" fillId="3" fontId="3" numFmtId="0" xfId="0" applyAlignment="1" applyBorder="1" applyFill="1" applyFont="1">
      <alignment horizontal="center" readingOrder="0" vertical="center"/>
    </xf>
    <xf borderId="0" fillId="0" fontId="10" numFmtId="0" xfId="0" applyAlignment="1" applyFont="1">
      <alignment horizontal="left" readingOrder="0" vertical="center"/>
    </xf>
    <xf borderId="5" fillId="5" fontId="11" numFmtId="0" xfId="0" applyAlignment="1" applyBorder="1" applyFill="1" applyFont="1">
      <alignment horizontal="center" readingOrder="0" vertical="center"/>
    </xf>
    <xf borderId="0" fillId="0" fontId="7" numFmtId="0" xfId="0" applyAlignment="1" applyFont="1">
      <alignment horizontal="left" vertical="center"/>
    </xf>
    <xf borderId="0" fillId="0" fontId="7" numFmtId="0" xfId="0" applyAlignment="1" applyFont="1">
      <alignment horizontal="left" readingOrder="0" vertical="center"/>
    </xf>
    <xf borderId="8" fillId="3" fontId="5" numFmtId="0" xfId="0" applyAlignment="1" applyBorder="1" applyFill="1" applyFont="1">
      <alignment horizontal="center" readingOrder="0" vertical="center"/>
    </xf>
    <xf borderId="8" fillId="2" fontId="2" numFmtId="49" xfId="0" applyAlignment="1" applyBorder="1" applyFill="1" applyFont="1" applyNumberFormat="1">
      <alignment readingOrder="0"/>
    </xf>
    <xf borderId="12" fillId="2" fontId="3" numFmtId="49" xfId="0" applyAlignment="1" applyBorder="1" applyFill="1" applyFont="1" applyNumberFormat="1">
      <alignment horizontal="center" readingOrder="0"/>
    </xf>
    <xf borderId="3" fillId="2" fontId="5" numFmtId="0" xfId="0" applyAlignment="1" applyBorder="1" applyFill="1" applyFont="1">
      <alignment horizontal="center" readingOrder="0" vertical="center"/>
    </xf>
    <xf borderId="13" fillId="2" fontId="10" numFmtId="49" xfId="0" applyAlignment="1" applyBorder="1" applyFill="1" applyFont="1" applyNumberFormat="1">
      <alignment readingOrder="0"/>
    </xf>
    <xf borderId="0" fillId="4" fontId="3" numFmtId="49" xfId="0" applyAlignment="1" applyFill="1" applyFont="1" applyNumberFormat="1">
      <alignment horizontal="center" readingOrder="0"/>
    </xf>
    <xf borderId="1" fillId="2" fontId="12" numFmtId="0" xfId="0" applyAlignment="1" applyBorder="1" applyFill="1" applyFont="1">
      <alignment horizontal="center" readingOrder="0"/>
    </xf>
    <xf borderId="5" fillId="5" fontId="13" numFmtId="0" xfId="0" applyAlignment="1" applyBorder="1" applyFill="1" applyFont="1">
      <alignment horizontal="center" readingOrder="0" vertical="center"/>
    </xf>
    <xf borderId="5" fillId="5" fontId="8" numFmtId="0" xfId="0" applyAlignment="1" applyBorder="1" applyFill="1" applyFont="1">
      <alignment horizontal="center" readingOrder="0" vertical="top"/>
    </xf>
    <xf borderId="13" fillId="2" fontId="10" numFmtId="49" xfId="0" applyBorder="1" applyFill="1" applyFont="1" applyNumberFormat="1"/>
    <xf borderId="6" fillId="3" fontId="7" numFmtId="0" xfId="0" applyAlignment="1" applyBorder="1" applyFill="1" applyFont="1">
      <alignment vertical="center"/>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4">
    <tableStyle count="2" pivot="0" name="Dex-style">
      <tableStyleElement dxfId="1" type="firstRowStripe"/>
      <tableStyleElement dxfId="2" type="secondRowStripe"/>
    </tableStyle>
    <tableStyle count="2" pivot="0" name="Dex-style 2">
      <tableStyleElement dxfId="1" type="firstRowStripe"/>
      <tableStyleElement dxfId="2" type="secondRowStripe"/>
    </tableStyle>
    <tableStyle count="2" pivot="0" name="Dex-style 3">
      <tableStyleElement dxfId="1" type="firstRowStripe"/>
      <tableStyleElement dxfId="2" type="secondRowStripe"/>
    </tableStyle>
    <tableStyle count="2" pivot="0" name="Dex-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36.png"/><Relationship Id="rId42" Type="http://schemas.openxmlformats.org/officeDocument/2006/relationships/image" Target="../media/image107.png"/><Relationship Id="rId41" Type="http://schemas.openxmlformats.org/officeDocument/2006/relationships/image" Target="../media/image45.png"/><Relationship Id="rId44" Type="http://schemas.openxmlformats.org/officeDocument/2006/relationships/image" Target="../media/image2.png"/><Relationship Id="rId43" Type="http://schemas.openxmlformats.org/officeDocument/2006/relationships/image" Target="../media/image56.png"/><Relationship Id="rId46" Type="http://schemas.openxmlformats.org/officeDocument/2006/relationships/image" Target="../media/image35.png"/><Relationship Id="rId45" Type="http://schemas.openxmlformats.org/officeDocument/2006/relationships/image" Target="../media/image30.png"/><Relationship Id="rId107" Type="http://schemas.openxmlformats.org/officeDocument/2006/relationships/image" Target="../media/image92.png"/><Relationship Id="rId106" Type="http://schemas.openxmlformats.org/officeDocument/2006/relationships/image" Target="../media/image98.png"/><Relationship Id="rId105" Type="http://schemas.openxmlformats.org/officeDocument/2006/relationships/image" Target="../media/image105.png"/><Relationship Id="rId104" Type="http://schemas.openxmlformats.org/officeDocument/2006/relationships/image" Target="../media/image102.png"/><Relationship Id="rId108" Type="http://schemas.openxmlformats.org/officeDocument/2006/relationships/image" Target="../media/image106.png"/><Relationship Id="rId48" Type="http://schemas.openxmlformats.org/officeDocument/2006/relationships/image" Target="../media/image100.png"/><Relationship Id="rId47" Type="http://schemas.openxmlformats.org/officeDocument/2006/relationships/image" Target="../media/image27.png"/><Relationship Id="rId49" Type="http://schemas.openxmlformats.org/officeDocument/2006/relationships/image" Target="../media/image31.png"/><Relationship Id="rId103" Type="http://schemas.openxmlformats.org/officeDocument/2006/relationships/image" Target="../media/image83.png"/><Relationship Id="rId102" Type="http://schemas.openxmlformats.org/officeDocument/2006/relationships/image" Target="../media/image87.png"/><Relationship Id="rId101" Type="http://schemas.openxmlformats.org/officeDocument/2006/relationships/image" Target="../media/image89.png"/><Relationship Id="rId100" Type="http://schemas.openxmlformats.org/officeDocument/2006/relationships/image" Target="../media/image80.png"/><Relationship Id="rId31" Type="http://schemas.openxmlformats.org/officeDocument/2006/relationships/image" Target="../media/image17.png"/><Relationship Id="rId30" Type="http://schemas.openxmlformats.org/officeDocument/2006/relationships/image" Target="../media/image53.png"/><Relationship Id="rId33" Type="http://schemas.openxmlformats.org/officeDocument/2006/relationships/image" Target="../media/image22.png"/><Relationship Id="rId32" Type="http://schemas.openxmlformats.org/officeDocument/2006/relationships/image" Target="../media/image82.png"/><Relationship Id="rId35" Type="http://schemas.openxmlformats.org/officeDocument/2006/relationships/image" Target="../media/image34.png"/><Relationship Id="rId34" Type="http://schemas.openxmlformats.org/officeDocument/2006/relationships/image" Target="../media/image33.png"/><Relationship Id="rId37" Type="http://schemas.openxmlformats.org/officeDocument/2006/relationships/image" Target="../media/image6.png"/><Relationship Id="rId36" Type="http://schemas.openxmlformats.org/officeDocument/2006/relationships/image" Target="../media/image12.png"/><Relationship Id="rId39" Type="http://schemas.openxmlformats.org/officeDocument/2006/relationships/image" Target="../media/image44.png"/><Relationship Id="rId38" Type="http://schemas.openxmlformats.org/officeDocument/2006/relationships/image" Target="../media/image4.png"/><Relationship Id="rId20" Type="http://schemas.openxmlformats.org/officeDocument/2006/relationships/image" Target="../media/image13.png"/><Relationship Id="rId22" Type="http://schemas.openxmlformats.org/officeDocument/2006/relationships/image" Target="../media/image18.png"/><Relationship Id="rId21" Type="http://schemas.openxmlformats.org/officeDocument/2006/relationships/image" Target="../media/image3.png"/><Relationship Id="rId24" Type="http://schemas.openxmlformats.org/officeDocument/2006/relationships/image" Target="../media/image96.png"/><Relationship Id="rId23" Type="http://schemas.openxmlformats.org/officeDocument/2006/relationships/image" Target="../media/image29.png"/><Relationship Id="rId26" Type="http://schemas.openxmlformats.org/officeDocument/2006/relationships/image" Target="../media/image41.png"/><Relationship Id="rId25" Type="http://schemas.openxmlformats.org/officeDocument/2006/relationships/image" Target="../media/image8.png"/><Relationship Id="rId28" Type="http://schemas.openxmlformats.org/officeDocument/2006/relationships/image" Target="../media/image38.png"/><Relationship Id="rId27" Type="http://schemas.openxmlformats.org/officeDocument/2006/relationships/image" Target="../media/image32.png"/><Relationship Id="rId29" Type="http://schemas.openxmlformats.org/officeDocument/2006/relationships/image" Target="../media/image40.png"/><Relationship Id="rId95" Type="http://schemas.openxmlformats.org/officeDocument/2006/relationships/image" Target="../media/image91.png"/><Relationship Id="rId94" Type="http://schemas.openxmlformats.org/officeDocument/2006/relationships/image" Target="../media/image77.png"/><Relationship Id="rId97" Type="http://schemas.openxmlformats.org/officeDocument/2006/relationships/image" Target="../media/image85.png"/><Relationship Id="rId96" Type="http://schemas.openxmlformats.org/officeDocument/2006/relationships/image" Target="../media/image72.png"/><Relationship Id="rId11" Type="http://schemas.openxmlformats.org/officeDocument/2006/relationships/image" Target="../media/image55.png"/><Relationship Id="rId99" Type="http://schemas.openxmlformats.org/officeDocument/2006/relationships/image" Target="../media/image88.png"/><Relationship Id="rId10" Type="http://schemas.openxmlformats.org/officeDocument/2006/relationships/image" Target="../media/image50.png"/><Relationship Id="rId98" Type="http://schemas.openxmlformats.org/officeDocument/2006/relationships/image" Target="../media/image84.png"/><Relationship Id="rId13" Type="http://schemas.openxmlformats.org/officeDocument/2006/relationships/image" Target="../media/image24.png"/><Relationship Id="rId12" Type="http://schemas.openxmlformats.org/officeDocument/2006/relationships/image" Target="../media/image15.png"/><Relationship Id="rId91" Type="http://schemas.openxmlformats.org/officeDocument/2006/relationships/image" Target="../media/image73.png"/><Relationship Id="rId90" Type="http://schemas.openxmlformats.org/officeDocument/2006/relationships/image" Target="../media/image64.png"/><Relationship Id="rId93" Type="http://schemas.openxmlformats.org/officeDocument/2006/relationships/image" Target="../media/image93.png"/><Relationship Id="rId92" Type="http://schemas.openxmlformats.org/officeDocument/2006/relationships/image" Target="../media/image104.png"/><Relationship Id="rId15" Type="http://schemas.openxmlformats.org/officeDocument/2006/relationships/image" Target="../media/image46.png"/><Relationship Id="rId14" Type="http://schemas.openxmlformats.org/officeDocument/2006/relationships/image" Target="../media/image23.png"/><Relationship Id="rId17" Type="http://schemas.openxmlformats.org/officeDocument/2006/relationships/image" Target="../media/image37.png"/><Relationship Id="rId16" Type="http://schemas.openxmlformats.org/officeDocument/2006/relationships/image" Target="../media/image21.png"/><Relationship Id="rId19" Type="http://schemas.openxmlformats.org/officeDocument/2006/relationships/image" Target="../media/image11.png"/><Relationship Id="rId18" Type="http://schemas.openxmlformats.org/officeDocument/2006/relationships/image" Target="../media/image16.png"/><Relationship Id="rId84" Type="http://schemas.openxmlformats.org/officeDocument/2006/relationships/image" Target="../media/image61.png"/><Relationship Id="rId83" Type="http://schemas.openxmlformats.org/officeDocument/2006/relationships/image" Target="../media/image49.png"/><Relationship Id="rId86" Type="http://schemas.openxmlformats.org/officeDocument/2006/relationships/image" Target="../media/image66.png"/><Relationship Id="rId85" Type="http://schemas.openxmlformats.org/officeDocument/2006/relationships/image" Target="../media/image86.png"/><Relationship Id="rId88" Type="http://schemas.openxmlformats.org/officeDocument/2006/relationships/image" Target="../media/image74.png"/><Relationship Id="rId87" Type="http://schemas.openxmlformats.org/officeDocument/2006/relationships/image" Target="../media/image67.png"/><Relationship Id="rId89" Type="http://schemas.openxmlformats.org/officeDocument/2006/relationships/image" Target="../media/image108.png"/><Relationship Id="rId80" Type="http://schemas.openxmlformats.org/officeDocument/2006/relationships/image" Target="../media/image99.png"/><Relationship Id="rId82" Type="http://schemas.openxmlformats.org/officeDocument/2006/relationships/image" Target="../media/image71.png"/><Relationship Id="rId81" Type="http://schemas.openxmlformats.org/officeDocument/2006/relationships/image" Target="../media/image103.png"/><Relationship Id="rId1" Type="http://schemas.openxmlformats.org/officeDocument/2006/relationships/image" Target="../media/image94.png"/><Relationship Id="rId2" Type="http://schemas.openxmlformats.org/officeDocument/2006/relationships/image" Target="../media/image26.png"/><Relationship Id="rId3" Type="http://schemas.openxmlformats.org/officeDocument/2006/relationships/image" Target="../media/image48.png"/><Relationship Id="rId4" Type="http://schemas.openxmlformats.org/officeDocument/2006/relationships/image" Target="../media/image79.png"/><Relationship Id="rId9" Type="http://schemas.openxmlformats.org/officeDocument/2006/relationships/image" Target="../media/image43.png"/><Relationship Id="rId5" Type="http://schemas.openxmlformats.org/officeDocument/2006/relationships/image" Target="../media/image5.png"/><Relationship Id="rId6" Type="http://schemas.openxmlformats.org/officeDocument/2006/relationships/image" Target="../media/image20.png"/><Relationship Id="rId7" Type="http://schemas.openxmlformats.org/officeDocument/2006/relationships/image" Target="../media/image14.png"/><Relationship Id="rId8" Type="http://schemas.openxmlformats.org/officeDocument/2006/relationships/image" Target="../media/image7.png"/><Relationship Id="rId73" Type="http://schemas.openxmlformats.org/officeDocument/2006/relationships/image" Target="../media/image65.png"/><Relationship Id="rId72" Type="http://schemas.openxmlformats.org/officeDocument/2006/relationships/image" Target="../media/image63.png"/><Relationship Id="rId75" Type="http://schemas.openxmlformats.org/officeDocument/2006/relationships/image" Target="../media/image70.png"/><Relationship Id="rId74" Type="http://schemas.openxmlformats.org/officeDocument/2006/relationships/image" Target="../media/image54.png"/><Relationship Id="rId77" Type="http://schemas.openxmlformats.org/officeDocument/2006/relationships/image" Target="../media/image101.png"/><Relationship Id="rId76" Type="http://schemas.openxmlformats.org/officeDocument/2006/relationships/image" Target="../media/image75.png"/><Relationship Id="rId79" Type="http://schemas.openxmlformats.org/officeDocument/2006/relationships/image" Target="../media/image60.png"/><Relationship Id="rId78" Type="http://schemas.openxmlformats.org/officeDocument/2006/relationships/image" Target="../media/image47.png"/><Relationship Id="rId71" Type="http://schemas.openxmlformats.org/officeDocument/2006/relationships/image" Target="../media/image57.png"/><Relationship Id="rId70" Type="http://schemas.openxmlformats.org/officeDocument/2006/relationships/image" Target="../media/image51.png"/><Relationship Id="rId62" Type="http://schemas.openxmlformats.org/officeDocument/2006/relationships/image" Target="../media/image39.png"/><Relationship Id="rId61" Type="http://schemas.openxmlformats.org/officeDocument/2006/relationships/image" Target="../media/image68.png"/><Relationship Id="rId64" Type="http://schemas.openxmlformats.org/officeDocument/2006/relationships/image" Target="../media/image59.png"/><Relationship Id="rId63" Type="http://schemas.openxmlformats.org/officeDocument/2006/relationships/image" Target="../media/image97.png"/><Relationship Id="rId66" Type="http://schemas.openxmlformats.org/officeDocument/2006/relationships/image" Target="../media/image52.png"/><Relationship Id="rId65" Type="http://schemas.openxmlformats.org/officeDocument/2006/relationships/image" Target="../media/image69.png"/><Relationship Id="rId68" Type="http://schemas.openxmlformats.org/officeDocument/2006/relationships/image" Target="../media/image58.png"/><Relationship Id="rId67" Type="http://schemas.openxmlformats.org/officeDocument/2006/relationships/image" Target="../media/image76.png"/><Relationship Id="rId60" Type="http://schemas.openxmlformats.org/officeDocument/2006/relationships/image" Target="../media/image78.png"/><Relationship Id="rId69" Type="http://schemas.openxmlformats.org/officeDocument/2006/relationships/image" Target="../media/image62.png"/><Relationship Id="rId51" Type="http://schemas.openxmlformats.org/officeDocument/2006/relationships/image" Target="../media/image25.png"/><Relationship Id="rId50" Type="http://schemas.openxmlformats.org/officeDocument/2006/relationships/image" Target="../media/image28.png"/><Relationship Id="rId53" Type="http://schemas.openxmlformats.org/officeDocument/2006/relationships/image" Target="../media/image10.png"/><Relationship Id="rId52" Type="http://schemas.openxmlformats.org/officeDocument/2006/relationships/image" Target="../media/image19.png"/><Relationship Id="rId55" Type="http://schemas.openxmlformats.org/officeDocument/2006/relationships/image" Target="../media/image9.png"/><Relationship Id="rId54" Type="http://schemas.openxmlformats.org/officeDocument/2006/relationships/image" Target="../media/image81.png"/><Relationship Id="rId57" Type="http://schemas.openxmlformats.org/officeDocument/2006/relationships/image" Target="../media/image95.png"/><Relationship Id="rId56" Type="http://schemas.openxmlformats.org/officeDocument/2006/relationships/image" Target="../media/image42.png"/><Relationship Id="rId59" Type="http://schemas.openxmlformats.org/officeDocument/2006/relationships/image" Target="../media/image90.png"/><Relationship Id="rId5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 cy="200025"/>
    <xdr:pic>
      <xdr:nvPicPr>
        <xdr:cNvPr id="0" name="image9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4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7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200025"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200025" cy="20002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200025" cy="2000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xdr:row>
      <xdr:rowOff>0</xdr:rowOff>
    </xdr:from>
    <xdr:ext cx="200025" cy="200025"/>
    <xdr:pic>
      <xdr:nvPicPr>
        <xdr:cNvPr id="0" name="image5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xdr:row>
      <xdr:rowOff>0</xdr:rowOff>
    </xdr:from>
    <xdr:ext cx="200025" cy="200025"/>
    <xdr:pic>
      <xdr:nvPicPr>
        <xdr:cNvPr id="0" name="image5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11</xdr:row>
      <xdr:rowOff>0</xdr:rowOff>
    </xdr:from>
    <xdr:ext cx="200025" cy="200025"/>
    <xdr:pic>
      <xdr:nvPicPr>
        <xdr:cNvPr id="0" name="image1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12</xdr:row>
      <xdr:rowOff>0</xdr:rowOff>
    </xdr:from>
    <xdr:ext cx="200025" cy="200025"/>
    <xdr:pic>
      <xdr:nvPicPr>
        <xdr:cNvPr id="0" name="image24.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13</xdr:row>
      <xdr:rowOff>0</xdr:rowOff>
    </xdr:from>
    <xdr:ext cx="200025" cy="200025"/>
    <xdr:pic>
      <xdr:nvPicPr>
        <xdr:cNvPr id="0" name="image2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14</xdr:row>
      <xdr:rowOff>0</xdr:rowOff>
    </xdr:from>
    <xdr:ext cx="200025" cy="200025"/>
    <xdr:pic>
      <xdr:nvPicPr>
        <xdr:cNvPr id="0" name="image4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xdr:row>
      <xdr:rowOff>0</xdr:rowOff>
    </xdr:from>
    <xdr:ext cx="200025" cy="200025"/>
    <xdr:pic>
      <xdr:nvPicPr>
        <xdr:cNvPr id="0" name="image37.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xdr:row>
      <xdr:rowOff>0</xdr:rowOff>
    </xdr:from>
    <xdr:ext cx="200025" cy="200025"/>
    <xdr:pic>
      <xdr:nvPicPr>
        <xdr:cNvPr id="0" name="image11.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0" name="image13.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xdr:row>
      <xdr:rowOff>0</xdr:rowOff>
    </xdr:from>
    <xdr:ext cx="200025" cy="200025"/>
    <xdr:pic>
      <xdr:nvPicPr>
        <xdr:cNvPr id="0" name="image3.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21</xdr:row>
      <xdr:rowOff>0</xdr:rowOff>
    </xdr:from>
    <xdr:ext cx="200025" cy="200025"/>
    <xdr:pic>
      <xdr:nvPicPr>
        <xdr:cNvPr id="0" name="image1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22</xdr:row>
      <xdr:rowOff>0</xdr:rowOff>
    </xdr:from>
    <xdr:ext cx="200025" cy="200025"/>
    <xdr:pic>
      <xdr:nvPicPr>
        <xdr:cNvPr id="0" name="image29.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96.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25</xdr:row>
      <xdr:rowOff>0</xdr:rowOff>
    </xdr:from>
    <xdr:ext cx="200025" cy="200025"/>
    <xdr:pic>
      <xdr:nvPicPr>
        <xdr:cNvPr id="0" name="image4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0" name="image32.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38.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40.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5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30</xdr:row>
      <xdr:rowOff>0</xdr:rowOff>
    </xdr:from>
    <xdr:ext cx="200025" cy="200025"/>
    <xdr:pic>
      <xdr:nvPicPr>
        <xdr:cNvPr id="0" name="image17.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8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22.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33.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3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1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xdr:row>
      <xdr:rowOff>0</xdr:rowOff>
    </xdr:from>
    <xdr:ext cx="200025" cy="200025"/>
    <xdr:pic>
      <xdr:nvPicPr>
        <xdr:cNvPr id="0" name="image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0" name="image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0" name="image44.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39</xdr:row>
      <xdr:rowOff>0</xdr:rowOff>
    </xdr:from>
    <xdr:ext cx="200025" cy="200025"/>
    <xdr:pic>
      <xdr:nvPicPr>
        <xdr:cNvPr id="0" name="image3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xdr:row>
      <xdr:rowOff>0</xdr:rowOff>
    </xdr:from>
    <xdr:ext cx="200025" cy="200025"/>
    <xdr:pic>
      <xdr:nvPicPr>
        <xdr:cNvPr id="0" name="image45.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0" name="image107.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42</xdr:row>
      <xdr:rowOff>0</xdr:rowOff>
    </xdr:from>
    <xdr:ext cx="200025" cy="200025"/>
    <xdr:pic>
      <xdr:nvPicPr>
        <xdr:cNvPr id="0" name="image56.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0" name="image2.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44</xdr:row>
      <xdr:rowOff>0</xdr:rowOff>
    </xdr:from>
    <xdr:ext cx="200025" cy="200025"/>
    <xdr:pic>
      <xdr:nvPicPr>
        <xdr:cNvPr id="0" name="image30.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0" name="image35.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xdr:row>
      <xdr:rowOff>0</xdr:rowOff>
    </xdr:from>
    <xdr:ext cx="200025" cy="200025"/>
    <xdr:pic>
      <xdr:nvPicPr>
        <xdr:cNvPr id="0" name="image27.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47</xdr:row>
      <xdr:rowOff>0</xdr:rowOff>
    </xdr:from>
    <xdr:ext cx="200025" cy="200025"/>
    <xdr:pic>
      <xdr:nvPicPr>
        <xdr:cNvPr id="0" name="image10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0" name="image31.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2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50</xdr:row>
      <xdr:rowOff>0</xdr:rowOff>
    </xdr:from>
    <xdr:ext cx="200025" cy="200025"/>
    <xdr:pic>
      <xdr:nvPicPr>
        <xdr:cNvPr id="0" name="image2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1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0" name="image10.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8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9.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4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9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57</xdr:row>
      <xdr:rowOff>0</xdr:rowOff>
    </xdr:from>
    <xdr:ext cx="200025" cy="200025"/>
    <xdr:pic>
      <xdr:nvPicPr>
        <xdr:cNvPr id="0" name="image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9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7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60</xdr:row>
      <xdr:rowOff>0</xdr:rowOff>
    </xdr:from>
    <xdr:ext cx="200025" cy="200025"/>
    <xdr:pic>
      <xdr:nvPicPr>
        <xdr:cNvPr id="0" name="image6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61</xdr:row>
      <xdr:rowOff>0</xdr:rowOff>
    </xdr:from>
    <xdr:ext cx="200025" cy="200025"/>
    <xdr:pic>
      <xdr:nvPicPr>
        <xdr:cNvPr id="0" name="image39.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97.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0" name="image5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xdr:row>
      <xdr:rowOff>0</xdr:rowOff>
    </xdr:from>
    <xdr:ext cx="200025" cy="200025"/>
    <xdr:pic>
      <xdr:nvPicPr>
        <xdr:cNvPr id="0" name="image69.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65</xdr:row>
      <xdr:rowOff>0</xdr:rowOff>
    </xdr:from>
    <xdr:ext cx="200025" cy="200025"/>
    <xdr:pic>
      <xdr:nvPicPr>
        <xdr:cNvPr id="0" name="image52.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66</xdr:row>
      <xdr:rowOff>0</xdr:rowOff>
    </xdr:from>
    <xdr:ext cx="200025" cy="200025"/>
    <xdr:pic>
      <xdr:nvPicPr>
        <xdr:cNvPr id="0" name="image7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67</xdr:row>
      <xdr:rowOff>0</xdr:rowOff>
    </xdr:from>
    <xdr:ext cx="200025" cy="200025"/>
    <xdr:pic>
      <xdr:nvPicPr>
        <xdr:cNvPr id="0" name="image5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2.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69</xdr:row>
      <xdr:rowOff>0</xdr:rowOff>
    </xdr:from>
    <xdr:ext cx="200025" cy="200025"/>
    <xdr:pic>
      <xdr:nvPicPr>
        <xdr:cNvPr id="0" name="image51.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70</xdr:row>
      <xdr:rowOff>0</xdr:rowOff>
    </xdr:from>
    <xdr:ext cx="200025" cy="200025"/>
    <xdr:pic>
      <xdr:nvPicPr>
        <xdr:cNvPr id="0" name="image57.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0" name="image6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72</xdr:row>
      <xdr:rowOff>0</xdr:rowOff>
    </xdr:from>
    <xdr:ext cx="200025" cy="200025"/>
    <xdr:pic>
      <xdr:nvPicPr>
        <xdr:cNvPr id="0" name="image65.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73</xdr:row>
      <xdr:rowOff>0</xdr:rowOff>
    </xdr:from>
    <xdr:ext cx="200025" cy="200025"/>
    <xdr:pic>
      <xdr:nvPicPr>
        <xdr:cNvPr id="0" name="image54.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74</xdr:row>
      <xdr:rowOff>0</xdr:rowOff>
    </xdr:from>
    <xdr:ext cx="200025" cy="200025"/>
    <xdr:pic>
      <xdr:nvPicPr>
        <xdr:cNvPr id="0" name="image70.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75.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10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77</xdr:row>
      <xdr:rowOff>0</xdr:rowOff>
    </xdr:from>
    <xdr:ext cx="200025" cy="200025"/>
    <xdr:pic>
      <xdr:nvPicPr>
        <xdr:cNvPr id="0" name="image47.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60.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9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103.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71.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0" name="image49.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83</xdr:row>
      <xdr:rowOff>0</xdr:rowOff>
    </xdr:from>
    <xdr:ext cx="200025" cy="200025"/>
    <xdr:pic>
      <xdr:nvPicPr>
        <xdr:cNvPr id="0" name="image61.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86.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85</xdr:row>
      <xdr:rowOff>0</xdr:rowOff>
    </xdr:from>
    <xdr:ext cx="200025" cy="200025"/>
    <xdr:pic>
      <xdr:nvPicPr>
        <xdr:cNvPr id="0" name="image66.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86</xdr:row>
      <xdr:rowOff>0</xdr:rowOff>
    </xdr:from>
    <xdr:ext cx="200025" cy="200025"/>
    <xdr:pic>
      <xdr:nvPicPr>
        <xdr:cNvPr id="0" name="image67.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74.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88</xdr:row>
      <xdr:rowOff>0</xdr:rowOff>
    </xdr:from>
    <xdr:ext cx="200025" cy="200025"/>
    <xdr:pic>
      <xdr:nvPicPr>
        <xdr:cNvPr id="0" name="image108.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0" name="image64.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90</xdr:row>
      <xdr:rowOff>0</xdr:rowOff>
    </xdr:from>
    <xdr:ext cx="200025" cy="200025"/>
    <xdr:pic>
      <xdr:nvPicPr>
        <xdr:cNvPr id="0" name="image73.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91</xdr:row>
      <xdr:rowOff>0</xdr:rowOff>
    </xdr:from>
    <xdr:ext cx="200025" cy="200025"/>
    <xdr:pic>
      <xdr:nvPicPr>
        <xdr:cNvPr id="0" name="image104.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92</xdr:row>
      <xdr:rowOff>0</xdr:rowOff>
    </xdr:from>
    <xdr:ext cx="200025" cy="200025"/>
    <xdr:pic>
      <xdr:nvPicPr>
        <xdr:cNvPr id="0" name="image9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xdr:row>
      <xdr:rowOff>0</xdr:rowOff>
    </xdr:from>
    <xdr:ext cx="200025" cy="200025"/>
    <xdr:pic>
      <xdr:nvPicPr>
        <xdr:cNvPr id="0" name="image77.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94</xdr:row>
      <xdr:rowOff>0</xdr:rowOff>
    </xdr:from>
    <xdr:ext cx="200025" cy="200025"/>
    <xdr:pic>
      <xdr:nvPicPr>
        <xdr:cNvPr id="0" name="image91.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95</xdr:row>
      <xdr:rowOff>0</xdr:rowOff>
    </xdr:from>
    <xdr:ext cx="200025" cy="200025"/>
    <xdr:pic>
      <xdr:nvPicPr>
        <xdr:cNvPr id="0" name="image72.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85.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97</xdr:row>
      <xdr:rowOff>0</xdr:rowOff>
    </xdr:from>
    <xdr:ext cx="200025" cy="200025"/>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98</xdr:row>
      <xdr:rowOff>0</xdr:rowOff>
    </xdr:from>
    <xdr:ext cx="200025" cy="200025"/>
    <xdr:pic>
      <xdr:nvPicPr>
        <xdr:cNvPr id="0" name="image88.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99</xdr:row>
      <xdr:rowOff>0</xdr:rowOff>
    </xdr:from>
    <xdr:ext cx="200025" cy="200025"/>
    <xdr:pic>
      <xdr:nvPicPr>
        <xdr:cNvPr id="0" name="image80.pn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100</xdr:row>
      <xdr:rowOff>0</xdr:rowOff>
    </xdr:from>
    <xdr:ext cx="200025" cy="200025"/>
    <xdr:pic>
      <xdr:nvPicPr>
        <xdr:cNvPr id="0" name="image8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101</xdr:row>
      <xdr:rowOff>0</xdr:rowOff>
    </xdr:from>
    <xdr:ext cx="200025" cy="200025"/>
    <xdr:pic>
      <xdr:nvPicPr>
        <xdr:cNvPr id="0" name="image87.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83.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10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105.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98.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106</xdr:row>
      <xdr:rowOff>0</xdr:rowOff>
    </xdr:from>
    <xdr:ext cx="200025" cy="200025"/>
    <xdr:pic>
      <xdr:nvPicPr>
        <xdr:cNvPr id="0" name="image92.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106.png"/>
        <xdr:cNvPicPr preferRelativeResize="0"/>
      </xdr:nvPicPr>
      <xdr:blipFill>
        <a:blip cstate="print" r:embed="rId10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38:C238" displayName="Table_1" name="Table_1" id="1">
  <tableColumns count="3">
    <tableColumn name="Column1" id="1"/>
    <tableColumn name="Column2" id="2"/>
    <tableColumn name="Column3" id="3"/>
  </tableColumns>
  <tableStyleInfo name="Dex-style" showColumnStripes="0" showFirstColumn="1" showLastColumn="1" showRowStripes="1"/>
</table>
</file>

<file path=xl/tables/table2.xml><?xml version="1.0" encoding="utf-8"?>
<table xmlns="http://schemas.openxmlformats.org/spreadsheetml/2006/main" headerRowCount="0" ref="A604:C605" displayName="Table_2" name="Table_2" id="2">
  <tableColumns count="3">
    <tableColumn name="Column1" id="1"/>
    <tableColumn name="Column2" id="2"/>
    <tableColumn name="Column3" id="3"/>
  </tableColumns>
  <tableStyleInfo name="Dex-style 2" showColumnStripes="0" showFirstColumn="1" showLastColumn="1" showRowStripes="1"/>
</table>
</file>

<file path=xl/tables/table3.xml><?xml version="1.0" encoding="utf-8"?>
<table xmlns="http://schemas.openxmlformats.org/spreadsheetml/2006/main" headerRowCount="0" ref="A750:C750" displayName="Table_3" name="Table_3" id="3">
  <tableColumns count="3">
    <tableColumn name="Column1" id="1"/>
    <tableColumn name="Column2" id="2"/>
    <tableColumn name="Column3" id="3"/>
  </tableColumns>
  <tableStyleInfo name="Dex-style 3" showColumnStripes="0" showFirstColumn="1" showLastColumn="1" showRowStripes="1"/>
</table>
</file>

<file path=xl/tables/table4.xml><?xml version="1.0" encoding="utf-8"?>
<table xmlns="http://schemas.openxmlformats.org/spreadsheetml/2006/main" headerRowCount="0" ref="A751:C751" displayName="Table_4" name="Table_4" id="4">
  <tableColumns count="3">
    <tableColumn name="Column1" id="1"/>
    <tableColumn name="Column2" id="2"/>
    <tableColumn name="Column3" id="3"/>
  </tableColumns>
  <tableStyleInfo name="Dex-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25"/>
    <col customWidth="1" min="3" max="3" width="22.63"/>
  </cols>
  <sheetData>
    <row r="1">
      <c r="A1" s="16" t="s">
        <v>20</v>
      </c>
      <c r="B1" s="17" t="s">
        <v>23</v>
      </c>
      <c r="C1" s="18" t="s">
        <v>25</v>
      </c>
    </row>
    <row r="2" ht="45.0" customHeight="1">
      <c r="A2" s="19" t="s">
        <v>27</v>
      </c>
      <c r="B2" s="19" t="s">
        <v>29</v>
      </c>
      <c r="C2" s="20" t="str">
        <f>(IMAGE("https://gcdn.thunderstore.io/live/repository/icons/UnknownMystery-MysteryModpack-1.0.0.png.128x128_q95.png", 1))</f>
        <v/>
      </c>
    </row>
    <row r="3" ht="45.0" customHeight="1">
      <c r="A3" s="19" t="s">
        <v>37</v>
      </c>
      <c r="B3" s="19" t="s">
        <v>38</v>
      </c>
      <c r="C3" s="20" t="str">
        <f t="shared" ref="C3:C42" si="1">(IMAGE("https://play.pokemonshowdown.com/sprites/gen5/"&amp;B3&amp;".png", 3))</f>
        <v/>
      </c>
    </row>
    <row r="4" ht="45.0" customHeight="1">
      <c r="A4" s="21" t="s">
        <v>46</v>
      </c>
      <c r="B4" s="19" t="s">
        <v>48</v>
      </c>
      <c r="C4" s="20" t="str">
        <f t="shared" si="1"/>
        <v/>
      </c>
    </row>
    <row r="5" ht="45.0" customHeight="1">
      <c r="A5" s="21" t="s">
        <v>51</v>
      </c>
      <c r="B5" s="19" t="str">
        <f t="shared" ref="B5:B8" si="2">LOWER(A5)</f>
        <v>venusaur</v>
      </c>
      <c r="C5" s="20" t="str">
        <f t="shared" si="1"/>
        <v/>
      </c>
    </row>
    <row r="6" ht="45.0" customHeight="1">
      <c r="A6" s="21" t="s">
        <v>62</v>
      </c>
      <c r="B6" s="19" t="str">
        <f t="shared" si="2"/>
        <v>venusaur-gmax</v>
      </c>
      <c r="C6" s="20" t="str">
        <f t="shared" si="1"/>
        <v/>
      </c>
    </row>
    <row r="7" ht="45.0" customHeight="1">
      <c r="A7" s="19" t="s">
        <v>63</v>
      </c>
      <c r="B7" s="19" t="str">
        <f t="shared" si="2"/>
        <v>venusaur-mega</v>
      </c>
      <c r="C7" s="20" t="str">
        <f t="shared" si="1"/>
        <v/>
      </c>
    </row>
    <row r="8" ht="45.0" customHeight="1">
      <c r="A8" s="21" t="s">
        <v>65</v>
      </c>
      <c r="B8" s="19" t="str">
        <f t="shared" si="2"/>
        <v>charmander</v>
      </c>
      <c r="C8" s="20" t="str">
        <f t="shared" si="1"/>
        <v/>
      </c>
    </row>
    <row r="9" ht="45.0" customHeight="1">
      <c r="A9" s="19" t="s">
        <v>67</v>
      </c>
      <c r="B9" s="19" t="s">
        <v>68</v>
      </c>
      <c r="C9" s="20" t="str">
        <f t="shared" si="1"/>
        <v/>
      </c>
    </row>
    <row r="10" ht="45.0" customHeight="1">
      <c r="A10" s="19" t="s">
        <v>70</v>
      </c>
      <c r="B10" s="19" t="s">
        <v>71</v>
      </c>
      <c r="C10" s="20" t="str">
        <f t="shared" si="1"/>
        <v/>
      </c>
    </row>
    <row r="11" ht="45.0" customHeight="1">
      <c r="A11" s="21" t="s">
        <v>73</v>
      </c>
      <c r="B11" s="19" t="str">
        <f>LOWER(A11)</f>
        <v>charizard-gmax</v>
      </c>
      <c r="C11" s="20" t="str">
        <f t="shared" si="1"/>
        <v/>
      </c>
    </row>
    <row r="12" ht="45.0" customHeight="1">
      <c r="A12" s="19" t="s">
        <v>80</v>
      </c>
      <c r="B12" s="19" t="s">
        <v>81</v>
      </c>
      <c r="C12" s="20" t="str">
        <f t="shared" si="1"/>
        <v/>
      </c>
    </row>
    <row r="13" ht="45.0" customHeight="1">
      <c r="A13" s="19" t="s">
        <v>83</v>
      </c>
      <c r="B13" s="19" t="s">
        <v>84</v>
      </c>
      <c r="C13" s="20" t="str">
        <f t="shared" si="1"/>
        <v/>
      </c>
    </row>
    <row r="14" ht="45.0" customHeight="1">
      <c r="A14" s="21" t="s">
        <v>86</v>
      </c>
      <c r="B14" s="19" t="str">
        <f t="shared" ref="B14:B39" si="3">LOWER(A14)</f>
        <v>squirtle</v>
      </c>
      <c r="C14" s="20" t="str">
        <f t="shared" si="1"/>
        <v/>
      </c>
    </row>
    <row r="15" ht="45.0" customHeight="1">
      <c r="A15" s="21" t="s">
        <v>89</v>
      </c>
      <c r="B15" s="19" t="str">
        <f t="shared" si="3"/>
        <v>wartortle</v>
      </c>
      <c r="C15" s="20" t="str">
        <f t="shared" si="1"/>
        <v/>
      </c>
    </row>
    <row r="16" ht="45.0" customHeight="1">
      <c r="A16" s="21" t="s">
        <v>90</v>
      </c>
      <c r="B16" s="19" t="str">
        <f t="shared" si="3"/>
        <v>blastoise</v>
      </c>
      <c r="C16" s="20" t="str">
        <f t="shared" si="1"/>
        <v/>
      </c>
    </row>
    <row r="17" ht="45.0" customHeight="1">
      <c r="A17" s="21" t="s">
        <v>92</v>
      </c>
      <c r="B17" s="19" t="str">
        <f t="shared" si="3"/>
        <v>blastoise-gmax</v>
      </c>
      <c r="C17" s="20" t="str">
        <f t="shared" si="1"/>
        <v/>
      </c>
    </row>
    <row r="18" ht="45.0" customHeight="1">
      <c r="A18" s="19" t="s">
        <v>94</v>
      </c>
      <c r="B18" s="19" t="str">
        <f t="shared" si="3"/>
        <v>blastoise-mega</v>
      </c>
      <c r="C18" s="20" t="str">
        <f t="shared" si="1"/>
        <v/>
      </c>
    </row>
    <row r="19" ht="45.0" customHeight="1">
      <c r="A19" s="21" t="s">
        <v>97</v>
      </c>
      <c r="B19" s="19" t="str">
        <f t="shared" si="3"/>
        <v>caterpie</v>
      </c>
      <c r="C19" s="20" t="str">
        <f t="shared" si="1"/>
        <v/>
      </c>
    </row>
    <row r="20" ht="45.0" customHeight="1">
      <c r="A20" s="21" t="s">
        <v>99</v>
      </c>
      <c r="B20" s="19" t="str">
        <f t="shared" si="3"/>
        <v>metapod</v>
      </c>
      <c r="C20" s="20" t="str">
        <f t="shared" si="1"/>
        <v/>
      </c>
    </row>
    <row r="21" ht="45.0" customHeight="1">
      <c r="A21" s="21" t="s">
        <v>101</v>
      </c>
      <c r="B21" s="19" t="str">
        <f t="shared" si="3"/>
        <v>butterfree</v>
      </c>
      <c r="C21" s="20" t="str">
        <f t="shared" si="1"/>
        <v/>
      </c>
    </row>
    <row r="22" ht="45.0" customHeight="1">
      <c r="A22" s="21" t="s">
        <v>103</v>
      </c>
      <c r="B22" s="19" t="str">
        <f t="shared" si="3"/>
        <v>butterfree-gmax</v>
      </c>
      <c r="C22" s="20" t="str">
        <f t="shared" si="1"/>
        <v/>
      </c>
    </row>
    <row r="23" ht="45.0" customHeight="1">
      <c r="A23" s="21" t="s">
        <v>106</v>
      </c>
      <c r="B23" s="19" t="str">
        <f t="shared" si="3"/>
        <v>weedle</v>
      </c>
      <c r="C23" s="20" t="str">
        <f t="shared" si="1"/>
        <v/>
      </c>
    </row>
    <row r="24" ht="45.0" customHeight="1">
      <c r="A24" s="21" t="s">
        <v>108</v>
      </c>
      <c r="B24" s="19" t="str">
        <f t="shared" si="3"/>
        <v>kakuna</v>
      </c>
      <c r="C24" s="20" t="str">
        <f t="shared" si="1"/>
        <v/>
      </c>
    </row>
    <row r="25" ht="45.0" customHeight="1">
      <c r="A25" s="21" t="s">
        <v>111</v>
      </c>
      <c r="B25" s="19" t="str">
        <f t="shared" si="3"/>
        <v>beedrill</v>
      </c>
      <c r="C25" s="20" t="str">
        <f t="shared" si="1"/>
        <v/>
      </c>
    </row>
    <row r="26" ht="45.0" customHeight="1">
      <c r="A26" s="19" t="s">
        <v>113</v>
      </c>
      <c r="B26" s="19" t="str">
        <f t="shared" si="3"/>
        <v>beedrill-mega</v>
      </c>
      <c r="C26" s="20" t="str">
        <f t="shared" si="1"/>
        <v/>
      </c>
    </row>
    <row r="27" ht="45.0" customHeight="1">
      <c r="A27" s="21" t="s">
        <v>115</v>
      </c>
      <c r="B27" s="19" t="str">
        <f t="shared" si="3"/>
        <v>pidgey</v>
      </c>
      <c r="C27" s="20" t="str">
        <f t="shared" si="1"/>
        <v/>
      </c>
    </row>
    <row r="28" ht="45.0" customHeight="1">
      <c r="A28" s="21" t="s">
        <v>118</v>
      </c>
      <c r="B28" s="19" t="str">
        <f t="shared" si="3"/>
        <v>pidgeotto</v>
      </c>
      <c r="C28" s="20" t="str">
        <f t="shared" si="1"/>
        <v/>
      </c>
    </row>
    <row r="29" ht="45.0" customHeight="1">
      <c r="A29" s="21" t="s">
        <v>120</v>
      </c>
      <c r="B29" s="19" t="str">
        <f t="shared" si="3"/>
        <v>pidgeot</v>
      </c>
      <c r="C29" s="20" t="str">
        <f t="shared" si="1"/>
        <v/>
      </c>
    </row>
    <row r="30" ht="45.0" customHeight="1">
      <c r="A30" s="19" t="s">
        <v>123</v>
      </c>
      <c r="B30" s="19" t="str">
        <f t="shared" si="3"/>
        <v>pidgeot-mega</v>
      </c>
      <c r="C30" s="20" t="str">
        <f t="shared" si="1"/>
        <v/>
      </c>
    </row>
    <row r="31" ht="45.0" customHeight="1">
      <c r="A31" s="21" t="s">
        <v>125</v>
      </c>
      <c r="B31" s="19" t="str">
        <f t="shared" si="3"/>
        <v>rattata</v>
      </c>
      <c r="C31" s="20" t="str">
        <f t="shared" si="1"/>
        <v/>
      </c>
    </row>
    <row r="32" ht="45.0" customHeight="1">
      <c r="A32" s="19" t="s">
        <v>127</v>
      </c>
      <c r="B32" s="19" t="str">
        <f t="shared" si="3"/>
        <v>rattata-alola</v>
      </c>
      <c r="C32" s="20" t="str">
        <f t="shared" si="1"/>
        <v/>
      </c>
    </row>
    <row r="33" ht="45.0" customHeight="1">
      <c r="A33" s="21" t="s">
        <v>129</v>
      </c>
      <c r="B33" s="19" t="str">
        <f t="shared" si="3"/>
        <v>raticate</v>
      </c>
      <c r="C33" s="20" t="str">
        <f t="shared" si="1"/>
        <v/>
      </c>
    </row>
    <row r="34" ht="45.0" customHeight="1">
      <c r="A34" s="19" t="s">
        <v>132</v>
      </c>
      <c r="B34" s="19" t="str">
        <f t="shared" si="3"/>
        <v>raticate-alola</v>
      </c>
      <c r="C34" s="20" t="str">
        <f t="shared" si="1"/>
        <v/>
      </c>
    </row>
    <row r="35" ht="45.0" customHeight="1">
      <c r="A35" s="21" t="s">
        <v>134</v>
      </c>
      <c r="B35" s="19" t="str">
        <f t="shared" si="3"/>
        <v>spearow</v>
      </c>
      <c r="C35" s="20" t="str">
        <f t="shared" si="1"/>
        <v/>
      </c>
    </row>
    <row r="36" ht="45.0" customHeight="1">
      <c r="A36" s="21" t="s">
        <v>136</v>
      </c>
      <c r="B36" s="19" t="str">
        <f t="shared" si="3"/>
        <v>fearow</v>
      </c>
      <c r="C36" s="20" t="str">
        <f t="shared" si="1"/>
        <v/>
      </c>
    </row>
    <row r="37" ht="45.0" customHeight="1">
      <c r="A37" s="21" t="s">
        <v>139</v>
      </c>
      <c r="B37" s="19" t="str">
        <f t="shared" si="3"/>
        <v>ekans</v>
      </c>
      <c r="C37" s="20" t="str">
        <f t="shared" si="1"/>
        <v/>
      </c>
    </row>
    <row r="38" ht="45.0" customHeight="1">
      <c r="A38" s="21" t="s">
        <v>141</v>
      </c>
      <c r="B38" s="19" t="str">
        <f t="shared" si="3"/>
        <v>arbok</v>
      </c>
      <c r="C38" s="20" t="str">
        <f t="shared" si="1"/>
        <v/>
      </c>
    </row>
    <row r="39" ht="45.0" customHeight="1">
      <c r="A39" s="21" t="s">
        <v>144</v>
      </c>
      <c r="B39" s="19" t="str">
        <f t="shared" si="3"/>
        <v>pikachu</v>
      </c>
      <c r="C39" s="20" t="str">
        <f t="shared" si="1"/>
        <v/>
      </c>
    </row>
    <row r="40" ht="45.0" customHeight="1">
      <c r="A40" s="19" t="s">
        <v>146</v>
      </c>
      <c r="B40" s="19" t="s">
        <v>147</v>
      </c>
      <c r="C40" s="20" t="str">
        <f t="shared" si="1"/>
        <v/>
      </c>
    </row>
    <row r="41" ht="45.0" customHeight="1">
      <c r="A41" s="21" t="s">
        <v>149</v>
      </c>
      <c r="B41" s="19" t="str">
        <f t="shared" ref="B41:B42" si="4">LOWER(A41)</f>
        <v>pikachu-gmax</v>
      </c>
      <c r="C41" s="20" t="str">
        <f t="shared" si="1"/>
        <v/>
      </c>
    </row>
    <row r="42" ht="45.0" customHeight="1">
      <c r="A42" s="21" t="s">
        <v>153</v>
      </c>
      <c r="B42" s="19" t="str">
        <f t="shared" si="4"/>
        <v>raichu</v>
      </c>
      <c r="C42" s="20" t="str">
        <f t="shared" si="1"/>
        <v/>
      </c>
    </row>
    <row r="43" ht="45.0" customHeight="1">
      <c r="A43" s="19" t="s">
        <v>156</v>
      </c>
      <c r="B43" s="19" t="s">
        <v>157</v>
      </c>
      <c r="C43" s="20" t="str">
        <f>(IMAGE("https://pokedoku-space.nyc3.cdn.digitaloceanspaces.com/resources/pokemon/10304.png", 3))</f>
        <v/>
      </c>
    </row>
    <row r="44" ht="45.0" customHeight="1">
      <c r="A44" s="19" t="s">
        <v>163</v>
      </c>
      <c r="B44" s="19" t="s">
        <v>165</v>
      </c>
      <c r="C44" s="20" t="str">
        <f>(IMAGE("https://pokedoku-space.nyc3.cdn.digitaloceanspaces.com/resources/pokemon/10305.png", 3))</f>
        <v/>
      </c>
    </row>
    <row r="45" ht="45.0" customHeight="1">
      <c r="A45" s="19" t="s">
        <v>168</v>
      </c>
      <c r="B45" s="19" t="str">
        <f t="shared" ref="B45:B49" si="5">LOWER(A45)</f>
        <v>raichu-alola</v>
      </c>
      <c r="C45" s="20" t="str">
        <f t="shared" ref="C45:C57" si="6">(IMAGE("https://play.pokemonshowdown.com/sprites/gen5/"&amp;B45&amp;".png", 3))</f>
        <v/>
      </c>
    </row>
    <row r="46" ht="45.0" customHeight="1">
      <c r="A46" s="21" t="s">
        <v>169</v>
      </c>
      <c r="B46" s="19" t="str">
        <f t="shared" si="5"/>
        <v>sandshrew</v>
      </c>
      <c r="C46" s="20" t="str">
        <f t="shared" si="6"/>
        <v/>
      </c>
    </row>
    <row r="47" ht="45.0" customHeight="1">
      <c r="A47" s="19" t="s">
        <v>170</v>
      </c>
      <c r="B47" s="19" t="str">
        <f t="shared" si="5"/>
        <v>sandshrew-alola</v>
      </c>
      <c r="C47" s="20" t="str">
        <f t="shared" si="6"/>
        <v/>
      </c>
    </row>
    <row r="48" ht="45.0" customHeight="1">
      <c r="A48" s="21" t="s">
        <v>171</v>
      </c>
      <c r="B48" s="19" t="str">
        <f t="shared" si="5"/>
        <v>sandslash</v>
      </c>
      <c r="C48" s="20" t="str">
        <f t="shared" si="6"/>
        <v/>
      </c>
    </row>
    <row r="49" ht="45.0" customHeight="1">
      <c r="A49" s="19" t="s">
        <v>172</v>
      </c>
      <c r="B49" s="19" t="str">
        <f t="shared" si="5"/>
        <v>sandslash-alola</v>
      </c>
      <c r="C49" s="20" t="str">
        <f t="shared" si="6"/>
        <v/>
      </c>
    </row>
    <row r="50" ht="45.0" customHeight="1">
      <c r="A50" s="21" t="s">
        <v>173</v>
      </c>
      <c r="B50" s="19" t="s">
        <v>174</v>
      </c>
      <c r="C50" s="20" t="str">
        <f t="shared" si="6"/>
        <v/>
      </c>
    </row>
    <row r="51" ht="45.0" customHeight="1">
      <c r="A51" s="21" t="s">
        <v>175</v>
      </c>
      <c r="B51" s="19" t="str">
        <f t="shared" ref="B51:B52" si="7">LOWER(A51)</f>
        <v>nidorina</v>
      </c>
      <c r="C51" s="20" t="str">
        <f t="shared" si="6"/>
        <v/>
      </c>
    </row>
    <row r="52" ht="45.0" customHeight="1">
      <c r="A52" s="21" t="s">
        <v>176</v>
      </c>
      <c r="B52" s="19" t="str">
        <f t="shared" si="7"/>
        <v>nidoqueen</v>
      </c>
      <c r="C52" s="20" t="str">
        <f t="shared" si="6"/>
        <v/>
      </c>
    </row>
    <row r="53" ht="45.0" customHeight="1">
      <c r="A53" s="19" t="s">
        <v>177</v>
      </c>
      <c r="B53" s="19" t="s">
        <v>178</v>
      </c>
      <c r="C53" s="20" t="str">
        <f t="shared" si="6"/>
        <v/>
      </c>
    </row>
    <row r="54" ht="45.0" customHeight="1">
      <c r="A54" s="21" t="s">
        <v>179</v>
      </c>
      <c r="B54" s="19" t="str">
        <f t="shared" ref="B54:B57" si="8">LOWER(A54)</f>
        <v>nidorino</v>
      </c>
      <c r="C54" s="20" t="str">
        <f t="shared" si="6"/>
        <v/>
      </c>
    </row>
    <row r="55" ht="45.0" customHeight="1">
      <c r="A55" s="21" t="s">
        <v>180</v>
      </c>
      <c r="B55" s="19" t="str">
        <f t="shared" si="8"/>
        <v>nidoking</v>
      </c>
      <c r="C55" s="20" t="str">
        <f t="shared" si="6"/>
        <v/>
      </c>
    </row>
    <row r="56" ht="45.0" customHeight="1">
      <c r="A56" s="21" t="s">
        <v>181</v>
      </c>
      <c r="B56" s="19" t="str">
        <f t="shared" si="8"/>
        <v>clefairy</v>
      </c>
      <c r="C56" s="20" t="str">
        <f t="shared" si="6"/>
        <v/>
      </c>
    </row>
    <row r="57" ht="45.0" customHeight="1">
      <c r="A57" s="21" t="s">
        <v>182</v>
      </c>
      <c r="B57" s="19" t="str">
        <f t="shared" si="8"/>
        <v>clefable</v>
      </c>
      <c r="C57" s="20" t="str">
        <f t="shared" si="6"/>
        <v/>
      </c>
    </row>
    <row r="58" ht="45.0" customHeight="1">
      <c r="A58" s="19" t="s">
        <v>183</v>
      </c>
      <c r="B58" s="19" t="s">
        <v>184</v>
      </c>
      <c r="C58" s="20" t="str">
        <f>(IMAGE("https://pokedoku-space.nyc3.cdn.digitaloceanspaces.com/resources/pokemon/10278.png", 3))</f>
        <v/>
      </c>
    </row>
    <row r="59" ht="45.0" customHeight="1">
      <c r="A59" s="21" t="s">
        <v>185</v>
      </c>
      <c r="B59" s="19" t="str">
        <f t="shared" ref="B59:B105" si="9">LOWER(A59)</f>
        <v>vulpix</v>
      </c>
      <c r="C59" s="20" t="str">
        <f t="shared" ref="C59:C176" si="10">(IMAGE("https://play.pokemonshowdown.com/sprites/gen5/"&amp;B59&amp;".png", 3))</f>
        <v/>
      </c>
    </row>
    <row r="60" ht="45.0" customHeight="1">
      <c r="A60" s="19" t="s">
        <v>186</v>
      </c>
      <c r="B60" s="19" t="str">
        <f t="shared" si="9"/>
        <v>vulpix-alola</v>
      </c>
      <c r="C60" s="20" t="str">
        <f t="shared" si="10"/>
        <v/>
      </c>
    </row>
    <row r="61" ht="45.0" customHeight="1">
      <c r="A61" s="21" t="s">
        <v>187</v>
      </c>
      <c r="B61" s="19" t="str">
        <f t="shared" si="9"/>
        <v>ninetales</v>
      </c>
      <c r="C61" s="20" t="str">
        <f t="shared" si="10"/>
        <v/>
      </c>
    </row>
    <row r="62" ht="45.0" customHeight="1">
      <c r="A62" s="19" t="s">
        <v>188</v>
      </c>
      <c r="B62" s="19" t="str">
        <f t="shared" si="9"/>
        <v>ninetales-alola</v>
      </c>
      <c r="C62" s="20" t="str">
        <f t="shared" si="10"/>
        <v/>
      </c>
    </row>
    <row r="63" ht="45.0" customHeight="1">
      <c r="A63" s="21" t="s">
        <v>189</v>
      </c>
      <c r="B63" s="19" t="str">
        <f t="shared" si="9"/>
        <v>jigglypuff</v>
      </c>
      <c r="C63" s="20" t="str">
        <f t="shared" si="10"/>
        <v/>
      </c>
    </row>
    <row r="64" ht="45.0" customHeight="1">
      <c r="A64" s="21" t="s">
        <v>190</v>
      </c>
      <c r="B64" s="19" t="str">
        <f t="shared" si="9"/>
        <v>wigglytuff</v>
      </c>
      <c r="C64" s="20" t="str">
        <f t="shared" si="10"/>
        <v/>
      </c>
    </row>
    <row r="65" ht="45.0" customHeight="1">
      <c r="A65" s="21" t="s">
        <v>191</v>
      </c>
      <c r="B65" s="19" t="str">
        <f t="shared" si="9"/>
        <v>zubat</v>
      </c>
      <c r="C65" s="20" t="str">
        <f t="shared" si="10"/>
        <v/>
      </c>
    </row>
    <row r="66" ht="45.0" customHeight="1">
      <c r="A66" s="21" t="s">
        <v>193</v>
      </c>
      <c r="B66" s="19" t="str">
        <f t="shared" si="9"/>
        <v>golbat</v>
      </c>
      <c r="C66" s="20" t="str">
        <f t="shared" si="10"/>
        <v/>
      </c>
    </row>
    <row r="67" ht="45.0" customHeight="1">
      <c r="A67" s="21" t="s">
        <v>197</v>
      </c>
      <c r="B67" s="19" t="str">
        <f t="shared" si="9"/>
        <v>oddish</v>
      </c>
      <c r="C67" s="20" t="str">
        <f t="shared" si="10"/>
        <v/>
      </c>
    </row>
    <row r="68" ht="45.0" customHeight="1">
      <c r="A68" s="21" t="s">
        <v>198</v>
      </c>
      <c r="B68" s="19" t="str">
        <f t="shared" si="9"/>
        <v>gloom</v>
      </c>
      <c r="C68" s="20" t="str">
        <f t="shared" si="10"/>
        <v/>
      </c>
    </row>
    <row r="69" ht="45.0" customHeight="1">
      <c r="A69" s="21" t="s">
        <v>200</v>
      </c>
      <c r="B69" s="19" t="str">
        <f t="shared" si="9"/>
        <v>vileplume</v>
      </c>
      <c r="C69" s="20" t="str">
        <f t="shared" si="10"/>
        <v/>
      </c>
    </row>
    <row r="70" ht="45.0" customHeight="1">
      <c r="A70" s="21" t="s">
        <v>202</v>
      </c>
      <c r="B70" s="19" t="str">
        <f t="shared" si="9"/>
        <v>paras</v>
      </c>
      <c r="C70" s="20" t="str">
        <f t="shared" si="10"/>
        <v/>
      </c>
    </row>
    <row r="71" ht="45.0" customHeight="1">
      <c r="A71" s="21" t="s">
        <v>204</v>
      </c>
      <c r="B71" s="19" t="str">
        <f t="shared" si="9"/>
        <v>parasect</v>
      </c>
      <c r="C71" s="20" t="str">
        <f t="shared" si="10"/>
        <v/>
      </c>
    </row>
    <row r="72" ht="45.0" customHeight="1">
      <c r="A72" s="21" t="s">
        <v>207</v>
      </c>
      <c r="B72" s="19" t="str">
        <f t="shared" si="9"/>
        <v>venonat</v>
      </c>
      <c r="C72" s="20" t="str">
        <f t="shared" si="10"/>
        <v/>
      </c>
    </row>
    <row r="73" ht="45.0" customHeight="1">
      <c r="A73" s="21" t="s">
        <v>213</v>
      </c>
      <c r="B73" s="19" t="str">
        <f t="shared" si="9"/>
        <v>venomoth</v>
      </c>
      <c r="C73" s="20" t="str">
        <f t="shared" si="10"/>
        <v/>
      </c>
    </row>
    <row r="74" ht="45.0" customHeight="1">
      <c r="A74" s="21" t="s">
        <v>216</v>
      </c>
      <c r="B74" s="19" t="str">
        <f t="shared" si="9"/>
        <v>diglett</v>
      </c>
      <c r="C74" s="20" t="str">
        <f t="shared" si="10"/>
        <v/>
      </c>
    </row>
    <row r="75" ht="45.0" customHeight="1">
      <c r="A75" s="19" t="s">
        <v>223</v>
      </c>
      <c r="B75" s="19" t="str">
        <f t="shared" si="9"/>
        <v>diglett-alola</v>
      </c>
      <c r="C75" s="20" t="str">
        <f t="shared" si="10"/>
        <v/>
      </c>
    </row>
    <row r="76" ht="45.0" customHeight="1">
      <c r="A76" s="21" t="s">
        <v>225</v>
      </c>
      <c r="B76" s="19" t="str">
        <f t="shared" si="9"/>
        <v>dugtrio</v>
      </c>
      <c r="C76" s="20" t="str">
        <f t="shared" si="10"/>
        <v/>
      </c>
    </row>
    <row r="77" ht="45.0" customHeight="1">
      <c r="A77" s="19" t="s">
        <v>228</v>
      </c>
      <c r="B77" s="19" t="str">
        <f t="shared" si="9"/>
        <v>dugtrio-alola</v>
      </c>
      <c r="C77" s="20" t="str">
        <f t="shared" si="10"/>
        <v/>
      </c>
    </row>
    <row r="78" ht="45.0" customHeight="1">
      <c r="A78" s="21" t="s">
        <v>230</v>
      </c>
      <c r="B78" s="19" t="str">
        <f t="shared" si="9"/>
        <v>meowth</v>
      </c>
      <c r="C78" s="20" t="str">
        <f t="shared" si="10"/>
        <v/>
      </c>
    </row>
    <row r="79" ht="45.0" customHeight="1">
      <c r="A79" s="19" t="s">
        <v>235</v>
      </c>
      <c r="B79" s="19" t="str">
        <f t="shared" si="9"/>
        <v>meowth-alola</v>
      </c>
      <c r="C79" s="20" t="str">
        <f t="shared" si="10"/>
        <v/>
      </c>
    </row>
    <row r="80" ht="45.0" customHeight="1">
      <c r="A80" s="19" t="s">
        <v>239</v>
      </c>
      <c r="B80" s="19" t="str">
        <f t="shared" si="9"/>
        <v>meowth-galar</v>
      </c>
      <c r="C80" s="20" t="str">
        <f t="shared" si="10"/>
        <v/>
      </c>
    </row>
    <row r="81" ht="45.0" customHeight="1">
      <c r="A81" s="21" t="s">
        <v>245</v>
      </c>
      <c r="B81" s="19" t="str">
        <f t="shared" si="9"/>
        <v>meowth-gmax</v>
      </c>
      <c r="C81" s="20" t="str">
        <f t="shared" si="10"/>
        <v/>
      </c>
    </row>
    <row r="82" ht="45.0" customHeight="1">
      <c r="A82" s="21" t="s">
        <v>248</v>
      </c>
      <c r="B82" s="19" t="str">
        <f t="shared" si="9"/>
        <v>persian</v>
      </c>
      <c r="C82" s="20" t="str">
        <f t="shared" si="10"/>
        <v/>
      </c>
    </row>
    <row r="83" ht="45.0" customHeight="1">
      <c r="A83" s="19" t="s">
        <v>251</v>
      </c>
      <c r="B83" s="19" t="str">
        <f t="shared" si="9"/>
        <v>persian-alola</v>
      </c>
      <c r="C83" s="20" t="str">
        <f t="shared" si="10"/>
        <v/>
      </c>
    </row>
    <row r="84" ht="45.0" customHeight="1">
      <c r="A84" s="21" t="s">
        <v>256</v>
      </c>
      <c r="B84" s="19" t="str">
        <f t="shared" si="9"/>
        <v>psyduck</v>
      </c>
      <c r="C84" s="20" t="str">
        <f t="shared" si="10"/>
        <v/>
      </c>
    </row>
    <row r="85" ht="45.0" customHeight="1">
      <c r="A85" s="21" t="s">
        <v>257</v>
      </c>
      <c r="B85" s="19" t="str">
        <f t="shared" si="9"/>
        <v>golduck</v>
      </c>
      <c r="C85" s="20" t="str">
        <f t="shared" si="10"/>
        <v/>
      </c>
    </row>
    <row r="86" ht="45.0" customHeight="1">
      <c r="A86" s="21" t="s">
        <v>260</v>
      </c>
      <c r="B86" s="19" t="str">
        <f t="shared" si="9"/>
        <v>mankey</v>
      </c>
      <c r="C86" s="20" t="str">
        <f t="shared" si="10"/>
        <v/>
      </c>
    </row>
    <row r="87" ht="45.0" customHeight="1">
      <c r="A87" s="21" t="s">
        <v>261</v>
      </c>
      <c r="B87" s="19" t="str">
        <f t="shared" si="9"/>
        <v>primeape</v>
      </c>
      <c r="C87" s="20" t="str">
        <f t="shared" si="10"/>
        <v/>
      </c>
    </row>
    <row r="88" ht="45.0" customHeight="1">
      <c r="A88" s="21" t="s">
        <v>263</v>
      </c>
      <c r="B88" s="19" t="str">
        <f t="shared" si="9"/>
        <v>growlithe</v>
      </c>
      <c r="C88" s="20" t="str">
        <f t="shared" si="10"/>
        <v/>
      </c>
    </row>
    <row r="89" ht="45.0" customHeight="1">
      <c r="A89" s="33" t="s">
        <v>264</v>
      </c>
      <c r="B89" s="19" t="str">
        <f t="shared" si="9"/>
        <v>growlithe-hisui</v>
      </c>
      <c r="C89" s="20" t="str">
        <f t="shared" si="10"/>
        <v/>
      </c>
    </row>
    <row r="90" ht="45.0" customHeight="1">
      <c r="A90" s="21" t="s">
        <v>265</v>
      </c>
      <c r="B90" s="19" t="str">
        <f t="shared" si="9"/>
        <v>arcanine</v>
      </c>
      <c r="C90" s="20" t="str">
        <f t="shared" si="10"/>
        <v/>
      </c>
    </row>
    <row r="91" ht="45.0" customHeight="1">
      <c r="A91" s="33" t="s">
        <v>267</v>
      </c>
      <c r="B91" s="19" t="str">
        <f t="shared" si="9"/>
        <v>arcanine-hisui</v>
      </c>
      <c r="C91" s="20" t="str">
        <f t="shared" si="10"/>
        <v/>
      </c>
    </row>
    <row r="92" ht="45.0" customHeight="1">
      <c r="A92" s="21" t="s">
        <v>268</v>
      </c>
      <c r="B92" s="19" t="str">
        <f t="shared" si="9"/>
        <v>poliwag</v>
      </c>
      <c r="C92" s="20" t="str">
        <f t="shared" si="10"/>
        <v/>
      </c>
    </row>
    <row r="93" ht="45.0" customHeight="1">
      <c r="A93" s="21" t="s">
        <v>269</v>
      </c>
      <c r="B93" s="19" t="str">
        <f t="shared" si="9"/>
        <v>poliwhirl</v>
      </c>
      <c r="C93" s="20" t="str">
        <f t="shared" si="10"/>
        <v/>
      </c>
    </row>
    <row r="94" ht="45.0" customHeight="1">
      <c r="A94" s="21" t="s">
        <v>270</v>
      </c>
      <c r="B94" s="19" t="str">
        <f t="shared" si="9"/>
        <v>poliwrath</v>
      </c>
      <c r="C94" s="20" t="str">
        <f t="shared" si="10"/>
        <v/>
      </c>
    </row>
    <row r="95" ht="45.0" customHeight="1">
      <c r="A95" s="21" t="s">
        <v>271</v>
      </c>
      <c r="B95" s="19" t="str">
        <f t="shared" si="9"/>
        <v>abra</v>
      </c>
      <c r="C95" s="20" t="str">
        <f t="shared" si="10"/>
        <v/>
      </c>
    </row>
    <row r="96" ht="45.0" customHeight="1">
      <c r="A96" s="21" t="s">
        <v>272</v>
      </c>
      <c r="B96" s="19" t="str">
        <f t="shared" si="9"/>
        <v>kadabra</v>
      </c>
      <c r="C96" s="20" t="str">
        <f t="shared" si="10"/>
        <v/>
      </c>
    </row>
    <row r="97" ht="45.0" customHeight="1">
      <c r="A97" s="21" t="s">
        <v>273</v>
      </c>
      <c r="B97" s="19" t="str">
        <f t="shared" si="9"/>
        <v>alakazam</v>
      </c>
      <c r="C97" s="20" t="str">
        <f t="shared" si="10"/>
        <v/>
      </c>
    </row>
    <row r="98" ht="45.0" customHeight="1">
      <c r="A98" s="19" t="s">
        <v>274</v>
      </c>
      <c r="B98" s="19" t="str">
        <f t="shared" si="9"/>
        <v>alakazam-mega</v>
      </c>
      <c r="C98" s="20" t="str">
        <f t="shared" si="10"/>
        <v/>
      </c>
    </row>
    <row r="99" ht="45.0" customHeight="1">
      <c r="A99" s="21" t="s">
        <v>275</v>
      </c>
      <c r="B99" s="19" t="str">
        <f t="shared" si="9"/>
        <v>machop</v>
      </c>
      <c r="C99" s="20" t="str">
        <f t="shared" si="10"/>
        <v/>
      </c>
    </row>
    <row r="100" ht="45.0" customHeight="1">
      <c r="A100" s="21" t="s">
        <v>276</v>
      </c>
      <c r="B100" s="19" t="str">
        <f t="shared" si="9"/>
        <v>machoke</v>
      </c>
      <c r="C100" s="20" t="str">
        <f t="shared" si="10"/>
        <v/>
      </c>
    </row>
    <row r="101" ht="45.0" customHeight="1">
      <c r="A101" s="21" t="s">
        <v>277</v>
      </c>
      <c r="B101" s="19" t="str">
        <f t="shared" si="9"/>
        <v>machamp</v>
      </c>
      <c r="C101" s="20" t="str">
        <f t="shared" si="10"/>
        <v/>
      </c>
    </row>
    <row r="102" ht="45.0" customHeight="1">
      <c r="A102" s="21" t="s">
        <v>278</v>
      </c>
      <c r="B102" s="19" t="str">
        <f t="shared" si="9"/>
        <v>machamp-gmax</v>
      </c>
      <c r="C102" s="20" t="str">
        <f t="shared" si="10"/>
        <v/>
      </c>
    </row>
    <row r="103" ht="45.0" customHeight="1">
      <c r="A103" s="21" t="s">
        <v>279</v>
      </c>
      <c r="B103" s="19" t="str">
        <f t="shared" si="9"/>
        <v>bellsprout</v>
      </c>
      <c r="C103" s="20" t="str">
        <f t="shared" si="10"/>
        <v/>
      </c>
    </row>
    <row r="104" ht="45.0" customHeight="1">
      <c r="A104" s="21" t="s">
        <v>280</v>
      </c>
      <c r="B104" s="19" t="str">
        <f t="shared" si="9"/>
        <v>weepinbell</v>
      </c>
      <c r="C104" s="20" t="str">
        <f t="shared" si="10"/>
        <v/>
      </c>
    </row>
    <row r="105" ht="45.0" customHeight="1">
      <c r="A105" s="21" t="s">
        <v>281</v>
      </c>
      <c r="B105" s="19" t="str">
        <f t="shared" si="9"/>
        <v>victreebel</v>
      </c>
      <c r="C105" s="20" t="str">
        <f t="shared" si="10"/>
        <v/>
      </c>
    </row>
    <row r="106" ht="45.0" customHeight="1">
      <c r="A106" s="19" t="s">
        <v>282</v>
      </c>
      <c r="B106" s="19" t="s">
        <v>283</v>
      </c>
      <c r="C106" s="20" t="str">
        <f t="shared" si="10"/>
        <v/>
      </c>
    </row>
    <row r="107" ht="45.0" customHeight="1">
      <c r="A107" s="21" t="s">
        <v>284</v>
      </c>
      <c r="B107" s="19" t="str">
        <f t="shared" ref="B107:B125" si="11">LOWER(A107)</f>
        <v>tentacool</v>
      </c>
      <c r="C107" s="20" t="str">
        <f t="shared" si="10"/>
        <v/>
      </c>
    </row>
    <row r="108" ht="45.0" customHeight="1">
      <c r="A108" s="21" t="s">
        <v>285</v>
      </c>
      <c r="B108" s="19" t="str">
        <f t="shared" si="11"/>
        <v>tentacruel</v>
      </c>
      <c r="C108" s="20" t="str">
        <f t="shared" si="10"/>
        <v/>
      </c>
    </row>
    <row r="109" ht="45.0" customHeight="1">
      <c r="A109" s="21" t="s">
        <v>287</v>
      </c>
      <c r="B109" s="19" t="str">
        <f t="shared" si="11"/>
        <v>geodude</v>
      </c>
      <c r="C109" s="20" t="str">
        <f t="shared" si="10"/>
        <v/>
      </c>
    </row>
    <row r="110" ht="45.0" customHeight="1">
      <c r="A110" s="19" t="s">
        <v>288</v>
      </c>
      <c r="B110" s="19" t="str">
        <f t="shared" si="11"/>
        <v>geodude-alola</v>
      </c>
      <c r="C110" s="20" t="str">
        <f t="shared" si="10"/>
        <v/>
      </c>
    </row>
    <row r="111" ht="45.0" customHeight="1">
      <c r="A111" s="21" t="s">
        <v>289</v>
      </c>
      <c r="B111" s="19" t="str">
        <f t="shared" si="11"/>
        <v>graveler</v>
      </c>
      <c r="C111" s="20" t="str">
        <f t="shared" si="10"/>
        <v/>
      </c>
    </row>
    <row r="112" ht="45.0" customHeight="1">
      <c r="A112" s="19" t="s">
        <v>290</v>
      </c>
      <c r="B112" s="19" t="str">
        <f t="shared" si="11"/>
        <v>graveler-alola</v>
      </c>
      <c r="C112" s="20" t="str">
        <f t="shared" si="10"/>
        <v/>
      </c>
    </row>
    <row r="113" ht="45.0" customHeight="1">
      <c r="A113" s="21" t="s">
        <v>291</v>
      </c>
      <c r="B113" s="19" t="str">
        <f t="shared" si="11"/>
        <v>golem</v>
      </c>
      <c r="C113" s="20" t="str">
        <f t="shared" si="10"/>
        <v/>
      </c>
    </row>
    <row r="114" ht="45.0" customHeight="1">
      <c r="A114" s="19" t="s">
        <v>293</v>
      </c>
      <c r="B114" s="19" t="str">
        <f t="shared" si="11"/>
        <v>golem-alola</v>
      </c>
      <c r="C114" s="20" t="str">
        <f t="shared" si="10"/>
        <v/>
      </c>
    </row>
    <row r="115" ht="45.0" customHeight="1">
      <c r="A115" s="21" t="s">
        <v>294</v>
      </c>
      <c r="B115" s="19" t="str">
        <f t="shared" si="11"/>
        <v>ponyta</v>
      </c>
      <c r="C115" s="20" t="str">
        <f t="shared" si="10"/>
        <v/>
      </c>
    </row>
    <row r="116" ht="45.0" customHeight="1">
      <c r="A116" s="19" t="s">
        <v>295</v>
      </c>
      <c r="B116" s="19" t="str">
        <f t="shared" si="11"/>
        <v>ponyta-galar</v>
      </c>
      <c r="C116" s="20" t="str">
        <f t="shared" si="10"/>
        <v/>
      </c>
    </row>
    <row r="117" ht="45.0" customHeight="1">
      <c r="A117" s="21" t="s">
        <v>296</v>
      </c>
      <c r="B117" s="19" t="str">
        <f t="shared" si="11"/>
        <v>rapidash</v>
      </c>
      <c r="C117" s="20" t="str">
        <f t="shared" si="10"/>
        <v/>
      </c>
    </row>
    <row r="118" ht="45.0" customHeight="1">
      <c r="A118" s="19" t="s">
        <v>297</v>
      </c>
      <c r="B118" s="19" t="str">
        <f t="shared" si="11"/>
        <v>rapidash-galar</v>
      </c>
      <c r="C118" s="20" t="str">
        <f t="shared" si="10"/>
        <v/>
      </c>
    </row>
    <row r="119" ht="45.0" customHeight="1">
      <c r="A119" s="21" t="s">
        <v>298</v>
      </c>
      <c r="B119" s="19" t="str">
        <f t="shared" si="11"/>
        <v>slowpoke</v>
      </c>
      <c r="C119" s="20" t="str">
        <f t="shared" si="10"/>
        <v/>
      </c>
    </row>
    <row r="120" ht="45.0" customHeight="1">
      <c r="A120" s="19" t="s">
        <v>299</v>
      </c>
      <c r="B120" s="19" t="str">
        <f t="shared" si="11"/>
        <v>slowpoke-galar</v>
      </c>
      <c r="C120" s="20" t="str">
        <f t="shared" si="10"/>
        <v/>
      </c>
    </row>
    <row r="121" ht="45.0" customHeight="1">
      <c r="A121" s="21" t="s">
        <v>300</v>
      </c>
      <c r="B121" s="19" t="str">
        <f t="shared" si="11"/>
        <v>slowbro</v>
      </c>
      <c r="C121" s="20" t="str">
        <f t="shared" si="10"/>
        <v/>
      </c>
    </row>
    <row r="122" ht="45.0" customHeight="1">
      <c r="A122" s="19" t="s">
        <v>301</v>
      </c>
      <c r="B122" s="19" t="str">
        <f t="shared" si="11"/>
        <v>slowbro-galar</v>
      </c>
      <c r="C122" s="20" t="str">
        <f t="shared" si="10"/>
        <v/>
      </c>
    </row>
    <row r="123" ht="45.0" customHeight="1">
      <c r="A123" s="19" t="s">
        <v>302</v>
      </c>
      <c r="B123" s="19" t="str">
        <f t="shared" si="11"/>
        <v>slowbro-mega</v>
      </c>
      <c r="C123" s="20" t="str">
        <f t="shared" si="10"/>
        <v/>
      </c>
    </row>
    <row r="124" ht="45.0" customHeight="1">
      <c r="A124" s="21" t="s">
        <v>303</v>
      </c>
      <c r="B124" s="19" t="str">
        <f t="shared" si="11"/>
        <v>magnemite</v>
      </c>
      <c r="C124" s="20" t="str">
        <f t="shared" si="10"/>
        <v/>
      </c>
    </row>
    <row r="125" ht="45.0" customHeight="1">
      <c r="A125" s="21" t="s">
        <v>304</v>
      </c>
      <c r="B125" s="19" t="str">
        <f t="shared" si="11"/>
        <v>magneton</v>
      </c>
      <c r="C125" s="20" t="str">
        <f t="shared" si="10"/>
        <v/>
      </c>
    </row>
    <row r="126" ht="45.0" customHeight="1">
      <c r="A126" s="19" t="s">
        <v>305</v>
      </c>
      <c r="B126" s="19" t="s">
        <v>306</v>
      </c>
      <c r="C126" s="20" t="str">
        <f t="shared" si="10"/>
        <v/>
      </c>
    </row>
    <row r="127" ht="45.0" customHeight="1">
      <c r="A127" s="38" t="s">
        <v>307</v>
      </c>
      <c r="B127" s="19" t="s">
        <v>308</v>
      </c>
      <c r="C127" s="20" t="str">
        <f t="shared" si="10"/>
        <v/>
      </c>
    </row>
    <row r="128" ht="45.0" customHeight="1">
      <c r="A128" s="21" t="s">
        <v>309</v>
      </c>
      <c r="B128" s="19" t="str">
        <f t="shared" ref="B128:B176" si="12">LOWER(A128)</f>
        <v>doduo</v>
      </c>
      <c r="C128" s="20" t="str">
        <f t="shared" si="10"/>
        <v/>
      </c>
    </row>
    <row r="129" ht="45.0" customHeight="1">
      <c r="A129" s="21" t="s">
        <v>310</v>
      </c>
      <c r="B129" s="19" t="str">
        <f t="shared" si="12"/>
        <v>dodrio</v>
      </c>
      <c r="C129" s="20" t="str">
        <f t="shared" si="10"/>
        <v/>
      </c>
    </row>
    <row r="130" ht="45.0" customHeight="1">
      <c r="A130" s="21" t="s">
        <v>311</v>
      </c>
      <c r="B130" s="19" t="str">
        <f t="shared" si="12"/>
        <v>seel</v>
      </c>
      <c r="C130" s="20" t="str">
        <f t="shared" si="10"/>
        <v/>
      </c>
    </row>
    <row r="131" ht="45.0" customHeight="1">
      <c r="A131" s="21" t="s">
        <v>312</v>
      </c>
      <c r="B131" s="19" t="str">
        <f t="shared" si="12"/>
        <v>dewgong</v>
      </c>
      <c r="C131" s="20" t="str">
        <f t="shared" si="10"/>
        <v/>
      </c>
    </row>
    <row r="132" ht="45.0" customHeight="1">
      <c r="A132" s="21" t="s">
        <v>313</v>
      </c>
      <c r="B132" s="19" t="str">
        <f t="shared" si="12"/>
        <v>grimer</v>
      </c>
      <c r="C132" s="20" t="str">
        <f t="shared" si="10"/>
        <v/>
      </c>
    </row>
    <row r="133" ht="45.0" customHeight="1">
      <c r="A133" s="19" t="s">
        <v>314</v>
      </c>
      <c r="B133" s="19" t="str">
        <f t="shared" si="12"/>
        <v>grimer-alola</v>
      </c>
      <c r="C133" s="20" t="str">
        <f t="shared" si="10"/>
        <v/>
      </c>
    </row>
    <row r="134" ht="45.0" customHeight="1">
      <c r="A134" s="21" t="s">
        <v>315</v>
      </c>
      <c r="B134" s="19" t="str">
        <f t="shared" si="12"/>
        <v>muk</v>
      </c>
      <c r="C134" s="20" t="str">
        <f t="shared" si="10"/>
        <v/>
      </c>
    </row>
    <row r="135" ht="45.0" customHeight="1">
      <c r="A135" s="19" t="s">
        <v>316</v>
      </c>
      <c r="B135" s="19" t="str">
        <f t="shared" si="12"/>
        <v>muk-alola</v>
      </c>
      <c r="C135" s="20" t="str">
        <f t="shared" si="10"/>
        <v/>
      </c>
    </row>
    <row r="136" ht="45.0" customHeight="1">
      <c r="A136" s="21" t="s">
        <v>317</v>
      </c>
      <c r="B136" s="19" t="str">
        <f t="shared" si="12"/>
        <v>shellder</v>
      </c>
      <c r="C136" s="20" t="str">
        <f t="shared" si="10"/>
        <v/>
      </c>
    </row>
    <row r="137" ht="45.0" customHeight="1">
      <c r="A137" s="21" t="s">
        <v>318</v>
      </c>
      <c r="B137" s="19" t="str">
        <f t="shared" si="12"/>
        <v>cloyster</v>
      </c>
      <c r="C137" s="20" t="str">
        <f t="shared" si="10"/>
        <v/>
      </c>
    </row>
    <row r="138" ht="45.0" customHeight="1">
      <c r="A138" s="21" t="s">
        <v>319</v>
      </c>
      <c r="B138" s="19" t="str">
        <f t="shared" si="12"/>
        <v>gastly</v>
      </c>
      <c r="C138" s="20" t="str">
        <f t="shared" si="10"/>
        <v/>
      </c>
    </row>
    <row r="139" ht="45.0" customHeight="1">
      <c r="A139" s="21" t="s">
        <v>320</v>
      </c>
      <c r="B139" s="19" t="str">
        <f t="shared" si="12"/>
        <v>haunter</v>
      </c>
      <c r="C139" s="20" t="str">
        <f t="shared" si="10"/>
        <v/>
      </c>
    </row>
    <row r="140" ht="45.0" customHeight="1">
      <c r="A140" s="21" t="s">
        <v>321</v>
      </c>
      <c r="B140" s="19" t="str">
        <f t="shared" si="12"/>
        <v>gengar</v>
      </c>
      <c r="C140" s="20" t="str">
        <f t="shared" si="10"/>
        <v/>
      </c>
    </row>
    <row r="141" ht="45.0" customHeight="1">
      <c r="A141" s="21" t="s">
        <v>322</v>
      </c>
      <c r="B141" s="19" t="str">
        <f t="shared" si="12"/>
        <v>gengar-gmax</v>
      </c>
      <c r="C141" s="20" t="str">
        <f t="shared" si="10"/>
        <v/>
      </c>
    </row>
    <row r="142" ht="45.0" customHeight="1">
      <c r="A142" s="19" t="s">
        <v>323</v>
      </c>
      <c r="B142" s="19" t="str">
        <f t="shared" si="12"/>
        <v>gengar-mega</v>
      </c>
      <c r="C142" s="20" t="str">
        <f t="shared" si="10"/>
        <v/>
      </c>
    </row>
    <row r="143" ht="45.0" customHeight="1">
      <c r="A143" s="21" t="s">
        <v>324</v>
      </c>
      <c r="B143" s="19" t="str">
        <f t="shared" si="12"/>
        <v>onix</v>
      </c>
      <c r="C143" s="20" t="str">
        <f t="shared" si="10"/>
        <v/>
      </c>
    </row>
    <row r="144" ht="45.0" customHeight="1">
      <c r="A144" s="21" t="s">
        <v>325</v>
      </c>
      <c r="B144" s="19" t="str">
        <f t="shared" si="12"/>
        <v>drowzee</v>
      </c>
      <c r="C144" s="20" t="str">
        <f t="shared" si="10"/>
        <v/>
      </c>
    </row>
    <row r="145" ht="45.0" customHeight="1">
      <c r="A145" s="21" t="s">
        <v>326</v>
      </c>
      <c r="B145" s="19" t="str">
        <f t="shared" si="12"/>
        <v>hypno</v>
      </c>
      <c r="C145" s="20" t="str">
        <f t="shared" si="10"/>
        <v/>
      </c>
    </row>
    <row r="146" ht="45.0" customHeight="1">
      <c r="A146" s="21" t="s">
        <v>327</v>
      </c>
      <c r="B146" s="19" t="str">
        <f t="shared" si="12"/>
        <v>krabby</v>
      </c>
      <c r="C146" s="20" t="str">
        <f t="shared" si="10"/>
        <v/>
      </c>
    </row>
    <row r="147" ht="45.0" customHeight="1">
      <c r="A147" s="21" t="s">
        <v>328</v>
      </c>
      <c r="B147" s="19" t="str">
        <f t="shared" si="12"/>
        <v>kingler</v>
      </c>
      <c r="C147" s="20" t="str">
        <f t="shared" si="10"/>
        <v/>
      </c>
    </row>
    <row r="148" ht="45.0" customHeight="1">
      <c r="A148" s="21" t="s">
        <v>329</v>
      </c>
      <c r="B148" s="19" t="str">
        <f t="shared" si="12"/>
        <v>kingler-gmax</v>
      </c>
      <c r="C148" s="20" t="str">
        <f t="shared" si="10"/>
        <v/>
      </c>
    </row>
    <row r="149" ht="45.0" customHeight="1">
      <c r="A149" s="21" t="s">
        <v>330</v>
      </c>
      <c r="B149" s="19" t="str">
        <f t="shared" si="12"/>
        <v>voltorb</v>
      </c>
      <c r="C149" s="20" t="str">
        <f t="shared" si="10"/>
        <v/>
      </c>
    </row>
    <row r="150" ht="45.0" customHeight="1">
      <c r="A150" s="33" t="s">
        <v>331</v>
      </c>
      <c r="B150" s="19" t="str">
        <f t="shared" si="12"/>
        <v>voltorb-hisui</v>
      </c>
      <c r="C150" s="20" t="str">
        <f t="shared" si="10"/>
        <v/>
      </c>
    </row>
    <row r="151" ht="45.0" customHeight="1">
      <c r="A151" s="21" t="s">
        <v>332</v>
      </c>
      <c r="B151" s="19" t="str">
        <f t="shared" si="12"/>
        <v>electrode</v>
      </c>
      <c r="C151" s="20" t="str">
        <f t="shared" si="10"/>
        <v/>
      </c>
    </row>
    <row r="152" ht="45.0" customHeight="1">
      <c r="A152" s="33" t="s">
        <v>333</v>
      </c>
      <c r="B152" s="19" t="str">
        <f t="shared" si="12"/>
        <v>electrode-hisui</v>
      </c>
      <c r="C152" s="20" t="str">
        <f t="shared" si="10"/>
        <v/>
      </c>
    </row>
    <row r="153" ht="45.0" customHeight="1">
      <c r="A153" s="21" t="s">
        <v>334</v>
      </c>
      <c r="B153" s="19" t="str">
        <f t="shared" si="12"/>
        <v>exeggcute</v>
      </c>
      <c r="C153" s="20" t="str">
        <f t="shared" si="10"/>
        <v/>
      </c>
    </row>
    <row r="154" ht="45.0" customHeight="1">
      <c r="A154" s="21" t="s">
        <v>335</v>
      </c>
      <c r="B154" s="19" t="str">
        <f t="shared" si="12"/>
        <v>exeggutor</v>
      </c>
      <c r="C154" s="20" t="str">
        <f t="shared" si="10"/>
        <v/>
      </c>
    </row>
    <row r="155" ht="45.0" customHeight="1">
      <c r="A155" s="19" t="s">
        <v>336</v>
      </c>
      <c r="B155" s="19" t="str">
        <f t="shared" si="12"/>
        <v>exeggutor-alola</v>
      </c>
      <c r="C155" s="20" t="str">
        <f t="shared" si="10"/>
        <v/>
      </c>
    </row>
    <row r="156" ht="45.0" customHeight="1">
      <c r="A156" s="21" t="s">
        <v>338</v>
      </c>
      <c r="B156" s="19" t="str">
        <f t="shared" si="12"/>
        <v>cubone</v>
      </c>
      <c r="C156" s="20" t="str">
        <f t="shared" si="10"/>
        <v/>
      </c>
    </row>
    <row r="157" ht="45.0" customHeight="1">
      <c r="A157" s="21" t="s">
        <v>341</v>
      </c>
      <c r="B157" s="19" t="str">
        <f t="shared" si="12"/>
        <v>marowak</v>
      </c>
      <c r="C157" s="20" t="str">
        <f t="shared" si="10"/>
        <v/>
      </c>
    </row>
    <row r="158" ht="45.0" customHeight="1">
      <c r="A158" s="19" t="s">
        <v>342</v>
      </c>
      <c r="B158" s="19" t="str">
        <f t="shared" si="12"/>
        <v>marowak-alola</v>
      </c>
      <c r="C158" s="20" t="str">
        <f t="shared" si="10"/>
        <v/>
      </c>
    </row>
    <row r="159" ht="45.0" customHeight="1">
      <c r="A159" s="21" t="s">
        <v>347</v>
      </c>
      <c r="B159" s="19" t="str">
        <f t="shared" si="12"/>
        <v>hitmonlee</v>
      </c>
      <c r="C159" s="20" t="str">
        <f t="shared" si="10"/>
        <v/>
      </c>
    </row>
    <row r="160" ht="45.0" customHeight="1">
      <c r="A160" s="21" t="s">
        <v>350</v>
      </c>
      <c r="B160" s="19" t="str">
        <f t="shared" si="12"/>
        <v>hitmonchan</v>
      </c>
      <c r="C160" s="20" t="str">
        <f t="shared" si="10"/>
        <v/>
      </c>
    </row>
    <row r="161" ht="45.0" customHeight="1">
      <c r="A161" s="21" t="s">
        <v>353</v>
      </c>
      <c r="B161" s="19" t="str">
        <f t="shared" si="12"/>
        <v>lickitung</v>
      </c>
      <c r="C161" s="20" t="str">
        <f t="shared" si="10"/>
        <v/>
      </c>
    </row>
    <row r="162" ht="45.0" customHeight="1">
      <c r="A162" s="21" t="s">
        <v>354</v>
      </c>
      <c r="B162" s="19" t="str">
        <f t="shared" si="12"/>
        <v>koffing</v>
      </c>
      <c r="C162" s="20" t="str">
        <f t="shared" si="10"/>
        <v/>
      </c>
    </row>
    <row r="163" ht="45.0" customHeight="1">
      <c r="A163" s="21" t="s">
        <v>359</v>
      </c>
      <c r="B163" s="19" t="str">
        <f t="shared" si="12"/>
        <v>weezing</v>
      </c>
      <c r="C163" s="20" t="str">
        <f t="shared" si="10"/>
        <v/>
      </c>
    </row>
    <row r="164" ht="45.0" customHeight="1">
      <c r="A164" s="19" t="s">
        <v>364</v>
      </c>
      <c r="B164" s="19" t="str">
        <f t="shared" si="12"/>
        <v>weezing-galar</v>
      </c>
      <c r="C164" s="20" t="str">
        <f t="shared" si="10"/>
        <v/>
      </c>
    </row>
    <row r="165" ht="45.0" customHeight="1">
      <c r="A165" s="21" t="s">
        <v>369</v>
      </c>
      <c r="B165" s="19" t="str">
        <f t="shared" si="12"/>
        <v>rhyhorn</v>
      </c>
      <c r="C165" s="20" t="str">
        <f t="shared" si="10"/>
        <v/>
      </c>
    </row>
    <row r="166" ht="45.0" customHeight="1">
      <c r="A166" s="21" t="s">
        <v>370</v>
      </c>
      <c r="B166" s="19" t="str">
        <f t="shared" si="12"/>
        <v>rhydon</v>
      </c>
      <c r="C166" s="20" t="str">
        <f t="shared" si="10"/>
        <v/>
      </c>
    </row>
    <row r="167" ht="45.0" customHeight="1">
      <c r="A167" s="21" t="s">
        <v>374</v>
      </c>
      <c r="B167" s="19" t="str">
        <f t="shared" si="12"/>
        <v>chansey</v>
      </c>
      <c r="C167" s="20" t="str">
        <f t="shared" si="10"/>
        <v/>
      </c>
    </row>
    <row r="168" ht="45.0" customHeight="1">
      <c r="A168" s="21" t="s">
        <v>376</v>
      </c>
      <c r="B168" s="19" t="str">
        <f t="shared" si="12"/>
        <v>tangela</v>
      </c>
      <c r="C168" s="20" t="str">
        <f t="shared" si="10"/>
        <v/>
      </c>
    </row>
    <row r="169" ht="45.0" customHeight="1">
      <c r="A169" s="21" t="s">
        <v>377</v>
      </c>
      <c r="B169" s="19" t="str">
        <f t="shared" si="12"/>
        <v>kangaskhan</v>
      </c>
      <c r="C169" s="20" t="str">
        <f t="shared" si="10"/>
        <v/>
      </c>
    </row>
    <row r="170" ht="45.0" customHeight="1">
      <c r="A170" s="19" t="s">
        <v>378</v>
      </c>
      <c r="B170" s="19" t="str">
        <f t="shared" si="12"/>
        <v>kangaskhan-mega</v>
      </c>
      <c r="C170" s="20" t="str">
        <f t="shared" si="10"/>
        <v/>
      </c>
    </row>
    <row r="171" ht="45.0" customHeight="1">
      <c r="A171" s="21" t="s">
        <v>379</v>
      </c>
      <c r="B171" s="19" t="str">
        <f t="shared" si="12"/>
        <v>horsea</v>
      </c>
      <c r="C171" s="20" t="str">
        <f t="shared" si="10"/>
        <v/>
      </c>
    </row>
    <row r="172" ht="45.0" customHeight="1">
      <c r="A172" s="21" t="s">
        <v>380</v>
      </c>
      <c r="B172" s="19" t="str">
        <f t="shared" si="12"/>
        <v>seadra</v>
      </c>
      <c r="C172" s="20" t="str">
        <f t="shared" si="10"/>
        <v/>
      </c>
    </row>
    <row r="173" ht="45.0" customHeight="1">
      <c r="A173" s="21" t="s">
        <v>381</v>
      </c>
      <c r="B173" s="19" t="str">
        <f t="shared" si="12"/>
        <v>goldeen</v>
      </c>
      <c r="C173" s="20" t="str">
        <f t="shared" si="10"/>
        <v/>
      </c>
    </row>
    <row r="174" ht="45.0" customHeight="1">
      <c r="A174" s="21" t="s">
        <v>382</v>
      </c>
      <c r="B174" s="19" t="str">
        <f t="shared" si="12"/>
        <v>seaking</v>
      </c>
      <c r="C174" s="20" t="str">
        <f t="shared" si="10"/>
        <v/>
      </c>
    </row>
    <row r="175" ht="45.0" customHeight="1">
      <c r="A175" s="21" t="s">
        <v>383</v>
      </c>
      <c r="B175" s="19" t="str">
        <f t="shared" si="12"/>
        <v>staryu</v>
      </c>
      <c r="C175" s="20" t="str">
        <f t="shared" si="10"/>
        <v/>
      </c>
    </row>
    <row r="176" ht="45.0" customHeight="1">
      <c r="A176" s="21" t="s">
        <v>384</v>
      </c>
      <c r="B176" s="19" t="str">
        <f t="shared" si="12"/>
        <v>starmie</v>
      </c>
      <c r="C176" s="20" t="str">
        <f t="shared" si="10"/>
        <v/>
      </c>
    </row>
    <row r="177" ht="45.0" customHeight="1">
      <c r="A177" s="19" t="s">
        <v>385</v>
      </c>
      <c r="B177" s="19" t="s">
        <v>386</v>
      </c>
      <c r="C177" s="20" t="str">
        <f>(IMAGE("https://pokedoku-space.nyc3.cdn.digitaloceanspaces.com/resources/pokemon/10280.png", 3))</f>
        <v/>
      </c>
    </row>
    <row r="178" ht="45.0" customHeight="1">
      <c r="A178" s="21" t="s">
        <v>387</v>
      </c>
      <c r="B178" s="19" t="s">
        <v>388</v>
      </c>
      <c r="C178" s="20" t="str">
        <f t="shared" ref="C178:C186" si="13">(IMAGE("https://play.pokemonshowdown.com/sprites/gen5/"&amp;B178&amp;".png", 3))</f>
        <v/>
      </c>
    </row>
    <row r="179" ht="45.0" customHeight="1">
      <c r="A179" s="19" t="s">
        <v>389</v>
      </c>
      <c r="B179" s="19" t="s">
        <v>390</v>
      </c>
      <c r="C179" s="20" t="str">
        <f t="shared" si="13"/>
        <v/>
      </c>
    </row>
    <row r="180" ht="45.0" customHeight="1">
      <c r="A180" s="21" t="s">
        <v>391</v>
      </c>
      <c r="B180" s="19" t="str">
        <f t="shared" ref="B180:B186" si="14">LOWER(A180)</f>
        <v>scyther</v>
      </c>
      <c r="C180" s="20" t="str">
        <f t="shared" si="13"/>
        <v/>
      </c>
    </row>
    <row r="181" ht="45.0" customHeight="1">
      <c r="A181" s="21" t="s">
        <v>392</v>
      </c>
      <c r="B181" s="19" t="str">
        <f t="shared" si="14"/>
        <v>jynx</v>
      </c>
      <c r="C181" s="20" t="str">
        <f t="shared" si="13"/>
        <v/>
      </c>
    </row>
    <row r="182" ht="45.0" customHeight="1">
      <c r="A182" s="21" t="s">
        <v>393</v>
      </c>
      <c r="B182" s="19" t="str">
        <f t="shared" si="14"/>
        <v>electabuzz</v>
      </c>
      <c r="C182" s="20" t="str">
        <f t="shared" si="13"/>
        <v/>
      </c>
    </row>
    <row r="183" ht="45.0" customHeight="1">
      <c r="A183" s="21" t="s">
        <v>394</v>
      </c>
      <c r="B183" s="19" t="str">
        <f t="shared" si="14"/>
        <v>magmar</v>
      </c>
      <c r="C183" s="20" t="str">
        <f t="shared" si="13"/>
        <v/>
      </c>
    </row>
    <row r="184" ht="45.0" customHeight="1">
      <c r="A184" s="21" t="s">
        <v>395</v>
      </c>
      <c r="B184" s="19" t="str">
        <f t="shared" si="14"/>
        <v>pinsir</v>
      </c>
      <c r="C184" s="20" t="str">
        <f t="shared" si="13"/>
        <v/>
      </c>
    </row>
    <row r="185" ht="45.0" customHeight="1">
      <c r="A185" s="19" t="s">
        <v>396</v>
      </c>
      <c r="B185" s="19" t="str">
        <f t="shared" si="14"/>
        <v>pinsir-mega</v>
      </c>
      <c r="C185" s="20" t="str">
        <f t="shared" si="13"/>
        <v/>
      </c>
    </row>
    <row r="186" ht="45.0" customHeight="1">
      <c r="A186" s="21" t="s">
        <v>397</v>
      </c>
      <c r="B186" s="19" t="str">
        <f t="shared" si="14"/>
        <v>tauros</v>
      </c>
      <c r="C186" s="20" t="str">
        <f t="shared" si="13"/>
        <v/>
      </c>
    </row>
    <row r="187" ht="45.0" customHeight="1">
      <c r="A187" s="19" t="s">
        <v>398</v>
      </c>
      <c r="B187" s="19" t="s">
        <v>399</v>
      </c>
      <c r="C187" s="20" t="str">
        <f>(IMAGE("https://pokedoku-space.nyc3.cdn.digitaloceanspaces.com/resources/pokemon/10250.png", 3))</f>
        <v/>
      </c>
    </row>
    <row r="188" ht="45.0" customHeight="1">
      <c r="A188" s="19" t="s">
        <v>404</v>
      </c>
      <c r="B188" s="19" t="s">
        <v>405</v>
      </c>
      <c r="C188" s="20" t="str">
        <f>(IMAGE("https://pokedoku-space.nyc3.cdn.digitaloceanspaces.com/resources/pokemon/10251.png", 3))</f>
        <v/>
      </c>
    </row>
    <row r="189" ht="45.0" customHeight="1">
      <c r="A189" s="19" t="s">
        <v>410</v>
      </c>
      <c r="B189" s="19" t="s">
        <v>411</v>
      </c>
      <c r="C189" s="20" t="str">
        <f>(IMAGE("https://pokedoku-space.nyc3.cdn.digitaloceanspaces.com/resources/pokemon/10252.png", 3))</f>
        <v/>
      </c>
    </row>
    <row r="190" ht="45.0" customHeight="1">
      <c r="A190" s="21" t="s">
        <v>418</v>
      </c>
      <c r="B190" s="19" t="str">
        <f t="shared" ref="B190:B218" si="15">LOWER(A190)</f>
        <v>magikarp</v>
      </c>
      <c r="C190" s="20" t="str">
        <f t="shared" ref="C190:C226" si="16">(IMAGE("https://play.pokemonshowdown.com/sprites/gen5/"&amp;B190&amp;".png", 3))</f>
        <v/>
      </c>
    </row>
    <row r="191" ht="45.0" customHeight="1">
      <c r="A191" s="21" t="s">
        <v>423</v>
      </c>
      <c r="B191" s="19" t="str">
        <f t="shared" si="15"/>
        <v>gyarados</v>
      </c>
      <c r="C191" s="20" t="str">
        <f t="shared" si="16"/>
        <v/>
      </c>
    </row>
    <row r="192" ht="45.0" customHeight="1">
      <c r="A192" s="19" t="s">
        <v>425</v>
      </c>
      <c r="B192" s="19" t="str">
        <f t="shared" si="15"/>
        <v>gyarados-mega</v>
      </c>
      <c r="C192" s="20" t="str">
        <f t="shared" si="16"/>
        <v/>
      </c>
    </row>
    <row r="193" ht="45.0" customHeight="1">
      <c r="A193" s="21" t="s">
        <v>427</v>
      </c>
      <c r="B193" s="19" t="str">
        <f t="shared" si="15"/>
        <v>lapras</v>
      </c>
      <c r="C193" s="20" t="str">
        <f t="shared" si="16"/>
        <v/>
      </c>
    </row>
    <row r="194" ht="45.0" customHeight="1">
      <c r="A194" s="21" t="s">
        <v>429</v>
      </c>
      <c r="B194" s="19" t="str">
        <f t="shared" si="15"/>
        <v>lapras-gmax</v>
      </c>
      <c r="C194" s="20" t="str">
        <f t="shared" si="16"/>
        <v/>
      </c>
    </row>
    <row r="195" ht="45.0" customHeight="1">
      <c r="A195" s="21" t="s">
        <v>433</v>
      </c>
      <c r="B195" s="19" t="str">
        <f t="shared" si="15"/>
        <v>ditto</v>
      </c>
      <c r="C195" s="20" t="str">
        <f t="shared" si="16"/>
        <v/>
      </c>
    </row>
    <row r="196" ht="45.0" customHeight="1">
      <c r="A196" s="21" t="s">
        <v>434</v>
      </c>
      <c r="B196" s="19" t="str">
        <f t="shared" si="15"/>
        <v>eevee</v>
      </c>
      <c r="C196" s="20" t="str">
        <f t="shared" si="16"/>
        <v/>
      </c>
    </row>
    <row r="197" ht="45.0" customHeight="1">
      <c r="A197" s="21" t="s">
        <v>436</v>
      </c>
      <c r="B197" s="19" t="str">
        <f t="shared" si="15"/>
        <v>eevee-gmax</v>
      </c>
      <c r="C197" s="20" t="str">
        <f t="shared" si="16"/>
        <v/>
      </c>
    </row>
    <row r="198" ht="45.0" customHeight="1">
      <c r="A198" s="21" t="s">
        <v>437</v>
      </c>
      <c r="B198" s="19" t="str">
        <f t="shared" si="15"/>
        <v>vaporeon</v>
      </c>
      <c r="C198" s="20" t="str">
        <f t="shared" si="16"/>
        <v/>
      </c>
    </row>
    <row r="199" ht="45.0" customHeight="1">
      <c r="A199" s="21" t="s">
        <v>438</v>
      </c>
      <c r="B199" s="19" t="str">
        <f t="shared" si="15"/>
        <v>jolteon</v>
      </c>
      <c r="C199" s="20" t="str">
        <f t="shared" si="16"/>
        <v/>
      </c>
    </row>
    <row r="200" ht="45.0" customHeight="1">
      <c r="A200" s="21" t="s">
        <v>439</v>
      </c>
      <c r="B200" s="19" t="str">
        <f t="shared" si="15"/>
        <v>flareon</v>
      </c>
      <c r="C200" s="20" t="str">
        <f t="shared" si="16"/>
        <v/>
      </c>
    </row>
    <row r="201" ht="45.0" customHeight="1">
      <c r="A201" s="21" t="s">
        <v>440</v>
      </c>
      <c r="B201" s="19" t="str">
        <f t="shared" si="15"/>
        <v>porygon</v>
      </c>
      <c r="C201" s="20" t="str">
        <f t="shared" si="16"/>
        <v/>
      </c>
    </row>
    <row r="202" ht="45.0" customHeight="1">
      <c r="A202" s="21" t="s">
        <v>441</v>
      </c>
      <c r="B202" s="19" t="str">
        <f t="shared" si="15"/>
        <v>omanyte</v>
      </c>
      <c r="C202" s="20" t="str">
        <f t="shared" si="16"/>
        <v/>
      </c>
    </row>
    <row r="203" ht="45.0" customHeight="1">
      <c r="A203" s="21" t="s">
        <v>442</v>
      </c>
      <c r="B203" s="19" t="str">
        <f t="shared" si="15"/>
        <v>omastar</v>
      </c>
      <c r="C203" s="20" t="str">
        <f t="shared" si="16"/>
        <v/>
      </c>
    </row>
    <row r="204" ht="45.0" customHeight="1">
      <c r="A204" s="21" t="s">
        <v>443</v>
      </c>
      <c r="B204" s="19" t="str">
        <f t="shared" si="15"/>
        <v>kabuto</v>
      </c>
      <c r="C204" s="20" t="str">
        <f t="shared" si="16"/>
        <v/>
      </c>
    </row>
    <row r="205" ht="45.0" customHeight="1">
      <c r="A205" s="21" t="s">
        <v>444</v>
      </c>
      <c r="B205" s="19" t="str">
        <f t="shared" si="15"/>
        <v>kabutops</v>
      </c>
      <c r="C205" s="20" t="str">
        <f t="shared" si="16"/>
        <v/>
      </c>
    </row>
    <row r="206" ht="45.0" customHeight="1">
      <c r="A206" s="21" t="s">
        <v>445</v>
      </c>
      <c r="B206" s="19" t="str">
        <f t="shared" si="15"/>
        <v>aerodactyl</v>
      </c>
      <c r="C206" s="20" t="str">
        <f t="shared" si="16"/>
        <v/>
      </c>
    </row>
    <row r="207" ht="45.0" customHeight="1">
      <c r="A207" s="19" t="s">
        <v>446</v>
      </c>
      <c r="B207" s="19" t="str">
        <f t="shared" si="15"/>
        <v>aerodactyl-mega</v>
      </c>
      <c r="C207" s="20" t="str">
        <f t="shared" si="16"/>
        <v/>
      </c>
    </row>
    <row r="208" ht="45.0" customHeight="1">
      <c r="A208" s="21" t="s">
        <v>449</v>
      </c>
      <c r="B208" s="19" t="str">
        <f t="shared" si="15"/>
        <v>snorlax</v>
      </c>
      <c r="C208" s="20" t="str">
        <f t="shared" si="16"/>
        <v/>
      </c>
    </row>
    <row r="209" ht="45.0" customHeight="1">
      <c r="A209" s="21" t="s">
        <v>450</v>
      </c>
      <c r="B209" s="19" t="str">
        <f t="shared" si="15"/>
        <v>snorlax-gmax</v>
      </c>
      <c r="C209" s="20" t="str">
        <f t="shared" si="16"/>
        <v/>
      </c>
    </row>
    <row r="210" ht="45.0" customHeight="1">
      <c r="A210" s="21" t="s">
        <v>454</v>
      </c>
      <c r="B210" s="19" t="str">
        <f t="shared" si="15"/>
        <v>articuno</v>
      </c>
      <c r="C210" s="20" t="str">
        <f t="shared" si="16"/>
        <v/>
      </c>
    </row>
    <row r="211" ht="45.0" customHeight="1">
      <c r="A211" s="43" t="s">
        <v>460</v>
      </c>
      <c r="B211" s="19" t="str">
        <f t="shared" si="15"/>
        <v>articuno-galar</v>
      </c>
      <c r="C211" s="20" t="str">
        <f t="shared" si="16"/>
        <v/>
      </c>
    </row>
    <row r="212" ht="45.0" customHeight="1">
      <c r="A212" s="21" t="s">
        <v>462</v>
      </c>
      <c r="B212" s="19" t="str">
        <f t="shared" si="15"/>
        <v>zapdos</v>
      </c>
      <c r="C212" s="20" t="str">
        <f t="shared" si="16"/>
        <v/>
      </c>
    </row>
    <row r="213" ht="45.0" customHeight="1">
      <c r="A213" s="43" t="s">
        <v>466</v>
      </c>
      <c r="B213" s="19" t="str">
        <f t="shared" si="15"/>
        <v>zapdos-galar</v>
      </c>
      <c r="C213" s="20" t="str">
        <f t="shared" si="16"/>
        <v/>
      </c>
    </row>
    <row r="214" ht="45.0" customHeight="1">
      <c r="A214" s="21" t="s">
        <v>470</v>
      </c>
      <c r="B214" s="19" t="str">
        <f t="shared" si="15"/>
        <v>moltres</v>
      </c>
      <c r="C214" s="20" t="str">
        <f t="shared" si="16"/>
        <v/>
      </c>
    </row>
    <row r="215" ht="45.0" customHeight="1">
      <c r="A215" s="43" t="s">
        <v>475</v>
      </c>
      <c r="B215" s="19" t="str">
        <f t="shared" si="15"/>
        <v>moltres-galar</v>
      </c>
      <c r="C215" s="20" t="str">
        <f t="shared" si="16"/>
        <v/>
      </c>
    </row>
    <row r="216" ht="45.0" customHeight="1">
      <c r="A216" s="21" t="s">
        <v>479</v>
      </c>
      <c r="B216" s="19" t="str">
        <f t="shared" si="15"/>
        <v>dratini</v>
      </c>
      <c r="C216" s="20" t="str">
        <f t="shared" si="16"/>
        <v/>
      </c>
    </row>
    <row r="217" ht="45.0" customHeight="1">
      <c r="A217" s="21" t="s">
        <v>481</v>
      </c>
      <c r="B217" s="19" t="str">
        <f t="shared" si="15"/>
        <v>dragonair</v>
      </c>
      <c r="C217" s="20" t="str">
        <f t="shared" si="16"/>
        <v/>
      </c>
    </row>
    <row r="218" ht="45.0" customHeight="1">
      <c r="A218" s="21" t="s">
        <v>482</v>
      </c>
      <c r="B218" s="19" t="str">
        <f t="shared" si="15"/>
        <v>dragonite</v>
      </c>
      <c r="C218" s="20" t="str">
        <f t="shared" si="16"/>
        <v/>
      </c>
    </row>
    <row r="219" ht="45.0" customHeight="1">
      <c r="A219" s="19" t="s">
        <v>483</v>
      </c>
      <c r="B219" s="19" t="s">
        <v>484</v>
      </c>
      <c r="C219" s="20" t="str">
        <f t="shared" si="16"/>
        <v/>
      </c>
    </row>
    <row r="220" ht="45.0" customHeight="1">
      <c r="A220" s="21" t="s">
        <v>485</v>
      </c>
      <c r="B220" s="19" t="str">
        <f>LOWER(A220)</f>
        <v>mewtwo</v>
      </c>
      <c r="C220" s="20" t="str">
        <f t="shared" si="16"/>
        <v/>
      </c>
    </row>
    <row r="221" ht="45.0" customHeight="1">
      <c r="A221" s="19" t="s">
        <v>486</v>
      </c>
      <c r="B221" s="19" t="s">
        <v>487</v>
      </c>
      <c r="C221" s="20" t="str">
        <f t="shared" si="16"/>
        <v/>
      </c>
    </row>
    <row r="222" ht="45.0" customHeight="1">
      <c r="A222" s="19" t="s">
        <v>488</v>
      </c>
      <c r="B222" s="19" t="s">
        <v>489</v>
      </c>
      <c r="C222" s="20" t="str">
        <f t="shared" si="16"/>
        <v/>
      </c>
    </row>
    <row r="223" ht="45.0" customHeight="1">
      <c r="A223" s="21" t="s">
        <v>490</v>
      </c>
      <c r="B223" s="19" t="str">
        <f t="shared" ref="B223:B226" si="17">LOWER(A223)</f>
        <v>mew</v>
      </c>
      <c r="C223" s="20" t="str">
        <f t="shared" si="16"/>
        <v/>
      </c>
    </row>
    <row r="224" ht="45.0" customHeight="1">
      <c r="A224" s="21" t="s">
        <v>491</v>
      </c>
      <c r="B224" s="19" t="str">
        <f t="shared" si="17"/>
        <v>chikorita</v>
      </c>
      <c r="C224" s="20" t="str">
        <f t="shared" si="16"/>
        <v/>
      </c>
    </row>
    <row r="225" ht="45.0" customHeight="1">
      <c r="A225" s="21" t="s">
        <v>492</v>
      </c>
      <c r="B225" s="19" t="str">
        <f t="shared" si="17"/>
        <v>bayleef</v>
      </c>
      <c r="C225" s="20" t="str">
        <f t="shared" si="16"/>
        <v/>
      </c>
    </row>
    <row r="226" ht="45.0" customHeight="1">
      <c r="A226" s="21" t="s">
        <v>493</v>
      </c>
      <c r="B226" s="19" t="str">
        <f t="shared" si="17"/>
        <v>meganium</v>
      </c>
      <c r="C226" s="20" t="str">
        <f t="shared" si="16"/>
        <v/>
      </c>
    </row>
    <row r="227" ht="45.0" customHeight="1">
      <c r="A227" s="19" t="s">
        <v>494</v>
      </c>
      <c r="B227" s="19" t="s">
        <v>495</v>
      </c>
      <c r="C227" s="20" t="str">
        <f>(IMAGE("https://pokedoku-space.nyc3.cdn.digitaloceanspaces.com/resources/pokemon/10282.png", 3))</f>
        <v/>
      </c>
    </row>
    <row r="228" ht="45.0" customHeight="1">
      <c r="A228" s="21" t="s">
        <v>496</v>
      </c>
      <c r="B228" s="19" t="str">
        <f t="shared" ref="B228:B234" si="18">LOWER(A228)</f>
        <v>cyndaquil</v>
      </c>
      <c r="C228" s="20" t="str">
        <f t="shared" ref="C228:C234" si="19">(IMAGE("https://play.pokemonshowdown.com/sprites/gen5/"&amp;B228&amp;".png", 3))</f>
        <v/>
      </c>
    </row>
    <row r="229" ht="45.0" customHeight="1">
      <c r="A229" s="21" t="s">
        <v>497</v>
      </c>
      <c r="B229" s="19" t="str">
        <f t="shared" si="18"/>
        <v>quilava</v>
      </c>
      <c r="C229" s="20" t="str">
        <f t="shared" si="19"/>
        <v/>
      </c>
    </row>
    <row r="230" ht="45.0" customHeight="1">
      <c r="A230" s="21" t="s">
        <v>498</v>
      </c>
      <c r="B230" s="19" t="str">
        <f t="shared" si="18"/>
        <v>typhlosion</v>
      </c>
      <c r="C230" s="20" t="str">
        <f t="shared" si="19"/>
        <v/>
      </c>
    </row>
    <row r="231" ht="45.0" customHeight="1">
      <c r="A231" s="33" t="s">
        <v>499</v>
      </c>
      <c r="B231" s="19" t="str">
        <f t="shared" si="18"/>
        <v>typhlosion-hisui</v>
      </c>
      <c r="C231" s="20" t="str">
        <f t="shared" si="19"/>
        <v/>
      </c>
    </row>
    <row r="232" ht="45.0" customHeight="1">
      <c r="A232" s="21" t="s">
        <v>500</v>
      </c>
      <c r="B232" s="19" t="str">
        <f t="shared" si="18"/>
        <v>totodile</v>
      </c>
      <c r="C232" s="20" t="str">
        <f t="shared" si="19"/>
        <v/>
      </c>
    </row>
    <row r="233" ht="45.0" customHeight="1">
      <c r="A233" s="21" t="s">
        <v>501</v>
      </c>
      <c r="B233" s="19" t="str">
        <f t="shared" si="18"/>
        <v>croconaw</v>
      </c>
      <c r="C233" s="20" t="str">
        <f t="shared" si="19"/>
        <v/>
      </c>
    </row>
    <row r="234" ht="45.0" customHeight="1">
      <c r="A234" s="21" t="s">
        <v>502</v>
      </c>
      <c r="B234" s="19" t="str">
        <f t="shared" si="18"/>
        <v>feraligatr</v>
      </c>
      <c r="C234" s="20" t="str">
        <f t="shared" si="19"/>
        <v/>
      </c>
    </row>
    <row r="235" ht="45.0" customHeight="1">
      <c r="A235" s="19" t="s">
        <v>503</v>
      </c>
      <c r="B235" s="19" t="s">
        <v>504</v>
      </c>
      <c r="C235" s="20" t="str">
        <f>(IMAGE("https://pokedoku-space.nyc3.cdn.digitaloceanspaces.com/resources/pokemon/10283.png", 3))</f>
        <v/>
      </c>
    </row>
    <row r="236" ht="45.0" customHeight="1">
      <c r="A236" s="21" t="s">
        <v>505</v>
      </c>
      <c r="B236" s="19" t="str">
        <f t="shared" ref="B236:B311" si="20">LOWER(A236)</f>
        <v>sentret</v>
      </c>
      <c r="C236" s="20" t="str">
        <f t="shared" ref="C236:C311" si="21">(IMAGE("https://play.pokemonshowdown.com/sprites/gen5/"&amp;B236&amp;".png", 3))</f>
        <v/>
      </c>
    </row>
    <row r="237" ht="45.0" customHeight="1">
      <c r="A237" s="21" t="s">
        <v>506</v>
      </c>
      <c r="B237" s="19" t="str">
        <f t="shared" si="20"/>
        <v>furret</v>
      </c>
      <c r="C237" s="20" t="str">
        <f t="shared" si="21"/>
        <v/>
      </c>
    </row>
    <row r="238" ht="45.0" customHeight="1">
      <c r="A238" s="21" t="s">
        <v>507</v>
      </c>
      <c r="B238" s="19" t="str">
        <f t="shared" si="20"/>
        <v>hoothoot</v>
      </c>
      <c r="C238" s="20" t="str">
        <f t="shared" si="21"/>
        <v/>
      </c>
    </row>
    <row r="239" ht="45.0" customHeight="1">
      <c r="A239" s="21" t="s">
        <v>508</v>
      </c>
      <c r="B239" s="19" t="str">
        <f t="shared" si="20"/>
        <v>noctowl</v>
      </c>
      <c r="C239" s="20" t="str">
        <f t="shared" si="21"/>
        <v/>
      </c>
    </row>
    <row r="240" ht="45.0" customHeight="1">
      <c r="A240" s="21" t="s">
        <v>509</v>
      </c>
      <c r="B240" s="19" t="str">
        <f t="shared" si="20"/>
        <v>ledyba</v>
      </c>
      <c r="C240" s="20" t="str">
        <f t="shared" si="21"/>
        <v/>
      </c>
    </row>
    <row r="241" ht="45.0" customHeight="1">
      <c r="A241" s="21" t="s">
        <v>510</v>
      </c>
      <c r="B241" s="19" t="str">
        <f t="shared" si="20"/>
        <v>ledian</v>
      </c>
      <c r="C241" s="20" t="str">
        <f t="shared" si="21"/>
        <v/>
      </c>
    </row>
    <row r="242" ht="45.0" customHeight="1">
      <c r="A242" s="21" t="s">
        <v>511</v>
      </c>
      <c r="B242" s="19" t="str">
        <f t="shared" si="20"/>
        <v>spinarak</v>
      </c>
      <c r="C242" s="20" t="str">
        <f t="shared" si="21"/>
        <v/>
      </c>
    </row>
    <row r="243" ht="45.0" customHeight="1">
      <c r="A243" s="21" t="s">
        <v>512</v>
      </c>
      <c r="B243" s="19" t="str">
        <f t="shared" si="20"/>
        <v>ariados</v>
      </c>
      <c r="C243" s="20" t="str">
        <f t="shared" si="21"/>
        <v/>
      </c>
    </row>
    <row r="244" ht="45.0" customHeight="1">
      <c r="A244" s="21" t="s">
        <v>513</v>
      </c>
      <c r="B244" s="19" t="str">
        <f t="shared" si="20"/>
        <v>crobat</v>
      </c>
      <c r="C244" s="20" t="str">
        <f t="shared" si="21"/>
        <v/>
      </c>
    </row>
    <row r="245" ht="45.0" customHeight="1">
      <c r="A245" s="21" t="s">
        <v>514</v>
      </c>
      <c r="B245" s="19" t="str">
        <f t="shared" si="20"/>
        <v>chinchou</v>
      </c>
      <c r="C245" s="20" t="str">
        <f t="shared" si="21"/>
        <v/>
      </c>
    </row>
    <row r="246" ht="45.0" customHeight="1">
      <c r="A246" s="21" t="s">
        <v>515</v>
      </c>
      <c r="B246" s="19" t="str">
        <f t="shared" si="20"/>
        <v>lanturn</v>
      </c>
      <c r="C246" s="20" t="str">
        <f t="shared" si="21"/>
        <v/>
      </c>
    </row>
    <row r="247" ht="45.0" customHeight="1">
      <c r="A247" s="21" t="s">
        <v>516</v>
      </c>
      <c r="B247" s="19" t="str">
        <f t="shared" si="20"/>
        <v>pichu</v>
      </c>
      <c r="C247" s="20" t="str">
        <f t="shared" si="21"/>
        <v/>
      </c>
    </row>
    <row r="248" ht="45.0" customHeight="1">
      <c r="A248" s="21" t="s">
        <v>517</v>
      </c>
      <c r="B248" s="19" t="str">
        <f t="shared" si="20"/>
        <v>cleffa</v>
      </c>
      <c r="C248" s="20" t="str">
        <f t="shared" si="21"/>
        <v/>
      </c>
    </row>
    <row r="249" ht="45.0" customHeight="1">
      <c r="A249" s="21" t="s">
        <v>518</v>
      </c>
      <c r="B249" s="19" t="str">
        <f t="shared" si="20"/>
        <v>igglybuff</v>
      </c>
      <c r="C249" s="20" t="str">
        <f t="shared" si="21"/>
        <v/>
      </c>
    </row>
    <row r="250" ht="45.0" customHeight="1">
      <c r="A250" s="21" t="s">
        <v>519</v>
      </c>
      <c r="B250" s="19" t="str">
        <f t="shared" si="20"/>
        <v>togepi</v>
      </c>
      <c r="C250" s="20" t="str">
        <f t="shared" si="21"/>
        <v/>
      </c>
    </row>
    <row r="251" ht="45.0" customHeight="1">
      <c r="A251" s="21" t="s">
        <v>520</v>
      </c>
      <c r="B251" s="19" t="str">
        <f t="shared" si="20"/>
        <v>togetic</v>
      </c>
      <c r="C251" s="20" t="str">
        <f t="shared" si="21"/>
        <v/>
      </c>
    </row>
    <row r="252" ht="45.0" customHeight="1">
      <c r="A252" s="21" t="s">
        <v>521</v>
      </c>
      <c r="B252" s="19" t="str">
        <f t="shared" si="20"/>
        <v>natu</v>
      </c>
      <c r="C252" s="20" t="str">
        <f t="shared" si="21"/>
        <v/>
      </c>
    </row>
    <row r="253" ht="45.0" customHeight="1">
      <c r="A253" s="21" t="s">
        <v>522</v>
      </c>
      <c r="B253" s="19" t="str">
        <f t="shared" si="20"/>
        <v>xatu</v>
      </c>
      <c r="C253" s="20" t="str">
        <f t="shared" si="21"/>
        <v/>
      </c>
    </row>
    <row r="254" ht="45.0" customHeight="1">
      <c r="A254" s="21" t="s">
        <v>523</v>
      </c>
      <c r="B254" s="19" t="str">
        <f t="shared" si="20"/>
        <v>mareep</v>
      </c>
      <c r="C254" s="20" t="str">
        <f t="shared" si="21"/>
        <v/>
      </c>
    </row>
    <row r="255" ht="45.0" customHeight="1">
      <c r="A255" s="21" t="s">
        <v>524</v>
      </c>
      <c r="B255" s="19" t="str">
        <f t="shared" si="20"/>
        <v>flaaffy</v>
      </c>
      <c r="C255" s="20" t="str">
        <f t="shared" si="21"/>
        <v/>
      </c>
    </row>
    <row r="256" ht="45.0" customHeight="1">
      <c r="A256" s="21" t="s">
        <v>525</v>
      </c>
      <c r="B256" s="19" t="str">
        <f t="shared" si="20"/>
        <v>ampharos</v>
      </c>
      <c r="C256" s="20" t="str">
        <f t="shared" si="21"/>
        <v/>
      </c>
    </row>
    <row r="257" ht="45.0" customHeight="1">
      <c r="A257" s="19" t="s">
        <v>526</v>
      </c>
      <c r="B257" s="19" t="str">
        <f t="shared" si="20"/>
        <v>ampharos-mega</v>
      </c>
      <c r="C257" s="20" t="str">
        <f t="shared" si="21"/>
        <v/>
      </c>
    </row>
    <row r="258" ht="45.0" customHeight="1">
      <c r="A258" s="21" t="s">
        <v>527</v>
      </c>
      <c r="B258" s="19" t="str">
        <f t="shared" si="20"/>
        <v>bellossom</v>
      </c>
      <c r="C258" s="20" t="str">
        <f t="shared" si="21"/>
        <v/>
      </c>
    </row>
    <row r="259" ht="45.0" customHeight="1">
      <c r="A259" s="21" t="s">
        <v>529</v>
      </c>
      <c r="B259" s="19" t="str">
        <f t="shared" si="20"/>
        <v>marill</v>
      </c>
      <c r="C259" s="20" t="str">
        <f t="shared" si="21"/>
        <v/>
      </c>
    </row>
    <row r="260" ht="45.0" customHeight="1">
      <c r="A260" s="21" t="s">
        <v>530</v>
      </c>
      <c r="B260" s="19" t="str">
        <f t="shared" si="20"/>
        <v>azumarill</v>
      </c>
      <c r="C260" s="20" t="str">
        <f t="shared" si="21"/>
        <v/>
      </c>
    </row>
    <row r="261" ht="45.0" customHeight="1">
      <c r="A261" s="21" t="s">
        <v>531</v>
      </c>
      <c r="B261" s="19" t="str">
        <f t="shared" si="20"/>
        <v>sudowoodo</v>
      </c>
      <c r="C261" s="20" t="str">
        <f t="shared" si="21"/>
        <v/>
      </c>
    </row>
    <row r="262" ht="45.0" customHeight="1">
      <c r="A262" s="21" t="s">
        <v>535</v>
      </c>
      <c r="B262" s="19" t="str">
        <f t="shared" si="20"/>
        <v>politoed</v>
      </c>
      <c r="C262" s="20" t="str">
        <f t="shared" si="21"/>
        <v/>
      </c>
    </row>
    <row r="263" ht="45.0" customHeight="1">
      <c r="A263" s="21" t="s">
        <v>539</v>
      </c>
      <c r="B263" s="19" t="str">
        <f t="shared" si="20"/>
        <v>hoppip</v>
      </c>
      <c r="C263" s="20" t="str">
        <f t="shared" si="21"/>
        <v/>
      </c>
    </row>
    <row r="264" ht="45.0" customHeight="1">
      <c r="A264" s="21" t="s">
        <v>543</v>
      </c>
      <c r="B264" s="19" t="str">
        <f t="shared" si="20"/>
        <v>skiploom</v>
      </c>
      <c r="C264" s="20" t="str">
        <f t="shared" si="21"/>
        <v/>
      </c>
    </row>
    <row r="265" ht="45.0" customHeight="1">
      <c r="A265" s="21" t="s">
        <v>548</v>
      </c>
      <c r="B265" s="19" t="str">
        <f t="shared" si="20"/>
        <v>jumpluff</v>
      </c>
      <c r="C265" s="20" t="str">
        <f t="shared" si="21"/>
        <v/>
      </c>
    </row>
    <row r="266" ht="45.0" customHeight="1">
      <c r="A266" s="21" t="s">
        <v>551</v>
      </c>
      <c r="B266" s="19" t="str">
        <f t="shared" si="20"/>
        <v>aipom</v>
      </c>
      <c r="C266" s="20" t="str">
        <f t="shared" si="21"/>
        <v/>
      </c>
    </row>
    <row r="267" ht="45.0" customHeight="1">
      <c r="A267" s="21" t="s">
        <v>558</v>
      </c>
      <c r="B267" s="19" t="str">
        <f t="shared" si="20"/>
        <v>sunkern</v>
      </c>
      <c r="C267" s="20" t="str">
        <f t="shared" si="21"/>
        <v/>
      </c>
    </row>
    <row r="268" ht="45.0" customHeight="1">
      <c r="A268" s="21" t="s">
        <v>562</v>
      </c>
      <c r="B268" s="19" t="str">
        <f t="shared" si="20"/>
        <v>sunflora</v>
      </c>
      <c r="C268" s="20" t="str">
        <f t="shared" si="21"/>
        <v/>
      </c>
    </row>
    <row r="269" ht="45.0" customHeight="1">
      <c r="A269" s="21" t="s">
        <v>566</v>
      </c>
      <c r="B269" s="19" t="str">
        <f t="shared" si="20"/>
        <v>yanma</v>
      </c>
      <c r="C269" s="20" t="str">
        <f t="shared" si="21"/>
        <v/>
      </c>
    </row>
    <row r="270" ht="45.0" customHeight="1">
      <c r="A270" s="21" t="s">
        <v>569</v>
      </c>
      <c r="B270" s="19" t="str">
        <f t="shared" si="20"/>
        <v>wooper</v>
      </c>
      <c r="C270" s="20" t="str">
        <f t="shared" si="21"/>
        <v/>
      </c>
    </row>
    <row r="271" ht="45.0" customHeight="1">
      <c r="A271" s="19" t="s">
        <v>575</v>
      </c>
      <c r="B271" s="19" t="str">
        <f t="shared" si="20"/>
        <v>wooper-paldea</v>
      </c>
      <c r="C271" s="20" t="str">
        <f t="shared" si="21"/>
        <v/>
      </c>
    </row>
    <row r="272" ht="45.0" customHeight="1">
      <c r="A272" s="21" t="s">
        <v>579</v>
      </c>
      <c r="B272" s="19" t="str">
        <f t="shared" si="20"/>
        <v>quagsire</v>
      </c>
      <c r="C272" s="20" t="str">
        <f t="shared" si="21"/>
        <v/>
      </c>
    </row>
    <row r="273" ht="45.0" customHeight="1">
      <c r="A273" s="21" t="s">
        <v>583</v>
      </c>
      <c r="B273" s="19" t="str">
        <f t="shared" si="20"/>
        <v>espeon</v>
      </c>
      <c r="C273" s="20" t="str">
        <f t="shared" si="21"/>
        <v/>
      </c>
    </row>
    <row r="274" ht="45.0" customHeight="1">
      <c r="A274" s="21" t="s">
        <v>586</v>
      </c>
      <c r="B274" s="19" t="str">
        <f t="shared" si="20"/>
        <v>umbreon</v>
      </c>
      <c r="C274" s="20" t="str">
        <f t="shared" si="21"/>
        <v/>
      </c>
    </row>
    <row r="275" ht="45.0" customHeight="1">
      <c r="A275" s="21" t="s">
        <v>590</v>
      </c>
      <c r="B275" s="19" t="str">
        <f t="shared" si="20"/>
        <v>murkrow</v>
      </c>
      <c r="C275" s="20" t="str">
        <f t="shared" si="21"/>
        <v/>
      </c>
    </row>
    <row r="276" ht="45.0" customHeight="1">
      <c r="A276" s="21" t="s">
        <v>592</v>
      </c>
      <c r="B276" s="19" t="str">
        <f t="shared" si="20"/>
        <v>slowking</v>
      </c>
      <c r="C276" s="20" t="str">
        <f t="shared" si="21"/>
        <v/>
      </c>
    </row>
    <row r="277" ht="45.0" customHeight="1">
      <c r="A277" s="43" t="s">
        <v>593</v>
      </c>
      <c r="B277" s="19" t="str">
        <f t="shared" si="20"/>
        <v>slowking-galar</v>
      </c>
      <c r="C277" s="20" t="str">
        <f t="shared" si="21"/>
        <v/>
      </c>
    </row>
    <row r="278" ht="45.0" customHeight="1">
      <c r="A278" s="21" t="s">
        <v>595</v>
      </c>
      <c r="B278" s="19" t="str">
        <f t="shared" si="20"/>
        <v>misdreavus</v>
      </c>
      <c r="C278" s="20" t="str">
        <f t="shared" si="21"/>
        <v/>
      </c>
    </row>
    <row r="279" ht="45.0" customHeight="1">
      <c r="A279" s="21" t="s">
        <v>596</v>
      </c>
      <c r="B279" s="19" t="str">
        <f t="shared" si="20"/>
        <v>unown</v>
      </c>
      <c r="C279" s="20" t="str">
        <f t="shared" si="21"/>
        <v/>
      </c>
    </row>
    <row r="280" ht="45.0" customHeight="1">
      <c r="A280" s="21" t="s">
        <v>597</v>
      </c>
      <c r="B280" s="19" t="str">
        <f t="shared" si="20"/>
        <v>wobbuffet</v>
      </c>
      <c r="C280" s="20" t="str">
        <f t="shared" si="21"/>
        <v/>
      </c>
    </row>
    <row r="281" ht="45.0" customHeight="1">
      <c r="A281" s="21" t="s">
        <v>598</v>
      </c>
      <c r="B281" s="19" t="str">
        <f t="shared" si="20"/>
        <v>girafarig</v>
      </c>
      <c r="C281" s="20" t="str">
        <f t="shared" si="21"/>
        <v/>
      </c>
    </row>
    <row r="282" ht="45.0" customHeight="1">
      <c r="A282" s="21" t="s">
        <v>599</v>
      </c>
      <c r="B282" s="19" t="str">
        <f t="shared" si="20"/>
        <v>pineco</v>
      </c>
      <c r="C282" s="20" t="str">
        <f t="shared" si="21"/>
        <v/>
      </c>
    </row>
    <row r="283" ht="45.0" customHeight="1">
      <c r="A283" s="21" t="s">
        <v>600</v>
      </c>
      <c r="B283" s="19" t="str">
        <f t="shared" si="20"/>
        <v>forretress</v>
      </c>
      <c r="C283" s="20" t="str">
        <f t="shared" si="21"/>
        <v/>
      </c>
    </row>
    <row r="284" ht="45.0" customHeight="1">
      <c r="A284" s="21" t="s">
        <v>601</v>
      </c>
      <c r="B284" s="19" t="str">
        <f t="shared" si="20"/>
        <v>dunsparce</v>
      </c>
      <c r="C284" s="20" t="str">
        <f t="shared" si="21"/>
        <v/>
      </c>
    </row>
    <row r="285" ht="45.0" customHeight="1">
      <c r="A285" s="21" t="s">
        <v>602</v>
      </c>
      <c r="B285" s="19" t="str">
        <f t="shared" si="20"/>
        <v>gligar</v>
      </c>
      <c r="C285" s="20" t="str">
        <f t="shared" si="21"/>
        <v/>
      </c>
    </row>
    <row r="286" ht="45.0" customHeight="1">
      <c r="A286" s="21" t="s">
        <v>603</v>
      </c>
      <c r="B286" s="19" t="str">
        <f t="shared" si="20"/>
        <v>steelix</v>
      </c>
      <c r="C286" s="20" t="str">
        <f t="shared" si="21"/>
        <v/>
      </c>
    </row>
    <row r="287" ht="45.0" customHeight="1">
      <c r="A287" s="19" t="s">
        <v>604</v>
      </c>
      <c r="B287" s="19" t="str">
        <f t="shared" si="20"/>
        <v>steelix-mega</v>
      </c>
      <c r="C287" s="20" t="str">
        <f t="shared" si="21"/>
        <v/>
      </c>
    </row>
    <row r="288" ht="45.0" customHeight="1">
      <c r="A288" s="21" t="s">
        <v>605</v>
      </c>
      <c r="B288" s="19" t="str">
        <f t="shared" si="20"/>
        <v>snubbull</v>
      </c>
      <c r="C288" s="20" t="str">
        <f t="shared" si="21"/>
        <v/>
      </c>
    </row>
    <row r="289" ht="45.0" customHeight="1">
      <c r="A289" s="21" t="s">
        <v>606</v>
      </c>
      <c r="B289" s="19" t="str">
        <f t="shared" si="20"/>
        <v>granbull</v>
      </c>
      <c r="C289" s="20" t="str">
        <f t="shared" si="21"/>
        <v/>
      </c>
    </row>
    <row r="290" ht="45.0" customHeight="1">
      <c r="A290" s="21" t="s">
        <v>607</v>
      </c>
      <c r="B290" s="19" t="str">
        <f t="shared" si="20"/>
        <v>qwilfish</v>
      </c>
      <c r="C290" s="20" t="str">
        <f t="shared" si="21"/>
        <v/>
      </c>
    </row>
    <row r="291" ht="45.0" customHeight="1">
      <c r="A291" s="43" t="s">
        <v>608</v>
      </c>
      <c r="B291" s="19" t="str">
        <f t="shared" si="20"/>
        <v>qwilfish-hisui</v>
      </c>
      <c r="C291" s="20" t="str">
        <f t="shared" si="21"/>
        <v/>
      </c>
    </row>
    <row r="292" ht="45.0" customHeight="1">
      <c r="A292" s="21" t="s">
        <v>609</v>
      </c>
      <c r="B292" s="19" t="str">
        <f t="shared" si="20"/>
        <v>scizor</v>
      </c>
      <c r="C292" s="20" t="str">
        <f t="shared" si="21"/>
        <v/>
      </c>
    </row>
    <row r="293" ht="45.0" customHeight="1">
      <c r="A293" s="19" t="s">
        <v>610</v>
      </c>
      <c r="B293" s="19" t="str">
        <f t="shared" si="20"/>
        <v>scizor-mega</v>
      </c>
      <c r="C293" s="20" t="str">
        <f t="shared" si="21"/>
        <v/>
      </c>
    </row>
    <row r="294" ht="45.0" customHeight="1">
      <c r="A294" s="21" t="s">
        <v>611</v>
      </c>
      <c r="B294" s="19" t="str">
        <f t="shared" si="20"/>
        <v>shuckle</v>
      </c>
      <c r="C294" s="20" t="str">
        <f t="shared" si="21"/>
        <v/>
      </c>
    </row>
    <row r="295" ht="45.0" customHeight="1">
      <c r="A295" s="21" t="s">
        <v>612</v>
      </c>
      <c r="B295" s="19" t="str">
        <f t="shared" si="20"/>
        <v>heracross</v>
      </c>
      <c r="C295" s="20" t="str">
        <f t="shared" si="21"/>
        <v/>
      </c>
    </row>
    <row r="296" ht="45.0" customHeight="1">
      <c r="A296" s="19" t="s">
        <v>613</v>
      </c>
      <c r="B296" s="19" t="str">
        <f t="shared" si="20"/>
        <v>heracross-mega</v>
      </c>
      <c r="C296" s="20" t="str">
        <f t="shared" si="21"/>
        <v/>
      </c>
    </row>
    <row r="297" ht="45.0" customHeight="1">
      <c r="A297" s="21" t="s">
        <v>614</v>
      </c>
      <c r="B297" s="19" t="str">
        <f t="shared" si="20"/>
        <v>sneasel</v>
      </c>
      <c r="C297" s="20" t="str">
        <f t="shared" si="21"/>
        <v/>
      </c>
    </row>
    <row r="298" ht="45.0" customHeight="1">
      <c r="A298" s="43" t="s">
        <v>615</v>
      </c>
      <c r="B298" s="19" t="str">
        <f t="shared" si="20"/>
        <v>sneasel-hisui</v>
      </c>
      <c r="C298" s="20" t="str">
        <f t="shared" si="21"/>
        <v/>
      </c>
    </row>
    <row r="299" ht="45.0" customHeight="1">
      <c r="A299" s="21" t="s">
        <v>616</v>
      </c>
      <c r="B299" s="19" t="str">
        <f t="shared" si="20"/>
        <v>teddiursa</v>
      </c>
      <c r="C299" s="20" t="str">
        <f t="shared" si="21"/>
        <v/>
      </c>
    </row>
    <row r="300" ht="45.0" customHeight="1">
      <c r="A300" s="21" t="s">
        <v>447</v>
      </c>
      <c r="B300" s="19" t="str">
        <f t="shared" si="20"/>
        <v>ursaring</v>
      </c>
      <c r="C300" s="20" t="str">
        <f t="shared" si="21"/>
        <v/>
      </c>
    </row>
    <row r="301" ht="45.0" customHeight="1">
      <c r="A301" s="21" t="s">
        <v>617</v>
      </c>
      <c r="B301" s="19" t="str">
        <f t="shared" si="20"/>
        <v>slugma</v>
      </c>
      <c r="C301" s="20" t="str">
        <f t="shared" si="21"/>
        <v/>
      </c>
    </row>
    <row r="302" ht="45.0" customHeight="1">
      <c r="A302" s="21" t="s">
        <v>618</v>
      </c>
      <c r="B302" s="19" t="str">
        <f t="shared" si="20"/>
        <v>magcargo</v>
      </c>
      <c r="C302" s="20" t="str">
        <f t="shared" si="21"/>
        <v/>
      </c>
    </row>
    <row r="303" ht="45.0" customHeight="1">
      <c r="A303" s="21" t="s">
        <v>619</v>
      </c>
      <c r="B303" s="19" t="str">
        <f t="shared" si="20"/>
        <v>swinub</v>
      </c>
      <c r="C303" s="20" t="str">
        <f t="shared" si="21"/>
        <v/>
      </c>
    </row>
    <row r="304" ht="45.0" customHeight="1">
      <c r="A304" s="21" t="s">
        <v>620</v>
      </c>
      <c r="B304" s="19" t="str">
        <f t="shared" si="20"/>
        <v>piloswine</v>
      </c>
      <c r="C304" s="20" t="str">
        <f t="shared" si="21"/>
        <v/>
      </c>
    </row>
    <row r="305" ht="45.0" customHeight="1">
      <c r="A305" s="21" t="s">
        <v>621</v>
      </c>
      <c r="B305" s="19" t="str">
        <f t="shared" si="20"/>
        <v>corsola</v>
      </c>
      <c r="C305" s="20" t="str">
        <f t="shared" si="21"/>
        <v/>
      </c>
    </row>
    <row r="306" ht="45.0" customHeight="1">
      <c r="A306" s="19" t="s">
        <v>622</v>
      </c>
      <c r="B306" s="19" t="str">
        <f t="shared" si="20"/>
        <v>corsola-galar</v>
      </c>
      <c r="C306" s="20" t="str">
        <f t="shared" si="21"/>
        <v/>
      </c>
    </row>
    <row r="307" ht="45.0" customHeight="1">
      <c r="A307" s="21" t="s">
        <v>623</v>
      </c>
      <c r="B307" s="19" t="str">
        <f t="shared" si="20"/>
        <v>remoraid</v>
      </c>
      <c r="C307" s="20" t="str">
        <f t="shared" si="21"/>
        <v/>
      </c>
    </row>
    <row r="308" ht="45.0" customHeight="1">
      <c r="A308" s="21" t="s">
        <v>624</v>
      </c>
      <c r="B308" s="19" t="str">
        <f t="shared" si="20"/>
        <v>octillery</v>
      </c>
      <c r="C308" s="20" t="str">
        <f t="shared" si="21"/>
        <v/>
      </c>
    </row>
    <row r="309" ht="45.0" customHeight="1">
      <c r="A309" s="21" t="s">
        <v>625</v>
      </c>
      <c r="B309" s="19" t="str">
        <f t="shared" si="20"/>
        <v>delibird</v>
      </c>
      <c r="C309" s="20" t="str">
        <f t="shared" si="21"/>
        <v/>
      </c>
    </row>
    <row r="310" ht="45.0" customHeight="1">
      <c r="A310" s="21" t="s">
        <v>626</v>
      </c>
      <c r="B310" s="19" t="str">
        <f t="shared" si="20"/>
        <v>mantine</v>
      </c>
      <c r="C310" s="20" t="str">
        <f t="shared" si="21"/>
        <v/>
      </c>
    </row>
    <row r="311" ht="45.0" customHeight="1">
      <c r="A311" s="21" t="s">
        <v>627</v>
      </c>
      <c r="B311" s="19" t="str">
        <f t="shared" si="20"/>
        <v>skarmory</v>
      </c>
      <c r="C311" s="20" t="str">
        <f t="shared" si="21"/>
        <v/>
      </c>
    </row>
    <row r="312" ht="45.0" customHeight="1">
      <c r="A312" s="19" t="s">
        <v>628</v>
      </c>
      <c r="B312" s="19" t="s">
        <v>629</v>
      </c>
      <c r="C312" s="20" t="str">
        <f>(IMAGE("https://pokedoku-space.nyc3.cdn.digitaloceanspaces.com/resources/pokemon/10284.png", 3))</f>
        <v/>
      </c>
    </row>
    <row r="313" ht="45.0" customHeight="1">
      <c r="A313" s="21" t="s">
        <v>630</v>
      </c>
      <c r="B313" s="19" t="str">
        <f t="shared" ref="B313:B336" si="22">LOWER(A313)</f>
        <v>houndour</v>
      </c>
      <c r="C313" s="20" t="str">
        <f t="shared" ref="C313:C460" si="23">(IMAGE("https://play.pokemonshowdown.com/sprites/gen5/"&amp;B313&amp;".png", 3))</f>
        <v/>
      </c>
    </row>
    <row r="314" ht="45.0" customHeight="1">
      <c r="A314" s="21" t="s">
        <v>631</v>
      </c>
      <c r="B314" s="19" t="str">
        <f t="shared" si="22"/>
        <v>houndoom</v>
      </c>
      <c r="C314" s="20" t="str">
        <f t="shared" si="23"/>
        <v/>
      </c>
    </row>
    <row r="315" ht="45.0" customHeight="1">
      <c r="A315" s="19" t="s">
        <v>632</v>
      </c>
      <c r="B315" s="19" t="str">
        <f t="shared" si="22"/>
        <v>houndoom-mega</v>
      </c>
      <c r="C315" s="20" t="str">
        <f t="shared" si="23"/>
        <v/>
      </c>
    </row>
    <row r="316" ht="45.0" customHeight="1">
      <c r="A316" s="21" t="s">
        <v>633</v>
      </c>
      <c r="B316" s="19" t="str">
        <f t="shared" si="22"/>
        <v>kingdra</v>
      </c>
      <c r="C316" s="20" t="str">
        <f t="shared" si="23"/>
        <v/>
      </c>
    </row>
    <row r="317" ht="45.0" customHeight="1">
      <c r="A317" s="21" t="s">
        <v>634</v>
      </c>
      <c r="B317" s="19" t="str">
        <f t="shared" si="22"/>
        <v>phanpy</v>
      </c>
      <c r="C317" s="20" t="str">
        <f t="shared" si="23"/>
        <v/>
      </c>
    </row>
    <row r="318" ht="45.0" customHeight="1">
      <c r="A318" s="21" t="s">
        <v>635</v>
      </c>
      <c r="B318" s="19" t="str">
        <f t="shared" si="22"/>
        <v>donphan</v>
      </c>
      <c r="C318" s="20" t="str">
        <f t="shared" si="23"/>
        <v/>
      </c>
    </row>
    <row r="319" ht="45.0" customHeight="1">
      <c r="A319" s="21" t="s">
        <v>636</v>
      </c>
      <c r="B319" s="19" t="str">
        <f t="shared" si="22"/>
        <v>porygon2</v>
      </c>
      <c r="C319" s="20" t="str">
        <f t="shared" si="23"/>
        <v/>
      </c>
    </row>
    <row r="320" ht="45.0" customHeight="1">
      <c r="A320" s="21" t="s">
        <v>637</v>
      </c>
      <c r="B320" s="19" t="str">
        <f t="shared" si="22"/>
        <v>stantler</v>
      </c>
      <c r="C320" s="20" t="str">
        <f t="shared" si="23"/>
        <v/>
      </c>
    </row>
    <row r="321" ht="45.0" customHeight="1">
      <c r="A321" s="21" t="s">
        <v>638</v>
      </c>
      <c r="B321" s="19" t="str">
        <f t="shared" si="22"/>
        <v>smeargle</v>
      </c>
      <c r="C321" s="20" t="str">
        <f t="shared" si="23"/>
        <v/>
      </c>
    </row>
    <row r="322" ht="45.0" customHeight="1">
      <c r="A322" s="21" t="s">
        <v>640</v>
      </c>
      <c r="B322" s="19" t="str">
        <f t="shared" si="22"/>
        <v>tyrogue</v>
      </c>
      <c r="C322" s="20" t="str">
        <f t="shared" si="23"/>
        <v/>
      </c>
    </row>
    <row r="323" ht="45.0" customHeight="1">
      <c r="A323" s="21" t="s">
        <v>641</v>
      </c>
      <c r="B323" s="19" t="str">
        <f t="shared" si="22"/>
        <v>hitmontop</v>
      </c>
      <c r="C323" s="20" t="str">
        <f t="shared" si="23"/>
        <v/>
      </c>
    </row>
    <row r="324" ht="45.0" customHeight="1">
      <c r="A324" s="21" t="s">
        <v>642</v>
      </c>
      <c r="B324" s="19" t="str">
        <f t="shared" si="22"/>
        <v>smoochum</v>
      </c>
      <c r="C324" s="20" t="str">
        <f t="shared" si="23"/>
        <v/>
      </c>
    </row>
    <row r="325" ht="45.0" customHeight="1">
      <c r="A325" s="21" t="s">
        <v>643</v>
      </c>
      <c r="B325" s="19" t="str">
        <f t="shared" si="22"/>
        <v>elekid</v>
      </c>
      <c r="C325" s="20" t="str">
        <f t="shared" si="23"/>
        <v/>
      </c>
    </row>
    <row r="326" ht="45.0" customHeight="1">
      <c r="A326" s="21" t="s">
        <v>646</v>
      </c>
      <c r="B326" s="19" t="str">
        <f t="shared" si="22"/>
        <v>magby</v>
      </c>
      <c r="C326" s="20" t="str">
        <f t="shared" si="23"/>
        <v/>
      </c>
    </row>
    <row r="327" ht="45.0" customHeight="1">
      <c r="A327" s="21" t="s">
        <v>649</v>
      </c>
      <c r="B327" s="19" t="str">
        <f t="shared" si="22"/>
        <v>miltank</v>
      </c>
      <c r="C327" s="20" t="str">
        <f t="shared" si="23"/>
        <v/>
      </c>
    </row>
    <row r="328" ht="45.0" customHeight="1">
      <c r="A328" s="21" t="s">
        <v>650</v>
      </c>
      <c r="B328" s="19" t="str">
        <f t="shared" si="22"/>
        <v>blissey</v>
      </c>
      <c r="C328" s="20" t="str">
        <f t="shared" si="23"/>
        <v/>
      </c>
    </row>
    <row r="329" ht="45.0" customHeight="1">
      <c r="A329" s="21" t="s">
        <v>651</v>
      </c>
      <c r="B329" s="19" t="str">
        <f t="shared" si="22"/>
        <v>raikou</v>
      </c>
      <c r="C329" s="20" t="str">
        <f t="shared" si="23"/>
        <v/>
      </c>
    </row>
    <row r="330" ht="45.0" customHeight="1">
      <c r="A330" s="21" t="s">
        <v>653</v>
      </c>
      <c r="B330" s="19" t="str">
        <f t="shared" si="22"/>
        <v>entei</v>
      </c>
      <c r="C330" s="20" t="str">
        <f t="shared" si="23"/>
        <v/>
      </c>
    </row>
    <row r="331" ht="45.0" customHeight="1">
      <c r="A331" s="21" t="s">
        <v>655</v>
      </c>
      <c r="B331" s="19" t="str">
        <f t="shared" si="22"/>
        <v>suicune</v>
      </c>
      <c r="C331" s="20" t="str">
        <f t="shared" si="23"/>
        <v/>
      </c>
    </row>
    <row r="332" ht="45.0" customHeight="1">
      <c r="A332" s="21" t="s">
        <v>656</v>
      </c>
      <c r="B332" s="19" t="str">
        <f t="shared" si="22"/>
        <v>larvitar</v>
      </c>
      <c r="C332" s="20" t="str">
        <f t="shared" si="23"/>
        <v/>
      </c>
    </row>
    <row r="333" ht="45.0" customHeight="1">
      <c r="A333" s="21" t="s">
        <v>658</v>
      </c>
      <c r="B333" s="19" t="str">
        <f t="shared" si="22"/>
        <v>pupitar</v>
      </c>
      <c r="C333" s="20" t="str">
        <f t="shared" si="23"/>
        <v/>
      </c>
    </row>
    <row r="334" ht="45.0" customHeight="1">
      <c r="A334" s="21" t="s">
        <v>660</v>
      </c>
      <c r="B334" s="19" t="str">
        <f t="shared" si="22"/>
        <v>tyranitar</v>
      </c>
      <c r="C334" s="20" t="str">
        <f t="shared" si="23"/>
        <v/>
      </c>
    </row>
    <row r="335" ht="45.0" customHeight="1">
      <c r="A335" s="19" t="s">
        <v>661</v>
      </c>
      <c r="B335" s="19" t="str">
        <f t="shared" si="22"/>
        <v>tyranitar-mega</v>
      </c>
      <c r="C335" s="20" t="str">
        <f t="shared" si="23"/>
        <v/>
      </c>
    </row>
    <row r="336" ht="45.0" customHeight="1">
      <c r="A336" s="21" t="s">
        <v>662</v>
      </c>
      <c r="B336" s="19" t="str">
        <f t="shared" si="22"/>
        <v>lugia</v>
      </c>
      <c r="C336" s="20" t="str">
        <f t="shared" si="23"/>
        <v/>
      </c>
    </row>
    <row r="337" ht="45.0" customHeight="1">
      <c r="A337" s="21" t="s">
        <v>663</v>
      </c>
      <c r="B337" s="19" t="s">
        <v>664</v>
      </c>
      <c r="C337" s="20" t="str">
        <f t="shared" si="23"/>
        <v/>
      </c>
    </row>
    <row r="338" ht="45.0" customHeight="1">
      <c r="A338" s="21" t="s">
        <v>666</v>
      </c>
      <c r="B338" s="19" t="str">
        <f t="shared" ref="B338:B460" si="24">LOWER(A338)</f>
        <v>celebi</v>
      </c>
      <c r="C338" s="20" t="str">
        <f t="shared" si="23"/>
        <v/>
      </c>
    </row>
    <row r="339" ht="45.0" customHeight="1">
      <c r="A339" s="21" t="s">
        <v>667</v>
      </c>
      <c r="B339" s="19" t="str">
        <f t="shared" si="24"/>
        <v>treecko</v>
      </c>
      <c r="C339" s="20" t="str">
        <f t="shared" si="23"/>
        <v/>
      </c>
    </row>
    <row r="340" ht="45.0" customHeight="1">
      <c r="A340" s="21" t="s">
        <v>669</v>
      </c>
      <c r="B340" s="19" t="str">
        <f t="shared" si="24"/>
        <v>grovyle</v>
      </c>
      <c r="C340" s="20" t="str">
        <f t="shared" si="23"/>
        <v/>
      </c>
    </row>
    <row r="341" ht="45.0" customHeight="1">
      <c r="A341" s="21" t="s">
        <v>671</v>
      </c>
      <c r="B341" s="19" t="str">
        <f t="shared" si="24"/>
        <v>sceptile</v>
      </c>
      <c r="C341" s="20" t="str">
        <f t="shared" si="23"/>
        <v/>
      </c>
    </row>
    <row r="342" ht="45.0" customHeight="1">
      <c r="A342" s="19" t="s">
        <v>672</v>
      </c>
      <c r="B342" s="19" t="str">
        <f t="shared" si="24"/>
        <v>sceptile-mega</v>
      </c>
      <c r="C342" s="20" t="str">
        <f t="shared" si="23"/>
        <v/>
      </c>
    </row>
    <row r="343" ht="45.0" customHeight="1">
      <c r="A343" s="21" t="s">
        <v>673</v>
      </c>
      <c r="B343" s="19" t="str">
        <f t="shared" si="24"/>
        <v>torchic</v>
      </c>
      <c r="C343" s="20" t="str">
        <f t="shared" si="23"/>
        <v/>
      </c>
    </row>
    <row r="344" ht="45.0" customHeight="1">
      <c r="A344" s="21" t="s">
        <v>674</v>
      </c>
      <c r="B344" s="19" t="str">
        <f t="shared" si="24"/>
        <v>combusken</v>
      </c>
      <c r="C344" s="20" t="str">
        <f t="shared" si="23"/>
        <v/>
      </c>
    </row>
    <row r="345" ht="45.0" customHeight="1">
      <c r="A345" s="21" t="s">
        <v>676</v>
      </c>
      <c r="B345" s="19" t="str">
        <f t="shared" si="24"/>
        <v>blaziken</v>
      </c>
      <c r="C345" s="20" t="str">
        <f t="shared" si="23"/>
        <v/>
      </c>
    </row>
    <row r="346" ht="45.0" customHeight="1">
      <c r="A346" s="19" t="s">
        <v>678</v>
      </c>
      <c r="B346" s="19" t="str">
        <f t="shared" si="24"/>
        <v>blaziken-mega</v>
      </c>
      <c r="C346" s="20" t="str">
        <f t="shared" si="23"/>
        <v/>
      </c>
    </row>
    <row r="347" ht="45.0" customHeight="1">
      <c r="A347" s="21" t="s">
        <v>682</v>
      </c>
      <c r="B347" s="19" t="str">
        <f t="shared" si="24"/>
        <v>mudkip</v>
      </c>
      <c r="C347" s="20" t="str">
        <f t="shared" si="23"/>
        <v/>
      </c>
    </row>
    <row r="348" ht="45.0" customHeight="1">
      <c r="A348" s="21" t="s">
        <v>684</v>
      </c>
      <c r="B348" s="19" t="str">
        <f t="shared" si="24"/>
        <v>marshtomp</v>
      </c>
      <c r="C348" s="20" t="str">
        <f t="shared" si="23"/>
        <v/>
      </c>
    </row>
    <row r="349" ht="45.0" customHeight="1">
      <c r="A349" s="21" t="s">
        <v>686</v>
      </c>
      <c r="B349" s="19" t="str">
        <f t="shared" si="24"/>
        <v>swampert</v>
      </c>
      <c r="C349" s="20" t="str">
        <f t="shared" si="23"/>
        <v/>
      </c>
    </row>
    <row r="350" ht="45.0" customHeight="1">
      <c r="A350" s="19" t="s">
        <v>688</v>
      </c>
      <c r="B350" s="19" t="str">
        <f t="shared" si="24"/>
        <v>swampert-mega</v>
      </c>
      <c r="C350" s="20" t="str">
        <f t="shared" si="23"/>
        <v/>
      </c>
    </row>
    <row r="351" ht="45.0" customHeight="1">
      <c r="A351" s="21" t="s">
        <v>691</v>
      </c>
      <c r="B351" s="19" t="str">
        <f t="shared" si="24"/>
        <v>poochyena</v>
      </c>
      <c r="C351" s="20" t="str">
        <f t="shared" si="23"/>
        <v/>
      </c>
    </row>
    <row r="352" ht="45.0" customHeight="1">
      <c r="A352" s="21" t="s">
        <v>693</v>
      </c>
      <c r="B352" s="19" t="str">
        <f t="shared" si="24"/>
        <v>mightyena</v>
      </c>
      <c r="C352" s="20" t="str">
        <f t="shared" si="23"/>
        <v/>
      </c>
    </row>
    <row r="353" ht="45.0" customHeight="1">
      <c r="A353" s="21" t="s">
        <v>696</v>
      </c>
      <c r="B353" s="19" t="str">
        <f t="shared" si="24"/>
        <v>zigzagoon</v>
      </c>
      <c r="C353" s="20" t="str">
        <f t="shared" si="23"/>
        <v/>
      </c>
    </row>
    <row r="354" ht="45.0" customHeight="1">
      <c r="A354" s="19" t="s">
        <v>699</v>
      </c>
      <c r="B354" s="19" t="str">
        <f t="shared" si="24"/>
        <v>zigzagoon-galar</v>
      </c>
      <c r="C354" s="20" t="str">
        <f t="shared" si="23"/>
        <v/>
      </c>
    </row>
    <row r="355" ht="45.0" customHeight="1">
      <c r="A355" s="21" t="s">
        <v>194</v>
      </c>
      <c r="B355" s="19" t="str">
        <f t="shared" si="24"/>
        <v>linoone</v>
      </c>
      <c r="C355" s="20" t="str">
        <f t="shared" si="23"/>
        <v/>
      </c>
    </row>
    <row r="356" ht="45.0" customHeight="1">
      <c r="A356" s="19" t="s">
        <v>704</v>
      </c>
      <c r="B356" s="19" t="str">
        <f t="shared" si="24"/>
        <v>linoone-galar</v>
      </c>
      <c r="C356" s="20" t="str">
        <f t="shared" si="23"/>
        <v/>
      </c>
    </row>
    <row r="357" ht="45.0" customHeight="1">
      <c r="A357" s="21" t="s">
        <v>706</v>
      </c>
      <c r="B357" s="19" t="str">
        <f t="shared" si="24"/>
        <v>wurmple</v>
      </c>
      <c r="C357" s="20" t="str">
        <f t="shared" si="23"/>
        <v/>
      </c>
    </row>
    <row r="358" ht="45.0" customHeight="1">
      <c r="A358" s="21" t="s">
        <v>707</v>
      </c>
      <c r="B358" s="19" t="str">
        <f t="shared" si="24"/>
        <v>silcoon</v>
      </c>
      <c r="C358" s="20" t="str">
        <f t="shared" si="23"/>
        <v/>
      </c>
    </row>
    <row r="359" ht="45.0" customHeight="1">
      <c r="A359" s="21" t="s">
        <v>708</v>
      </c>
      <c r="B359" s="19" t="str">
        <f t="shared" si="24"/>
        <v>beautifly</v>
      </c>
      <c r="C359" s="20" t="str">
        <f t="shared" si="23"/>
        <v/>
      </c>
    </row>
    <row r="360" ht="45.0" customHeight="1">
      <c r="A360" s="21" t="s">
        <v>709</v>
      </c>
      <c r="B360" s="19" t="str">
        <f t="shared" si="24"/>
        <v>cascoon</v>
      </c>
      <c r="C360" s="20" t="str">
        <f t="shared" si="23"/>
        <v/>
      </c>
    </row>
    <row r="361" ht="45.0" customHeight="1">
      <c r="A361" s="21" t="s">
        <v>710</v>
      </c>
      <c r="B361" s="19" t="str">
        <f t="shared" si="24"/>
        <v>dustox</v>
      </c>
      <c r="C361" s="20" t="str">
        <f t="shared" si="23"/>
        <v/>
      </c>
    </row>
    <row r="362" ht="45.0" customHeight="1">
      <c r="A362" s="21" t="s">
        <v>711</v>
      </c>
      <c r="B362" s="19" t="str">
        <f t="shared" si="24"/>
        <v>lotad</v>
      </c>
      <c r="C362" s="20" t="str">
        <f t="shared" si="23"/>
        <v/>
      </c>
    </row>
    <row r="363" ht="45.0" customHeight="1">
      <c r="A363" s="21" t="s">
        <v>712</v>
      </c>
      <c r="B363" s="19" t="str">
        <f t="shared" si="24"/>
        <v>lombre</v>
      </c>
      <c r="C363" s="20" t="str">
        <f t="shared" si="23"/>
        <v/>
      </c>
    </row>
    <row r="364" ht="45.0" customHeight="1">
      <c r="A364" s="21" t="s">
        <v>713</v>
      </c>
      <c r="B364" s="19" t="str">
        <f t="shared" si="24"/>
        <v>ludicolo</v>
      </c>
      <c r="C364" s="20" t="str">
        <f t="shared" si="23"/>
        <v/>
      </c>
    </row>
    <row r="365" ht="45.0" customHeight="1">
      <c r="A365" s="21" t="s">
        <v>714</v>
      </c>
      <c r="B365" s="19" t="str">
        <f t="shared" si="24"/>
        <v>seedot</v>
      </c>
      <c r="C365" s="20" t="str">
        <f t="shared" si="23"/>
        <v/>
      </c>
    </row>
    <row r="366" ht="45.0" customHeight="1">
      <c r="A366" s="21" t="s">
        <v>715</v>
      </c>
      <c r="B366" s="19" t="str">
        <f t="shared" si="24"/>
        <v>nuzleaf</v>
      </c>
      <c r="C366" s="20" t="str">
        <f t="shared" si="23"/>
        <v/>
      </c>
    </row>
    <row r="367" ht="45.0" customHeight="1">
      <c r="A367" s="21" t="s">
        <v>716</v>
      </c>
      <c r="B367" s="19" t="str">
        <f t="shared" si="24"/>
        <v>shiftry</v>
      </c>
      <c r="C367" s="20" t="str">
        <f t="shared" si="23"/>
        <v/>
      </c>
    </row>
    <row r="368" ht="45.0" customHeight="1">
      <c r="A368" s="21" t="s">
        <v>717</v>
      </c>
      <c r="B368" s="19" t="str">
        <f t="shared" si="24"/>
        <v>taillow</v>
      </c>
      <c r="C368" s="20" t="str">
        <f t="shared" si="23"/>
        <v/>
      </c>
    </row>
    <row r="369" ht="45.0" customHeight="1">
      <c r="A369" s="21" t="s">
        <v>718</v>
      </c>
      <c r="B369" s="19" t="str">
        <f t="shared" si="24"/>
        <v>swellow</v>
      </c>
      <c r="C369" s="20" t="str">
        <f t="shared" si="23"/>
        <v/>
      </c>
    </row>
    <row r="370" ht="45.0" customHeight="1">
      <c r="A370" s="21" t="s">
        <v>719</v>
      </c>
      <c r="B370" s="19" t="str">
        <f t="shared" si="24"/>
        <v>wingull</v>
      </c>
      <c r="C370" s="20" t="str">
        <f t="shared" si="23"/>
        <v/>
      </c>
    </row>
    <row r="371" ht="45.0" customHeight="1">
      <c r="A371" s="21" t="s">
        <v>720</v>
      </c>
      <c r="B371" s="19" t="str">
        <f t="shared" si="24"/>
        <v>pelipper</v>
      </c>
      <c r="C371" s="20" t="str">
        <f t="shared" si="23"/>
        <v/>
      </c>
    </row>
    <row r="372" ht="45.0" customHeight="1">
      <c r="A372" s="21" t="s">
        <v>721</v>
      </c>
      <c r="B372" s="19" t="str">
        <f t="shared" si="24"/>
        <v>ralts</v>
      </c>
      <c r="C372" s="20" t="str">
        <f t="shared" si="23"/>
        <v/>
      </c>
    </row>
    <row r="373" ht="45.0" customHeight="1">
      <c r="A373" s="21" t="s">
        <v>722</v>
      </c>
      <c r="B373" s="19" t="str">
        <f t="shared" si="24"/>
        <v>kirlia</v>
      </c>
      <c r="C373" s="20" t="str">
        <f t="shared" si="23"/>
        <v/>
      </c>
    </row>
    <row r="374" ht="45.0" customHeight="1">
      <c r="A374" s="21" t="s">
        <v>723</v>
      </c>
      <c r="B374" s="19" t="str">
        <f t="shared" si="24"/>
        <v>gardevoir</v>
      </c>
      <c r="C374" s="20" t="str">
        <f t="shared" si="23"/>
        <v/>
      </c>
    </row>
    <row r="375" ht="45.0" customHeight="1">
      <c r="A375" s="19" t="s">
        <v>724</v>
      </c>
      <c r="B375" s="19" t="str">
        <f t="shared" si="24"/>
        <v>gardevoir-mega</v>
      </c>
      <c r="C375" s="20" t="str">
        <f t="shared" si="23"/>
        <v/>
      </c>
    </row>
    <row r="376" ht="45.0" customHeight="1">
      <c r="A376" s="21" t="s">
        <v>725</v>
      </c>
      <c r="B376" s="19" t="str">
        <f t="shared" si="24"/>
        <v>surskit</v>
      </c>
      <c r="C376" s="20" t="str">
        <f t="shared" si="23"/>
        <v/>
      </c>
    </row>
    <row r="377" ht="45.0" customHeight="1">
      <c r="A377" s="21" t="s">
        <v>726</v>
      </c>
      <c r="B377" s="19" t="str">
        <f t="shared" si="24"/>
        <v>masquerain</v>
      </c>
      <c r="C377" s="20" t="str">
        <f t="shared" si="23"/>
        <v/>
      </c>
    </row>
    <row r="378" ht="45.0" customHeight="1">
      <c r="A378" s="21" t="s">
        <v>727</v>
      </c>
      <c r="B378" s="19" t="str">
        <f t="shared" si="24"/>
        <v>shroomish</v>
      </c>
      <c r="C378" s="20" t="str">
        <f t="shared" si="23"/>
        <v/>
      </c>
    </row>
    <row r="379" ht="45.0" customHeight="1">
      <c r="A379" s="21" t="s">
        <v>728</v>
      </c>
      <c r="B379" s="19" t="str">
        <f t="shared" si="24"/>
        <v>breloom</v>
      </c>
      <c r="C379" s="20" t="str">
        <f t="shared" si="23"/>
        <v/>
      </c>
    </row>
    <row r="380" ht="45.0" customHeight="1">
      <c r="A380" s="21" t="s">
        <v>729</v>
      </c>
      <c r="B380" s="19" t="str">
        <f t="shared" si="24"/>
        <v>slakoth</v>
      </c>
      <c r="C380" s="20" t="str">
        <f t="shared" si="23"/>
        <v/>
      </c>
    </row>
    <row r="381" ht="45.0" customHeight="1">
      <c r="A381" s="21" t="s">
        <v>730</v>
      </c>
      <c r="B381" s="19" t="str">
        <f t="shared" si="24"/>
        <v>vigoroth</v>
      </c>
      <c r="C381" s="20" t="str">
        <f t="shared" si="23"/>
        <v/>
      </c>
    </row>
    <row r="382" ht="45.0" customHeight="1">
      <c r="A382" s="21" t="s">
        <v>731</v>
      </c>
      <c r="B382" s="19" t="str">
        <f t="shared" si="24"/>
        <v>slaking</v>
      </c>
      <c r="C382" s="20" t="str">
        <f t="shared" si="23"/>
        <v/>
      </c>
    </row>
    <row r="383" ht="45.0" customHeight="1">
      <c r="A383" s="21" t="s">
        <v>732</v>
      </c>
      <c r="B383" s="19" t="str">
        <f t="shared" si="24"/>
        <v>nincada</v>
      </c>
      <c r="C383" s="20" t="str">
        <f t="shared" si="23"/>
        <v/>
      </c>
    </row>
    <row r="384" ht="45.0" customHeight="1">
      <c r="A384" s="21" t="s">
        <v>733</v>
      </c>
      <c r="B384" s="19" t="str">
        <f t="shared" si="24"/>
        <v>ninjask</v>
      </c>
      <c r="C384" s="20" t="str">
        <f t="shared" si="23"/>
        <v/>
      </c>
    </row>
    <row r="385" ht="45.0" customHeight="1">
      <c r="A385" s="21" t="s">
        <v>734</v>
      </c>
      <c r="B385" s="19" t="str">
        <f t="shared" si="24"/>
        <v>shedinja</v>
      </c>
      <c r="C385" s="20" t="str">
        <f t="shared" si="23"/>
        <v/>
      </c>
    </row>
    <row r="386" ht="45.0" customHeight="1">
      <c r="A386" s="21" t="s">
        <v>735</v>
      </c>
      <c r="B386" s="19" t="str">
        <f t="shared" si="24"/>
        <v>whismur</v>
      </c>
      <c r="C386" s="20" t="str">
        <f t="shared" si="23"/>
        <v/>
      </c>
    </row>
    <row r="387" ht="45.0" customHeight="1">
      <c r="A387" s="21" t="s">
        <v>736</v>
      </c>
      <c r="B387" s="19" t="str">
        <f t="shared" si="24"/>
        <v>loudred</v>
      </c>
      <c r="C387" s="20" t="str">
        <f t="shared" si="23"/>
        <v/>
      </c>
    </row>
    <row r="388" ht="45.0" customHeight="1">
      <c r="A388" s="21" t="s">
        <v>737</v>
      </c>
      <c r="B388" s="19" t="str">
        <f t="shared" si="24"/>
        <v>exploud</v>
      </c>
      <c r="C388" s="20" t="str">
        <f t="shared" si="23"/>
        <v/>
      </c>
    </row>
    <row r="389" ht="45.0" customHeight="1">
      <c r="A389" s="21" t="s">
        <v>738</v>
      </c>
      <c r="B389" s="19" t="str">
        <f t="shared" si="24"/>
        <v>makuhita</v>
      </c>
      <c r="C389" s="20" t="str">
        <f t="shared" si="23"/>
        <v/>
      </c>
    </row>
    <row r="390" ht="45.0" customHeight="1">
      <c r="A390" s="21" t="s">
        <v>739</v>
      </c>
      <c r="B390" s="19" t="str">
        <f t="shared" si="24"/>
        <v>hariyama</v>
      </c>
      <c r="C390" s="20" t="str">
        <f t="shared" si="23"/>
        <v/>
      </c>
    </row>
    <row r="391" ht="45.0" customHeight="1">
      <c r="A391" s="21" t="s">
        <v>740</v>
      </c>
      <c r="B391" s="19" t="str">
        <f t="shared" si="24"/>
        <v>azurill</v>
      </c>
      <c r="C391" s="20" t="str">
        <f t="shared" si="23"/>
        <v/>
      </c>
    </row>
    <row r="392" ht="45.0" customHeight="1">
      <c r="A392" s="21" t="s">
        <v>741</v>
      </c>
      <c r="B392" s="19" t="str">
        <f t="shared" si="24"/>
        <v>nosepass</v>
      </c>
      <c r="C392" s="20" t="str">
        <f t="shared" si="23"/>
        <v/>
      </c>
    </row>
    <row r="393" ht="45.0" customHeight="1">
      <c r="A393" s="21" t="s">
        <v>742</v>
      </c>
      <c r="B393" s="19" t="str">
        <f t="shared" si="24"/>
        <v>skitty</v>
      </c>
      <c r="C393" s="20" t="str">
        <f t="shared" si="23"/>
        <v/>
      </c>
    </row>
    <row r="394" ht="45.0" customHeight="1">
      <c r="A394" s="21" t="s">
        <v>743</v>
      </c>
      <c r="B394" s="19" t="str">
        <f t="shared" si="24"/>
        <v>delcatty</v>
      </c>
      <c r="C394" s="20" t="str">
        <f t="shared" si="23"/>
        <v/>
      </c>
    </row>
    <row r="395" ht="45.0" customHeight="1">
      <c r="A395" s="21" t="s">
        <v>744</v>
      </c>
      <c r="B395" s="19" t="str">
        <f t="shared" si="24"/>
        <v>sableye</v>
      </c>
      <c r="C395" s="20" t="str">
        <f t="shared" si="23"/>
        <v/>
      </c>
    </row>
    <row r="396" ht="45.0" customHeight="1">
      <c r="A396" s="19" t="s">
        <v>745</v>
      </c>
      <c r="B396" s="19" t="str">
        <f t="shared" si="24"/>
        <v>sableye-mega</v>
      </c>
      <c r="C396" s="20" t="str">
        <f t="shared" si="23"/>
        <v/>
      </c>
    </row>
    <row r="397" ht="45.0" customHeight="1">
      <c r="A397" s="21" t="s">
        <v>746</v>
      </c>
      <c r="B397" s="19" t="str">
        <f t="shared" si="24"/>
        <v>mawile</v>
      </c>
      <c r="C397" s="20" t="str">
        <f t="shared" si="23"/>
        <v/>
      </c>
    </row>
    <row r="398" ht="45.0" customHeight="1">
      <c r="A398" s="19" t="s">
        <v>747</v>
      </c>
      <c r="B398" s="19" t="str">
        <f t="shared" si="24"/>
        <v>mawile-mega</v>
      </c>
      <c r="C398" s="20" t="str">
        <f t="shared" si="23"/>
        <v/>
      </c>
    </row>
    <row r="399" ht="45.0" customHeight="1">
      <c r="A399" s="21" t="s">
        <v>748</v>
      </c>
      <c r="B399" s="19" t="str">
        <f t="shared" si="24"/>
        <v>aron</v>
      </c>
      <c r="C399" s="20" t="str">
        <f t="shared" si="23"/>
        <v/>
      </c>
    </row>
    <row r="400" ht="45.0" customHeight="1">
      <c r="A400" s="21" t="s">
        <v>749</v>
      </c>
      <c r="B400" s="19" t="str">
        <f t="shared" si="24"/>
        <v>lairon</v>
      </c>
      <c r="C400" s="20" t="str">
        <f t="shared" si="23"/>
        <v/>
      </c>
    </row>
    <row r="401" ht="45.0" customHeight="1">
      <c r="A401" s="21" t="s">
        <v>750</v>
      </c>
      <c r="B401" s="19" t="str">
        <f t="shared" si="24"/>
        <v>aggron</v>
      </c>
      <c r="C401" s="20" t="str">
        <f t="shared" si="23"/>
        <v/>
      </c>
    </row>
    <row r="402" ht="45.0" customHeight="1">
      <c r="A402" s="19" t="s">
        <v>751</v>
      </c>
      <c r="B402" s="19" t="str">
        <f t="shared" si="24"/>
        <v>aggron-mega</v>
      </c>
      <c r="C402" s="20" t="str">
        <f t="shared" si="23"/>
        <v/>
      </c>
    </row>
    <row r="403" ht="45.0" customHeight="1">
      <c r="A403" s="21" t="s">
        <v>752</v>
      </c>
      <c r="B403" s="19" t="str">
        <f t="shared" si="24"/>
        <v>meditite</v>
      </c>
      <c r="C403" s="20" t="str">
        <f t="shared" si="23"/>
        <v/>
      </c>
    </row>
    <row r="404" ht="45.0" customHeight="1">
      <c r="A404" s="21" t="s">
        <v>753</v>
      </c>
      <c r="B404" s="19" t="str">
        <f t="shared" si="24"/>
        <v>medicham</v>
      </c>
      <c r="C404" s="20" t="str">
        <f t="shared" si="23"/>
        <v/>
      </c>
    </row>
    <row r="405" ht="45.0" customHeight="1">
      <c r="A405" s="19" t="s">
        <v>754</v>
      </c>
      <c r="B405" s="19" t="str">
        <f t="shared" si="24"/>
        <v>medicham-mega</v>
      </c>
      <c r="C405" s="20" t="str">
        <f t="shared" si="23"/>
        <v/>
      </c>
    </row>
    <row r="406" ht="45.0" customHeight="1">
      <c r="A406" s="21" t="s">
        <v>755</v>
      </c>
      <c r="B406" s="19" t="str">
        <f t="shared" si="24"/>
        <v>electrike</v>
      </c>
      <c r="C406" s="20" t="str">
        <f t="shared" si="23"/>
        <v/>
      </c>
    </row>
    <row r="407" ht="45.0" customHeight="1">
      <c r="A407" s="21" t="s">
        <v>756</v>
      </c>
      <c r="B407" s="19" t="str">
        <f t="shared" si="24"/>
        <v>manectric</v>
      </c>
      <c r="C407" s="20" t="str">
        <f t="shared" si="23"/>
        <v/>
      </c>
    </row>
    <row r="408" ht="45.0" customHeight="1">
      <c r="A408" s="19" t="s">
        <v>757</v>
      </c>
      <c r="B408" s="19" t="str">
        <f t="shared" si="24"/>
        <v>manectric-mega</v>
      </c>
      <c r="C408" s="20" t="str">
        <f t="shared" si="23"/>
        <v/>
      </c>
    </row>
    <row r="409" ht="45.0" customHeight="1">
      <c r="A409" s="21" t="s">
        <v>758</v>
      </c>
      <c r="B409" s="19" t="str">
        <f t="shared" si="24"/>
        <v>plusle</v>
      </c>
      <c r="C409" s="20" t="str">
        <f t="shared" si="23"/>
        <v/>
      </c>
    </row>
    <row r="410" ht="45.0" customHeight="1">
      <c r="A410" s="21" t="s">
        <v>759</v>
      </c>
      <c r="B410" s="19" t="str">
        <f t="shared" si="24"/>
        <v>minun</v>
      </c>
      <c r="C410" s="20" t="str">
        <f t="shared" si="23"/>
        <v/>
      </c>
    </row>
    <row r="411" ht="45.0" customHeight="1">
      <c r="A411" s="21" t="s">
        <v>760</v>
      </c>
      <c r="B411" s="19" t="str">
        <f t="shared" si="24"/>
        <v>volbeat</v>
      </c>
      <c r="C411" s="20" t="str">
        <f t="shared" si="23"/>
        <v/>
      </c>
    </row>
    <row r="412" ht="45.0" customHeight="1">
      <c r="A412" s="21" t="s">
        <v>761</v>
      </c>
      <c r="B412" s="19" t="str">
        <f t="shared" si="24"/>
        <v>illumise</v>
      </c>
      <c r="C412" s="20" t="str">
        <f t="shared" si="23"/>
        <v/>
      </c>
    </row>
    <row r="413" ht="45.0" customHeight="1">
      <c r="A413" s="21" t="s">
        <v>762</v>
      </c>
      <c r="B413" s="19" t="str">
        <f t="shared" si="24"/>
        <v>roselia</v>
      </c>
      <c r="C413" s="20" t="str">
        <f t="shared" si="23"/>
        <v/>
      </c>
    </row>
    <row r="414" ht="45.0" customHeight="1">
      <c r="A414" s="21" t="s">
        <v>763</v>
      </c>
      <c r="B414" s="19" t="str">
        <f t="shared" si="24"/>
        <v>gulpin</v>
      </c>
      <c r="C414" s="20" t="str">
        <f t="shared" si="23"/>
        <v/>
      </c>
    </row>
    <row r="415" ht="45.0" customHeight="1">
      <c r="A415" s="21" t="s">
        <v>765</v>
      </c>
      <c r="B415" s="19" t="str">
        <f t="shared" si="24"/>
        <v>swalot</v>
      </c>
      <c r="C415" s="20" t="str">
        <f t="shared" si="23"/>
        <v/>
      </c>
    </row>
    <row r="416" ht="45.0" customHeight="1">
      <c r="A416" s="21" t="s">
        <v>767</v>
      </c>
      <c r="B416" s="19" t="str">
        <f t="shared" si="24"/>
        <v>carvanha</v>
      </c>
      <c r="C416" s="20" t="str">
        <f t="shared" si="23"/>
        <v/>
      </c>
    </row>
    <row r="417" ht="45.0" customHeight="1">
      <c r="A417" s="21" t="s">
        <v>768</v>
      </c>
      <c r="B417" s="19" t="str">
        <f t="shared" si="24"/>
        <v>sharpedo</v>
      </c>
      <c r="C417" s="20" t="str">
        <f t="shared" si="23"/>
        <v/>
      </c>
    </row>
    <row r="418" ht="45.0" customHeight="1">
      <c r="A418" s="19" t="s">
        <v>770</v>
      </c>
      <c r="B418" s="19" t="str">
        <f t="shared" si="24"/>
        <v>sharpedo-mega</v>
      </c>
      <c r="C418" s="20" t="str">
        <f t="shared" si="23"/>
        <v/>
      </c>
    </row>
    <row r="419" ht="45.0" customHeight="1">
      <c r="A419" s="21" t="s">
        <v>773</v>
      </c>
      <c r="B419" s="19" t="str">
        <f t="shared" si="24"/>
        <v>wailmer</v>
      </c>
      <c r="C419" s="20" t="str">
        <f t="shared" si="23"/>
        <v/>
      </c>
    </row>
    <row r="420" ht="45.0" customHeight="1">
      <c r="A420" s="21" t="s">
        <v>774</v>
      </c>
      <c r="B420" s="19" t="str">
        <f t="shared" si="24"/>
        <v>wailord</v>
      </c>
      <c r="C420" s="20" t="str">
        <f t="shared" si="23"/>
        <v/>
      </c>
    </row>
    <row r="421" ht="45.0" customHeight="1">
      <c r="A421" s="21" t="s">
        <v>775</v>
      </c>
      <c r="B421" s="19" t="str">
        <f t="shared" si="24"/>
        <v>numel</v>
      </c>
      <c r="C421" s="20" t="str">
        <f t="shared" si="23"/>
        <v/>
      </c>
    </row>
    <row r="422" ht="45.0" customHeight="1">
      <c r="A422" s="21" t="s">
        <v>778</v>
      </c>
      <c r="B422" s="19" t="str">
        <f t="shared" si="24"/>
        <v>camerupt</v>
      </c>
      <c r="C422" s="20" t="str">
        <f t="shared" si="23"/>
        <v/>
      </c>
    </row>
    <row r="423" ht="45.0" customHeight="1">
      <c r="A423" s="19" t="s">
        <v>782</v>
      </c>
      <c r="B423" s="19" t="str">
        <f t="shared" si="24"/>
        <v>camerupt-mega</v>
      </c>
      <c r="C423" s="20" t="str">
        <f t="shared" si="23"/>
        <v/>
      </c>
    </row>
    <row r="424" ht="45.0" customHeight="1">
      <c r="A424" s="21" t="s">
        <v>783</v>
      </c>
      <c r="B424" s="19" t="str">
        <f t="shared" si="24"/>
        <v>torkoal</v>
      </c>
      <c r="C424" s="20" t="str">
        <f t="shared" si="23"/>
        <v/>
      </c>
    </row>
    <row r="425" ht="45.0" customHeight="1">
      <c r="A425" s="21" t="s">
        <v>787</v>
      </c>
      <c r="B425" s="19" t="str">
        <f t="shared" si="24"/>
        <v>spoink</v>
      </c>
      <c r="C425" s="20" t="str">
        <f t="shared" si="23"/>
        <v/>
      </c>
    </row>
    <row r="426" ht="45.0" customHeight="1">
      <c r="A426" s="21" t="s">
        <v>790</v>
      </c>
      <c r="B426" s="19" t="str">
        <f t="shared" si="24"/>
        <v>grumpig</v>
      </c>
      <c r="C426" s="20" t="str">
        <f t="shared" si="23"/>
        <v/>
      </c>
    </row>
    <row r="427" ht="45.0" customHeight="1">
      <c r="A427" s="21" t="s">
        <v>791</v>
      </c>
      <c r="B427" s="19" t="str">
        <f t="shared" si="24"/>
        <v>spinda</v>
      </c>
      <c r="C427" s="20" t="str">
        <f t="shared" si="23"/>
        <v/>
      </c>
    </row>
    <row r="428" ht="45.0" customHeight="1">
      <c r="A428" s="21" t="s">
        <v>792</v>
      </c>
      <c r="B428" s="19" t="str">
        <f t="shared" si="24"/>
        <v>trapinch</v>
      </c>
      <c r="C428" s="20" t="str">
        <f t="shared" si="23"/>
        <v/>
      </c>
    </row>
    <row r="429" ht="45.0" customHeight="1">
      <c r="A429" s="21" t="s">
        <v>794</v>
      </c>
      <c r="B429" s="19" t="str">
        <f t="shared" si="24"/>
        <v>vibrava</v>
      </c>
      <c r="C429" s="20" t="str">
        <f t="shared" si="23"/>
        <v/>
      </c>
    </row>
    <row r="430" ht="45.0" customHeight="1">
      <c r="A430" s="21" t="s">
        <v>798</v>
      </c>
      <c r="B430" s="19" t="str">
        <f t="shared" si="24"/>
        <v>flygon</v>
      </c>
      <c r="C430" s="20" t="str">
        <f t="shared" si="23"/>
        <v/>
      </c>
    </row>
    <row r="431" ht="45.0" customHeight="1">
      <c r="A431" s="21" t="s">
        <v>802</v>
      </c>
      <c r="B431" s="19" t="str">
        <f t="shared" si="24"/>
        <v>cacnea</v>
      </c>
      <c r="C431" s="20" t="str">
        <f t="shared" si="23"/>
        <v/>
      </c>
    </row>
    <row r="432" ht="45.0" customHeight="1">
      <c r="A432" s="21" t="s">
        <v>807</v>
      </c>
      <c r="B432" s="19" t="str">
        <f t="shared" si="24"/>
        <v>cacturne</v>
      </c>
      <c r="C432" s="20" t="str">
        <f t="shared" si="23"/>
        <v/>
      </c>
    </row>
    <row r="433" ht="45.0" customHeight="1">
      <c r="A433" s="21" t="s">
        <v>812</v>
      </c>
      <c r="B433" s="19" t="str">
        <f t="shared" si="24"/>
        <v>swablu</v>
      </c>
      <c r="C433" s="20" t="str">
        <f t="shared" si="23"/>
        <v/>
      </c>
    </row>
    <row r="434" ht="45.0" customHeight="1">
      <c r="A434" s="21" t="s">
        <v>816</v>
      </c>
      <c r="B434" s="19" t="str">
        <f t="shared" si="24"/>
        <v>altaria</v>
      </c>
      <c r="C434" s="20" t="str">
        <f t="shared" si="23"/>
        <v/>
      </c>
    </row>
    <row r="435" ht="45.0" customHeight="1">
      <c r="A435" s="19" t="s">
        <v>819</v>
      </c>
      <c r="B435" s="19" t="str">
        <f t="shared" si="24"/>
        <v>altaria-mega</v>
      </c>
      <c r="C435" s="20" t="str">
        <f t="shared" si="23"/>
        <v/>
      </c>
    </row>
    <row r="436" ht="45.0" customHeight="1">
      <c r="A436" s="21" t="s">
        <v>822</v>
      </c>
      <c r="B436" s="19" t="str">
        <f t="shared" si="24"/>
        <v>zangoose</v>
      </c>
      <c r="C436" s="20" t="str">
        <f t="shared" si="23"/>
        <v/>
      </c>
    </row>
    <row r="437" ht="45.0" customHeight="1">
      <c r="A437" s="21" t="s">
        <v>823</v>
      </c>
      <c r="B437" s="19" t="str">
        <f t="shared" si="24"/>
        <v>seviper</v>
      </c>
      <c r="C437" s="20" t="str">
        <f t="shared" si="23"/>
        <v/>
      </c>
    </row>
    <row r="438" ht="45.0" customHeight="1">
      <c r="A438" s="21" t="s">
        <v>824</v>
      </c>
      <c r="B438" s="19" t="str">
        <f t="shared" si="24"/>
        <v>lunatone</v>
      </c>
      <c r="C438" s="20" t="str">
        <f t="shared" si="23"/>
        <v/>
      </c>
    </row>
    <row r="439" ht="45.0" customHeight="1">
      <c r="A439" s="21" t="s">
        <v>827</v>
      </c>
      <c r="B439" s="19" t="str">
        <f t="shared" si="24"/>
        <v>solrock</v>
      </c>
      <c r="C439" s="20" t="str">
        <f t="shared" si="23"/>
        <v/>
      </c>
    </row>
    <row r="440" ht="45.0" customHeight="1">
      <c r="A440" s="21" t="s">
        <v>828</v>
      </c>
      <c r="B440" s="19" t="str">
        <f t="shared" si="24"/>
        <v>barboach</v>
      </c>
      <c r="C440" s="20" t="str">
        <f t="shared" si="23"/>
        <v/>
      </c>
    </row>
    <row r="441" ht="45.0" customHeight="1">
      <c r="A441" s="21" t="s">
        <v>829</v>
      </c>
      <c r="B441" s="19" t="str">
        <f t="shared" si="24"/>
        <v>whiscash</v>
      </c>
      <c r="C441" s="20" t="str">
        <f t="shared" si="23"/>
        <v/>
      </c>
    </row>
    <row r="442" ht="45.0" customHeight="1">
      <c r="A442" s="21" t="s">
        <v>830</v>
      </c>
      <c r="B442" s="19" t="str">
        <f t="shared" si="24"/>
        <v>corphish</v>
      </c>
      <c r="C442" s="20" t="str">
        <f t="shared" si="23"/>
        <v/>
      </c>
    </row>
    <row r="443" ht="45.0" customHeight="1">
      <c r="A443" s="21" t="s">
        <v>831</v>
      </c>
      <c r="B443" s="19" t="str">
        <f t="shared" si="24"/>
        <v>crawdaunt</v>
      </c>
      <c r="C443" s="20" t="str">
        <f t="shared" si="23"/>
        <v/>
      </c>
    </row>
    <row r="444" ht="45.0" customHeight="1">
      <c r="A444" s="21" t="s">
        <v>832</v>
      </c>
      <c r="B444" s="19" t="str">
        <f t="shared" si="24"/>
        <v>baltoy</v>
      </c>
      <c r="C444" s="20" t="str">
        <f t="shared" si="23"/>
        <v/>
      </c>
    </row>
    <row r="445" ht="45.0" customHeight="1">
      <c r="A445" s="21" t="s">
        <v>833</v>
      </c>
      <c r="B445" s="19" t="str">
        <f t="shared" si="24"/>
        <v>claydol</v>
      </c>
      <c r="C445" s="20" t="str">
        <f t="shared" si="23"/>
        <v/>
      </c>
    </row>
    <row r="446" ht="45.0" customHeight="1">
      <c r="A446" s="21" t="s">
        <v>834</v>
      </c>
      <c r="B446" s="19" t="str">
        <f t="shared" si="24"/>
        <v>lileep</v>
      </c>
      <c r="C446" s="20" t="str">
        <f t="shared" si="23"/>
        <v/>
      </c>
    </row>
    <row r="447" ht="45.0" customHeight="1">
      <c r="A447" s="21" t="s">
        <v>835</v>
      </c>
      <c r="B447" s="19" t="str">
        <f t="shared" si="24"/>
        <v>cradily</v>
      </c>
      <c r="C447" s="20" t="str">
        <f t="shared" si="23"/>
        <v/>
      </c>
    </row>
    <row r="448" ht="45.0" customHeight="1">
      <c r="A448" s="21" t="s">
        <v>836</v>
      </c>
      <c r="B448" s="19" t="str">
        <f t="shared" si="24"/>
        <v>anorith</v>
      </c>
      <c r="C448" s="20" t="str">
        <f t="shared" si="23"/>
        <v/>
      </c>
    </row>
    <row r="449" ht="45.0" customHeight="1">
      <c r="A449" s="21" t="s">
        <v>837</v>
      </c>
      <c r="B449" s="19" t="str">
        <f t="shared" si="24"/>
        <v>armaldo</v>
      </c>
      <c r="C449" s="20" t="str">
        <f t="shared" si="23"/>
        <v/>
      </c>
    </row>
    <row r="450" ht="45.0" customHeight="1">
      <c r="A450" s="21" t="s">
        <v>838</v>
      </c>
      <c r="B450" s="19" t="str">
        <f t="shared" si="24"/>
        <v>feebas</v>
      </c>
      <c r="C450" s="20" t="str">
        <f t="shared" si="23"/>
        <v/>
      </c>
    </row>
    <row r="451" ht="45.0" customHeight="1">
      <c r="A451" s="21" t="s">
        <v>839</v>
      </c>
      <c r="B451" s="19" t="str">
        <f t="shared" si="24"/>
        <v>milotic</v>
      </c>
      <c r="C451" s="20" t="str">
        <f t="shared" si="23"/>
        <v/>
      </c>
    </row>
    <row r="452" ht="45.0" customHeight="1">
      <c r="A452" s="21" t="s">
        <v>840</v>
      </c>
      <c r="B452" s="19" t="str">
        <f t="shared" si="24"/>
        <v>castform</v>
      </c>
      <c r="C452" s="20" t="str">
        <f t="shared" si="23"/>
        <v/>
      </c>
    </row>
    <row r="453" ht="45.0" customHeight="1">
      <c r="A453" s="21" t="s">
        <v>841</v>
      </c>
      <c r="B453" s="19" t="str">
        <f t="shared" si="24"/>
        <v>kecleon</v>
      </c>
      <c r="C453" s="20" t="str">
        <f t="shared" si="23"/>
        <v/>
      </c>
    </row>
    <row r="454" ht="45.0" customHeight="1">
      <c r="A454" s="21" t="s">
        <v>842</v>
      </c>
      <c r="B454" s="19" t="str">
        <f t="shared" si="24"/>
        <v>shuppet</v>
      </c>
      <c r="C454" s="20" t="str">
        <f t="shared" si="23"/>
        <v/>
      </c>
    </row>
    <row r="455" ht="45.0" customHeight="1">
      <c r="A455" s="21" t="s">
        <v>843</v>
      </c>
      <c r="B455" s="19" t="str">
        <f t="shared" si="24"/>
        <v>banette</v>
      </c>
      <c r="C455" s="20" t="str">
        <f t="shared" si="23"/>
        <v/>
      </c>
    </row>
    <row r="456" ht="45.0" customHeight="1">
      <c r="A456" s="19" t="s">
        <v>844</v>
      </c>
      <c r="B456" s="19" t="str">
        <f t="shared" si="24"/>
        <v>banette-mega</v>
      </c>
      <c r="C456" s="20" t="str">
        <f t="shared" si="23"/>
        <v/>
      </c>
    </row>
    <row r="457" ht="45.0" customHeight="1">
      <c r="A457" s="21" t="s">
        <v>845</v>
      </c>
      <c r="B457" s="19" t="str">
        <f t="shared" si="24"/>
        <v>duskull</v>
      </c>
      <c r="C457" s="20" t="str">
        <f t="shared" si="23"/>
        <v/>
      </c>
    </row>
    <row r="458" ht="45.0" customHeight="1">
      <c r="A458" s="21" t="s">
        <v>846</v>
      </c>
      <c r="B458" s="19" t="str">
        <f t="shared" si="24"/>
        <v>dusclops</v>
      </c>
      <c r="C458" s="20" t="str">
        <f t="shared" si="23"/>
        <v/>
      </c>
    </row>
    <row r="459" ht="45.0" customHeight="1">
      <c r="A459" s="21" t="s">
        <v>847</v>
      </c>
      <c r="B459" s="19" t="str">
        <f t="shared" si="24"/>
        <v>tropius</v>
      </c>
      <c r="C459" s="20" t="str">
        <f t="shared" si="23"/>
        <v/>
      </c>
    </row>
    <row r="460" ht="45.0" customHeight="1">
      <c r="A460" s="21" t="s">
        <v>528</v>
      </c>
      <c r="B460" s="19" t="str">
        <f t="shared" si="24"/>
        <v>chimecho</v>
      </c>
      <c r="C460" s="20" t="str">
        <f t="shared" si="23"/>
        <v/>
      </c>
    </row>
    <row r="461" ht="45.0" customHeight="1">
      <c r="A461" s="19" t="s">
        <v>848</v>
      </c>
      <c r="B461" s="19" t="s">
        <v>849</v>
      </c>
      <c r="C461" s="20" t="str">
        <f>(IMAGE("https://pokedoku-space.nyc3.cdn.digitaloceanspaces.com/resources/pokemon/10306.png", 3))</f>
        <v/>
      </c>
    </row>
    <row r="462" ht="45.0" customHeight="1">
      <c r="A462" s="21" t="s">
        <v>850</v>
      </c>
      <c r="B462" s="19" t="str">
        <f t="shared" ref="B462:B463" si="25">LOWER(A462)</f>
        <v>absol</v>
      </c>
      <c r="C462" s="20" t="str">
        <f t="shared" ref="C462:C463" si="26">(IMAGE("https://play.pokemonshowdown.com/sprites/gen5/"&amp;B462&amp;".png", 3))</f>
        <v/>
      </c>
    </row>
    <row r="463" ht="45.0" customHeight="1">
      <c r="A463" s="19" t="s">
        <v>851</v>
      </c>
      <c r="B463" s="19" t="str">
        <f t="shared" si="25"/>
        <v>absol-mega</v>
      </c>
      <c r="C463" s="20" t="str">
        <f t="shared" si="26"/>
        <v/>
      </c>
    </row>
    <row r="464" ht="45.0" customHeight="1">
      <c r="A464" s="19" t="s">
        <v>852</v>
      </c>
      <c r="B464" s="19" t="s">
        <v>853</v>
      </c>
      <c r="C464" s="20" t="str">
        <f>(IMAGE("https://i.postimg.cc/9MnP6mg4/absolmegaz-by-kingofthe-x-roads-dl4vpn4-(1).png", 3))</f>
        <v/>
      </c>
    </row>
    <row r="465" ht="45.0" customHeight="1">
      <c r="A465" s="21" t="s">
        <v>854</v>
      </c>
      <c r="B465" s="19" t="str">
        <f t="shared" ref="B465:B514" si="27">LOWER(A465)</f>
        <v>wynaut</v>
      </c>
      <c r="C465" s="20" t="str">
        <f t="shared" ref="C465:C514" si="28">(IMAGE("https://play.pokemonshowdown.com/sprites/gen5/"&amp;B465&amp;".png", 3))</f>
        <v/>
      </c>
    </row>
    <row r="466" ht="45.0" customHeight="1">
      <c r="A466" s="21" t="s">
        <v>855</v>
      </c>
      <c r="B466" s="19" t="str">
        <f t="shared" si="27"/>
        <v>snorunt</v>
      </c>
      <c r="C466" s="20" t="str">
        <f t="shared" si="28"/>
        <v/>
      </c>
    </row>
    <row r="467" ht="45.0" customHeight="1">
      <c r="A467" s="21" t="s">
        <v>856</v>
      </c>
      <c r="B467" s="19" t="str">
        <f t="shared" si="27"/>
        <v>glalie</v>
      </c>
      <c r="C467" s="20" t="str">
        <f t="shared" si="28"/>
        <v/>
      </c>
    </row>
    <row r="468" ht="45.0" customHeight="1">
      <c r="A468" s="19" t="s">
        <v>857</v>
      </c>
      <c r="B468" s="19" t="str">
        <f t="shared" si="27"/>
        <v>glalie-mega</v>
      </c>
      <c r="C468" s="20" t="str">
        <f t="shared" si="28"/>
        <v/>
      </c>
    </row>
    <row r="469" ht="45.0" customHeight="1">
      <c r="A469" s="21" t="s">
        <v>858</v>
      </c>
      <c r="B469" s="19" t="str">
        <f t="shared" si="27"/>
        <v>spheal</v>
      </c>
      <c r="C469" s="20" t="str">
        <f t="shared" si="28"/>
        <v/>
      </c>
    </row>
    <row r="470" ht="45.0" customHeight="1">
      <c r="A470" s="21" t="s">
        <v>859</v>
      </c>
      <c r="B470" s="19" t="str">
        <f t="shared" si="27"/>
        <v>sealeo</v>
      </c>
      <c r="C470" s="20" t="str">
        <f t="shared" si="28"/>
        <v/>
      </c>
    </row>
    <row r="471" ht="45.0" customHeight="1">
      <c r="A471" s="21" t="s">
        <v>860</v>
      </c>
      <c r="B471" s="19" t="str">
        <f t="shared" si="27"/>
        <v>walrein</v>
      </c>
      <c r="C471" s="20" t="str">
        <f t="shared" si="28"/>
        <v/>
      </c>
    </row>
    <row r="472" ht="45.0" customHeight="1">
      <c r="A472" s="21" t="s">
        <v>861</v>
      </c>
      <c r="B472" s="19" t="str">
        <f t="shared" si="27"/>
        <v>clamperl</v>
      </c>
      <c r="C472" s="20" t="str">
        <f t="shared" si="28"/>
        <v/>
      </c>
    </row>
    <row r="473" ht="45.0" customHeight="1">
      <c r="A473" s="21" t="s">
        <v>862</v>
      </c>
      <c r="B473" s="19" t="str">
        <f t="shared" si="27"/>
        <v>huntail</v>
      </c>
      <c r="C473" s="20" t="str">
        <f t="shared" si="28"/>
        <v/>
      </c>
    </row>
    <row r="474" ht="45.0" customHeight="1">
      <c r="A474" s="21" t="s">
        <v>863</v>
      </c>
      <c r="B474" s="19" t="str">
        <f t="shared" si="27"/>
        <v>gorebyss</v>
      </c>
      <c r="C474" s="20" t="str">
        <f t="shared" si="28"/>
        <v/>
      </c>
    </row>
    <row r="475" ht="45.0" customHeight="1">
      <c r="A475" s="21" t="s">
        <v>864</v>
      </c>
      <c r="B475" s="19" t="str">
        <f t="shared" si="27"/>
        <v>relicanth</v>
      </c>
      <c r="C475" s="20" t="str">
        <f t="shared" si="28"/>
        <v/>
      </c>
    </row>
    <row r="476" ht="45.0" customHeight="1">
      <c r="A476" s="21" t="s">
        <v>865</v>
      </c>
      <c r="B476" s="19" t="str">
        <f t="shared" si="27"/>
        <v>luvdisc</v>
      </c>
      <c r="C476" s="20" t="str">
        <f t="shared" si="28"/>
        <v/>
      </c>
    </row>
    <row r="477" ht="45.0" customHeight="1">
      <c r="A477" s="21" t="s">
        <v>866</v>
      </c>
      <c r="B477" s="19" t="str">
        <f t="shared" si="27"/>
        <v>bagon</v>
      </c>
      <c r="C477" s="20" t="str">
        <f t="shared" si="28"/>
        <v/>
      </c>
    </row>
    <row r="478" ht="45.0" customHeight="1">
      <c r="A478" s="21" t="s">
        <v>867</v>
      </c>
      <c r="B478" s="19" t="str">
        <f t="shared" si="27"/>
        <v>shelgon</v>
      </c>
      <c r="C478" s="20" t="str">
        <f t="shared" si="28"/>
        <v/>
      </c>
    </row>
    <row r="479" ht="45.0" customHeight="1">
      <c r="A479" s="21" t="s">
        <v>868</v>
      </c>
      <c r="B479" s="19" t="str">
        <f t="shared" si="27"/>
        <v>salamence</v>
      </c>
      <c r="C479" s="20" t="str">
        <f t="shared" si="28"/>
        <v/>
      </c>
    </row>
    <row r="480" ht="45.0" customHeight="1">
      <c r="A480" s="19" t="s">
        <v>869</v>
      </c>
      <c r="B480" s="19" t="str">
        <f t="shared" si="27"/>
        <v>salamence-mega</v>
      </c>
      <c r="C480" s="20" t="str">
        <f t="shared" si="28"/>
        <v/>
      </c>
    </row>
    <row r="481" ht="45.0" customHeight="1">
      <c r="A481" s="21" t="s">
        <v>870</v>
      </c>
      <c r="B481" s="19" t="str">
        <f t="shared" si="27"/>
        <v>beldum</v>
      </c>
      <c r="C481" s="20" t="str">
        <f t="shared" si="28"/>
        <v/>
      </c>
    </row>
    <row r="482" ht="45.0" customHeight="1">
      <c r="A482" s="21" t="s">
        <v>871</v>
      </c>
      <c r="B482" s="19" t="str">
        <f t="shared" si="27"/>
        <v>metang</v>
      </c>
      <c r="C482" s="20" t="str">
        <f t="shared" si="28"/>
        <v/>
      </c>
    </row>
    <row r="483" ht="45.0" customHeight="1">
      <c r="A483" s="21" t="s">
        <v>872</v>
      </c>
      <c r="B483" s="19" t="str">
        <f t="shared" si="27"/>
        <v>metagross</v>
      </c>
      <c r="C483" s="20" t="str">
        <f t="shared" si="28"/>
        <v/>
      </c>
    </row>
    <row r="484" ht="45.0" customHeight="1">
      <c r="A484" s="19" t="s">
        <v>873</v>
      </c>
      <c r="B484" s="19" t="str">
        <f t="shared" si="27"/>
        <v>metagross-mega</v>
      </c>
      <c r="C484" s="20" t="str">
        <f t="shared" si="28"/>
        <v/>
      </c>
    </row>
    <row r="485" ht="45.0" customHeight="1">
      <c r="A485" s="21" t="s">
        <v>874</v>
      </c>
      <c r="B485" s="19" t="str">
        <f t="shared" si="27"/>
        <v>regirock</v>
      </c>
      <c r="C485" s="20" t="str">
        <f t="shared" si="28"/>
        <v/>
      </c>
    </row>
    <row r="486" ht="45.0" customHeight="1">
      <c r="A486" s="21" t="s">
        <v>875</v>
      </c>
      <c r="B486" s="19" t="str">
        <f t="shared" si="27"/>
        <v>regice</v>
      </c>
      <c r="C486" s="20" t="str">
        <f t="shared" si="28"/>
        <v/>
      </c>
    </row>
    <row r="487" ht="45.0" customHeight="1">
      <c r="A487" s="21" t="s">
        <v>876</v>
      </c>
      <c r="B487" s="19" t="str">
        <f t="shared" si="27"/>
        <v>registeel</v>
      </c>
      <c r="C487" s="20" t="str">
        <f t="shared" si="28"/>
        <v/>
      </c>
    </row>
    <row r="488" ht="45.0" customHeight="1">
      <c r="A488" s="21" t="s">
        <v>877</v>
      </c>
      <c r="B488" s="19" t="str">
        <f t="shared" si="27"/>
        <v>latias</v>
      </c>
      <c r="C488" s="20" t="str">
        <f t="shared" si="28"/>
        <v/>
      </c>
    </row>
    <row r="489" ht="45.0" customHeight="1">
      <c r="A489" s="19" t="s">
        <v>878</v>
      </c>
      <c r="B489" s="19" t="str">
        <f t="shared" si="27"/>
        <v>latias-mega</v>
      </c>
      <c r="C489" s="20" t="str">
        <f t="shared" si="28"/>
        <v/>
      </c>
    </row>
    <row r="490" ht="45.0" customHeight="1">
      <c r="A490" s="21" t="s">
        <v>879</v>
      </c>
      <c r="B490" s="19" t="str">
        <f t="shared" si="27"/>
        <v>latios</v>
      </c>
      <c r="C490" s="20" t="str">
        <f t="shared" si="28"/>
        <v/>
      </c>
    </row>
    <row r="491" ht="45.0" customHeight="1">
      <c r="A491" s="19" t="s">
        <v>880</v>
      </c>
      <c r="B491" s="19" t="str">
        <f t="shared" si="27"/>
        <v>latios-mega</v>
      </c>
      <c r="C491" s="20" t="str">
        <f t="shared" si="28"/>
        <v/>
      </c>
    </row>
    <row r="492" ht="45.0" customHeight="1">
      <c r="A492" s="21" t="s">
        <v>881</v>
      </c>
      <c r="B492" s="19" t="str">
        <f t="shared" si="27"/>
        <v>kyogre</v>
      </c>
      <c r="C492" s="20" t="str">
        <f t="shared" si="28"/>
        <v/>
      </c>
    </row>
    <row r="493" ht="45.0" customHeight="1">
      <c r="A493" s="19" t="s">
        <v>885</v>
      </c>
      <c r="B493" s="19" t="str">
        <f t="shared" si="27"/>
        <v>kyogre-primal</v>
      </c>
      <c r="C493" s="20" t="str">
        <f t="shared" si="28"/>
        <v/>
      </c>
    </row>
    <row r="494" ht="45.0" customHeight="1">
      <c r="A494" s="21" t="s">
        <v>887</v>
      </c>
      <c r="B494" s="19" t="str">
        <f t="shared" si="27"/>
        <v>groudon</v>
      </c>
      <c r="C494" s="20" t="str">
        <f t="shared" si="28"/>
        <v/>
      </c>
    </row>
    <row r="495" ht="45.0" customHeight="1">
      <c r="A495" s="19" t="s">
        <v>892</v>
      </c>
      <c r="B495" s="19" t="str">
        <f t="shared" si="27"/>
        <v>groudon-primal</v>
      </c>
      <c r="C495" s="20" t="str">
        <f t="shared" si="28"/>
        <v/>
      </c>
    </row>
    <row r="496" ht="45.0" customHeight="1">
      <c r="A496" s="21" t="s">
        <v>895</v>
      </c>
      <c r="B496" s="19" t="str">
        <f t="shared" si="27"/>
        <v>rayquaza</v>
      </c>
      <c r="C496" s="20" t="str">
        <f t="shared" si="28"/>
        <v/>
      </c>
    </row>
    <row r="497" ht="45.0" customHeight="1">
      <c r="A497" s="19" t="s">
        <v>902</v>
      </c>
      <c r="B497" s="19" t="str">
        <f t="shared" si="27"/>
        <v>rayquaza-mega</v>
      </c>
      <c r="C497" s="20" t="str">
        <f t="shared" si="28"/>
        <v/>
      </c>
    </row>
    <row r="498" ht="45.0" customHeight="1">
      <c r="A498" s="21" t="s">
        <v>908</v>
      </c>
      <c r="B498" s="19" t="str">
        <f t="shared" si="27"/>
        <v>jirachi</v>
      </c>
      <c r="C498" s="20" t="str">
        <f t="shared" si="28"/>
        <v/>
      </c>
    </row>
    <row r="499" ht="45.0" customHeight="1">
      <c r="A499" s="21" t="s">
        <v>913</v>
      </c>
      <c r="B499" s="19" t="str">
        <f t="shared" si="27"/>
        <v>deoxys</v>
      </c>
      <c r="C499" s="20" t="str">
        <f t="shared" si="28"/>
        <v/>
      </c>
    </row>
    <row r="500" ht="45.0" customHeight="1">
      <c r="A500" s="19" t="s">
        <v>916</v>
      </c>
      <c r="B500" s="19" t="str">
        <f t="shared" si="27"/>
        <v>deoxys-attack</v>
      </c>
      <c r="C500" s="20" t="str">
        <f t="shared" si="28"/>
        <v/>
      </c>
    </row>
    <row r="501" ht="45.0" customHeight="1">
      <c r="A501" s="19" t="s">
        <v>919</v>
      </c>
      <c r="B501" s="19" t="str">
        <f t="shared" si="27"/>
        <v>deoxys-defense</v>
      </c>
      <c r="C501" s="20" t="str">
        <f t="shared" si="28"/>
        <v/>
      </c>
    </row>
    <row r="502" ht="45.0" customHeight="1">
      <c r="A502" s="19" t="s">
        <v>921</v>
      </c>
      <c r="B502" s="19" t="str">
        <f t="shared" si="27"/>
        <v>deoxys-speed</v>
      </c>
      <c r="C502" s="20" t="str">
        <f t="shared" si="28"/>
        <v/>
      </c>
    </row>
    <row r="503" ht="45.0" customHeight="1">
      <c r="A503" s="21" t="s">
        <v>923</v>
      </c>
      <c r="B503" s="19" t="str">
        <f t="shared" si="27"/>
        <v>turtwig</v>
      </c>
      <c r="C503" s="20" t="str">
        <f t="shared" si="28"/>
        <v/>
      </c>
    </row>
    <row r="504" ht="45.0" customHeight="1">
      <c r="A504" s="21" t="s">
        <v>928</v>
      </c>
      <c r="B504" s="19" t="str">
        <f t="shared" si="27"/>
        <v>grotle</v>
      </c>
      <c r="C504" s="20" t="str">
        <f t="shared" si="28"/>
        <v/>
      </c>
    </row>
    <row r="505" ht="45.0" customHeight="1">
      <c r="A505" s="21" t="s">
        <v>933</v>
      </c>
      <c r="B505" s="19" t="str">
        <f t="shared" si="27"/>
        <v>torterra</v>
      </c>
      <c r="C505" s="20" t="str">
        <f t="shared" si="28"/>
        <v/>
      </c>
    </row>
    <row r="506" ht="45.0" customHeight="1">
      <c r="A506" s="21" t="s">
        <v>939</v>
      </c>
      <c r="B506" s="19" t="str">
        <f t="shared" si="27"/>
        <v>chimchar</v>
      </c>
      <c r="C506" s="20" t="str">
        <f t="shared" si="28"/>
        <v/>
      </c>
    </row>
    <row r="507" ht="45.0" customHeight="1">
      <c r="A507" s="21" t="s">
        <v>944</v>
      </c>
      <c r="B507" s="19" t="str">
        <f t="shared" si="27"/>
        <v>monferno</v>
      </c>
      <c r="C507" s="20" t="str">
        <f t="shared" si="28"/>
        <v/>
      </c>
    </row>
    <row r="508" ht="45.0" customHeight="1">
      <c r="A508" s="21" t="s">
        <v>949</v>
      </c>
      <c r="B508" s="19" t="str">
        <f t="shared" si="27"/>
        <v>infernape</v>
      </c>
      <c r="C508" s="20" t="str">
        <f t="shared" si="28"/>
        <v/>
      </c>
    </row>
    <row r="509" ht="45.0" customHeight="1">
      <c r="A509" s="21" t="s">
        <v>954</v>
      </c>
      <c r="B509" s="19" t="str">
        <f t="shared" si="27"/>
        <v>piplup</v>
      </c>
      <c r="C509" s="20" t="str">
        <f t="shared" si="28"/>
        <v/>
      </c>
    </row>
    <row r="510" ht="45.0" customHeight="1">
      <c r="A510" s="21" t="s">
        <v>957</v>
      </c>
      <c r="B510" s="19" t="str">
        <f t="shared" si="27"/>
        <v>prinplup</v>
      </c>
      <c r="C510" s="20" t="str">
        <f t="shared" si="28"/>
        <v/>
      </c>
    </row>
    <row r="511" ht="45.0" customHeight="1">
      <c r="A511" s="21" t="s">
        <v>958</v>
      </c>
      <c r="B511" s="19" t="str">
        <f t="shared" si="27"/>
        <v>empoleon</v>
      </c>
      <c r="C511" s="20" t="str">
        <f t="shared" si="28"/>
        <v/>
      </c>
    </row>
    <row r="512" ht="45.0" customHeight="1">
      <c r="A512" s="21" t="s">
        <v>959</v>
      </c>
      <c r="B512" s="19" t="str">
        <f t="shared" si="27"/>
        <v>starly</v>
      </c>
      <c r="C512" s="20" t="str">
        <f t="shared" si="28"/>
        <v/>
      </c>
    </row>
    <row r="513" ht="45.0" customHeight="1">
      <c r="A513" s="21" t="s">
        <v>960</v>
      </c>
      <c r="B513" s="19" t="str">
        <f t="shared" si="27"/>
        <v>staravia</v>
      </c>
      <c r="C513" s="20" t="str">
        <f t="shared" si="28"/>
        <v/>
      </c>
    </row>
    <row r="514" ht="45.0" customHeight="1">
      <c r="A514" s="21" t="s">
        <v>961</v>
      </c>
      <c r="B514" s="19" t="str">
        <f t="shared" si="27"/>
        <v>staraptor</v>
      </c>
      <c r="C514" s="20" t="str">
        <f t="shared" si="28"/>
        <v/>
      </c>
    </row>
    <row r="515" ht="45.0" customHeight="1">
      <c r="A515" s="19" t="s">
        <v>962</v>
      </c>
      <c r="B515" s="19" t="s">
        <v>963</v>
      </c>
      <c r="C515" s="20" t="str">
        <f>(IMAGE("https://i.postimg.cc/HsGvnz3T/staraptormega-by-kingofthe-x-roads-dl3c3m1-(1).png", 3))</f>
        <v/>
      </c>
    </row>
    <row r="516" ht="45.0" customHeight="1">
      <c r="A516" s="21" t="s">
        <v>964</v>
      </c>
      <c r="B516" s="19" t="str">
        <f t="shared" ref="B516:B558" si="29">LOWER(A516)</f>
        <v>bidoof</v>
      </c>
      <c r="C516" s="20" t="str">
        <f t="shared" ref="C516:C566" si="30">(IMAGE("https://play.pokemonshowdown.com/sprites/gen5/"&amp;B516&amp;".png", 3))</f>
        <v/>
      </c>
    </row>
    <row r="517" ht="45.0" customHeight="1">
      <c r="A517" s="21" t="s">
        <v>882</v>
      </c>
      <c r="B517" s="19" t="str">
        <f t="shared" si="29"/>
        <v>bibarel</v>
      </c>
      <c r="C517" s="20" t="str">
        <f t="shared" si="30"/>
        <v/>
      </c>
    </row>
    <row r="518" ht="45.0" customHeight="1">
      <c r="A518" s="21" t="s">
        <v>965</v>
      </c>
      <c r="B518" s="19" t="str">
        <f t="shared" si="29"/>
        <v>kricketot</v>
      </c>
      <c r="C518" s="20" t="str">
        <f t="shared" si="30"/>
        <v/>
      </c>
    </row>
    <row r="519" ht="45.0" customHeight="1">
      <c r="A519" s="21" t="s">
        <v>966</v>
      </c>
      <c r="B519" s="19" t="str">
        <f t="shared" si="29"/>
        <v>kricketune</v>
      </c>
      <c r="C519" s="20" t="str">
        <f t="shared" si="30"/>
        <v/>
      </c>
    </row>
    <row r="520" ht="45.0" customHeight="1">
      <c r="A520" s="21" t="s">
        <v>967</v>
      </c>
      <c r="B520" s="19" t="str">
        <f t="shared" si="29"/>
        <v>shinx</v>
      </c>
      <c r="C520" s="20" t="str">
        <f t="shared" si="30"/>
        <v/>
      </c>
    </row>
    <row r="521" ht="45.0" customHeight="1">
      <c r="A521" s="21" t="s">
        <v>968</v>
      </c>
      <c r="B521" s="19" t="str">
        <f t="shared" si="29"/>
        <v>luxio</v>
      </c>
      <c r="C521" s="20" t="str">
        <f t="shared" si="30"/>
        <v/>
      </c>
    </row>
    <row r="522" ht="45.0" customHeight="1">
      <c r="A522" s="21" t="s">
        <v>969</v>
      </c>
      <c r="B522" s="19" t="str">
        <f t="shared" si="29"/>
        <v>luxray</v>
      </c>
      <c r="C522" s="20" t="str">
        <f t="shared" si="30"/>
        <v/>
      </c>
    </row>
    <row r="523" ht="45.0" customHeight="1">
      <c r="A523" s="21" t="s">
        <v>970</v>
      </c>
      <c r="B523" s="19" t="str">
        <f t="shared" si="29"/>
        <v>budew</v>
      </c>
      <c r="C523" s="20" t="str">
        <f t="shared" si="30"/>
        <v/>
      </c>
    </row>
    <row r="524" ht="45.0" customHeight="1">
      <c r="A524" s="21" t="s">
        <v>971</v>
      </c>
      <c r="B524" s="19" t="str">
        <f t="shared" si="29"/>
        <v>roserade</v>
      </c>
      <c r="C524" s="20" t="str">
        <f t="shared" si="30"/>
        <v/>
      </c>
    </row>
    <row r="525" ht="45.0" customHeight="1">
      <c r="A525" s="21" t="s">
        <v>972</v>
      </c>
      <c r="B525" s="19" t="str">
        <f t="shared" si="29"/>
        <v>cranidos</v>
      </c>
      <c r="C525" s="20" t="str">
        <f t="shared" si="30"/>
        <v/>
      </c>
    </row>
    <row r="526" ht="45.0" customHeight="1">
      <c r="A526" s="21" t="s">
        <v>973</v>
      </c>
      <c r="B526" s="19" t="str">
        <f t="shared" si="29"/>
        <v>rampardos</v>
      </c>
      <c r="C526" s="20" t="str">
        <f t="shared" si="30"/>
        <v/>
      </c>
    </row>
    <row r="527" ht="45.0" customHeight="1">
      <c r="A527" s="21" t="s">
        <v>974</v>
      </c>
      <c r="B527" s="19" t="str">
        <f t="shared" si="29"/>
        <v>shieldon</v>
      </c>
      <c r="C527" s="20" t="str">
        <f t="shared" si="30"/>
        <v/>
      </c>
    </row>
    <row r="528" ht="45.0" customHeight="1">
      <c r="A528" s="21" t="s">
        <v>975</v>
      </c>
      <c r="B528" s="19" t="str">
        <f t="shared" si="29"/>
        <v>bastiodon</v>
      </c>
      <c r="C528" s="20" t="str">
        <f t="shared" si="30"/>
        <v/>
      </c>
    </row>
    <row r="529" ht="45.0" customHeight="1">
      <c r="A529" s="21" t="s">
        <v>976</v>
      </c>
      <c r="B529" s="19" t="str">
        <f t="shared" si="29"/>
        <v>burmy</v>
      </c>
      <c r="C529" s="20" t="str">
        <f t="shared" si="30"/>
        <v/>
      </c>
    </row>
    <row r="530" ht="45.0" customHeight="1">
      <c r="A530" s="19" t="s">
        <v>337</v>
      </c>
      <c r="B530" s="19" t="str">
        <f t="shared" si="29"/>
        <v>wormadam-sandy</v>
      </c>
      <c r="C530" s="20" t="str">
        <f t="shared" si="30"/>
        <v/>
      </c>
    </row>
    <row r="531" ht="45.0" customHeight="1">
      <c r="A531" s="19" t="s">
        <v>977</v>
      </c>
      <c r="B531" s="19" t="str">
        <f t="shared" si="29"/>
        <v>wormadam-trash</v>
      </c>
      <c r="C531" s="20" t="str">
        <f t="shared" si="30"/>
        <v/>
      </c>
    </row>
    <row r="532" ht="45.0" customHeight="1">
      <c r="A532" s="19" t="s">
        <v>764</v>
      </c>
      <c r="B532" s="19" t="str">
        <f t="shared" si="29"/>
        <v>wormadam</v>
      </c>
      <c r="C532" s="20" t="str">
        <f t="shared" si="30"/>
        <v/>
      </c>
    </row>
    <row r="533" ht="45.0" customHeight="1">
      <c r="A533" s="21" t="s">
        <v>402</v>
      </c>
      <c r="B533" s="19" t="str">
        <f t="shared" si="29"/>
        <v>mothim</v>
      </c>
      <c r="C533" s="20" t="str">
        <f t="shared" si="30"/>
        <v/>
      </c>
    </row>
    <row r="534" ht="45.0" customHeight="1">
      <c r="A534" s="21" t="s">
        <v>978</v>
      </c>
      <c r="B534" s="19" t="str">
        <f t="shared" si="29"/>
        <v>combee</v>
      </c>
      <c r="C534" s="20" t="str">
        <f t="shared" si="30"/>
        <v/>
      </c>
    </row>
    <row r="535" ht="45.0" customHeight="1">
      <c r="A535" s="21" t="s">
        <v>979</v>
      </c>
      <c r="B535" s="19" t="str">
        <f t="shared" si="29"/>
        <v>vespiquen</v>
      </c>
      <c r="C535" s="20" t="str">
        <f t="shared" si="30"/>
        <v/>
      </c>
    </row>
    <row r="536" ht="45.0" customHeight="1">
      <c r="A536" s="21" t="s">
        <v>980</v>
      </c>
      <c r="B536" s="19" t="str">
        <f t="shared" si="29"/>
        <v>pachirisu</v>
      </c>
      <c r="C536" s="20" t="str">
        <f t="shared" si="30"/>
        <v/>
      </c>
    </row>
    <row r="537" ht="45.0" customHeight="1">
      <c r="A537" s="21" t="s">
        <v>981</v>
      </c>
      <c r="B537" s="19" t="str">
        <f t="shared" si="29"/>
        <v>buizel</v>
      </c>
      <c r="C537" s="20" t="str">
        <f t="shared" si="30"/>
        <v/>
      </c>
    </row>
    <row r="538" ht="45.0" customHeight="1">
      <c r="A538" s="21" t="s">
        <v>982</v>
      </c>
      <c r="B538" s="19" t="str">
        <f t="shared" si="29"/>
        <v>floatzel</v>
      </c>
      <c r="C538" s="20" t="str">
        <f t="shared" si="30"/>
        <v/>
      </c>
    </row>
    <row r="539" ht="45.0" customHeight="1">
      <c r="A539" s="21" t="s">
        <v>983</v>
      </c>
      <c r="B539" s="19" t="str">
        <f t="shared" si="29"/>
        <v>cherubi</v>
      </c>
      <c r="C539" s="20" t="str">
        <f t="shared" si="30"/>
        <v/>
      </c>
    </row>
    <row r="540" ht="45.0" customHeight="1">
      <c r="A540" s="21" t="s">
        <v>984</v>
      </c>
      <c r="B540" s="19" t="str">
        <f t="shared" si="29"/>
        <v>cherrim</v>
      </c>
      <c r="C540" s="20" t="str">
        <f t="shared" si="30"/>
        <v/>
      </c>
    </row>
    <row r="541" ht="45.0" customHeight="1">
      <c r="A541" s="21" t="s">
        <v>985</v>
      </c>
      <c r="B541" s="19" t="str">
        <f t="shared" si="29"/>
        <v>shellos</v>
      </c>
      <c r="C541" s="20" t="str">
        <f t="shared" si="30"/>
        <v/>
      </c>
    </row>
    <row r="542" ht="45.0" customHeight="1">
      <c r="A542" s="21" t="s">
        <v>339</v>
      </c>
      <c r="B542" s="19" t="str">
        <f t="shared" si="29"/>
        <v>gastrodon</v>
      </c>
      <c r="C542" s="20" t="str">
        <f t="shared" si="30"/>
        <v/>
      </c>
    </row>
    <row r="543" ht="45.0" customHeight="1">
      <c r="A543" s="21" t="s">
        <v>986</v>
      </c>
      <c r="B543" s="19" t="str">
        <f t="shared" si="29"/>
        <v>ambipom</v>
      </c>
      <c r="C543" s="20" t="str">
        <f t="shared" si="30"/>
        <v/>
      </c>
    </row>
    <row r="544" ht="45.0" customHeight="1">
      <c r="A544" s="21" t="s">
        <v>987</v>
      </c>
      <c r="B544" s="19" t="str">
        <f t="shared" si="29"/>
        <v>drifloon</v>
      </c>
      <c r="C544" s="20" t="str">
        <f t="shared" si="30"/>
        <v/>
      </c>
    </row>
    <row r="545" ht="45.0" customHeight="1">
      <c r="A545" s="21" t="s">
        <v>988</v>
      </c>
      <c r="B545" s="19" t="str">
        <f t="shared" si="29"/>
        <v>drifblim</v>
      </c>
      <c r="C545" s="20" t="str">
        <f t="shared" si="30"/>
        <v/>
      </c>
    </row>
    <row r="546" ht="45.0" customHeight="1">
      <c r="A546" s="21" t="s">
        <v>989</v>
      </c>
      <c r="B546" s="19" t="str">
        <f t="shared" si="29"/>
        <v>buneary</v>
      </c>
      <c r="C546" s="20" t="str">
        <f t="shared" si="30"/>
        <v/>
      </c>
    </row>
    <row r="547" ht="45.0" customHeight="1">
      <c r="A547" s="21" t="s">
        <v>990</v>
      </c>
      <c r="B547" s="19" t="str">
        <f t="shared" si="29"/>
        <v>lopunny</v>
      </c>
      <c r="C547" s="20" t="str">
        <f t="shared" si="30"/>
        <v/>
      </c>
    </row>
    <row r="548" ht="45.0" customHeight="1">
      <c r="A548" s="19" t="s">
        <v>991</v>
      </c>
      <c r="B548" s="19" t="str">
        <f t="shared" si="29"/>
        <v>lopunny-mega</v>
      </c>
      <c r="C548" s="20" t="str">
        <f t="shared" si="30"/>
        <v/>
      </c>
    </row>
    <row r="549" ht="45.0" customHeight="1">
      <c r="A549" s="21" t="s">
        <v>992</v>
      </c>
      <c r="B549" s="19" t="str">
        <f t="shared" si="29"/>
        <v>mismagius</v>
      </c>
      <c r="C549" s="20" t="str">
        <f t="shared" si="30"/>
        <v/>
      </c>
    </row>
    <row r="550" ht="45.0" customHeight="1">
      <c r="A550" s="21" t="s">
        <v>993</v>
      </c>
      <c r="B550" s="19" t="str">
        <f t="shared" si="29"/>
        <v>honchkrow</v>
      </c>
      <c r="C550" s="20" t="str">
        <f t="shared" si="30"/>
        <v/>
      </c>
    </row>
    <row r="551" ht="45.0" customHeight="1">
      <c r="A551" s="21" t="s">
        <v>994</v>
      </c>
      <c r="B551" s="19" t="str">
        <f t="shared" si="29"/>
        <v>glameow</v>
      </c>
      <c r="C551" s="20" t="str">
        <f t="shared" si="30"/>
        <v/>
      </c>
    </row>
    <row r="552" ht="45.0" customHeight="1">
      <c r="A552" s="21" t="s">
        <v>771</v>
      </c>
      <c r="B552" s="19" t="str">
        <f t="shared" si="29"/>
        <v>purugly</v>
      </c>
      <c r="C552" s="20" t="str">
        <f t="shared" si="30"/>
        <v/>
      </c>
    </row>
    <row r="553" ht="45.0" customHeight="1">
      <c r="A553" s="21" t="s">
        <v>995</v>
      </c>
      <c r="B553" s="19" t="str">
        <f t="shared" si="29"/>
        <v>chingling</v>
      </c>
      <c r="C553" s="20" t="str">
        <f t="shared" si="30"/>
        <v/>
      </c>
    </row>
    <row r="554" ht="45.0" customHeight="1">
      <c r="A554" s="21" t="s">
        <v>996</v>
      </c>
      <c r="B554" s="19" t="str">
        <f t="shared" si="29"/>
        <v>stunky</v>
      </c>
      <c r="C554" s="20" t="str">
        <f t="shared" si="30"/>
        <v/>
      </c>
    </row>
    <row r="555" ht="45.0" customHeight="1">
      <c r="A555" s="21" t="s">
        <v>997</v>
      </c>
      <c r="B555" s="19" t="str">
        <f t="shared" si="29"/>
        <v>skuntank</v>
      </c>
      <c r="C555" s="20" t="str">
        <f t="shared" si="30"/>
        <v/>
      </c>
    </row>
    <row r="556" ht="45.0" customHeight="1">
      <c r="A556" s="21" t="s">
        <v>998</v>
      </c>
      <c r="B556" s="19" t="str">
        <f t="shared" si="29"/>
        <v>bronzor</v>
      </c>
      <c r="C556" s="20" t="str">
        <f t="shared" si="30"/>
        <v/>
      </c>
    </row>
    <row r="557" ht="45.0" customHeight="1">
      <c r="A557" s="21" t="s">
        <v>999</v>
      </c>
      <c r="B557" s="19" t="str">
        <f t="shared" si="29"/>
        <v>bronzong</v>
      </c>
      <c r="C557" s="20" t="str">
        <f t="shared" si="30"/>
        <v/>
      </c>
    </row>
    <row r="558" ht="45.0" customHeight="1">
      <c r="A558" s="21" t="s">
        <v>1000</v>
      </c>
      <c r="B558" s="19" t="str">
        <f t="shared" si="29"/>
        <v>bonsly</v>
      </c>
      <c r="C558" s="20" t="str">
        <f t="shared" si="30"/>
        <v/>
      </c>
    </row>
    <row r="559" ht="45.0" customHeight="1">
      <c r="A559" s="21" t="s">
        <v>1001</v>
      </c>
      <c r="B559" s="19" t="s">
        <v>1002</v>
      </c>
      <c r="C559" s="20" t="str">
        <f t="shared" si="30"/>
        <v/>
      </c>
    </row>
    <row r="560" ht="45.0" customHeight="1">
      <c r="A560" s="21" t="s">
        <v>1003</v>
      </c>
      <c r="B560" s="19" t="str">
        <f t="shared" ref="B560:B566" si="31">LOWER(A560)</f>
        <v>happiny</v>
      </c>
      <c r="C560" s="20" t="str">
        <f t="shared" si="30"/>
        <v/>
      </c>
    </row>
    <row r="561" ht="45.0" customHeight="1">
      <c r="A561" s="21" t="s">
        <v>1004</v>
      </c>
      <c r="B561" s="19" t="str">
        <f t="shared" si="31"/>
        <v>chatot</v>
      </c>
      <c r="C561" s="20" t="str">
        <f t="shared" si="30"/>
        <v/>
      </c>
    </row>
    <row r="562" ht="45.0" customHeight="1">
      <c r="A562" s="21" t="s">
        <v>1005</v>
      </c>
      <c r="B562" s="19" t="str">
        <f t="shared" si="31"/>
        <v>spiritomb</v>
      </c>
      <c r="C562" s="20" t="str">
        <f t="shared" si="30"/>
        <v/>
      </c>
    </row>
    <row r="563" ht="45.0" customHeight="1">
      <c r="A563" s="21" t="s">
        <v>1006</v>
      </c>
      <c r="B563" s="19" t="str">
        <f t="shared" si="31"/>
        <v>gible</v>
      </c>
      <c r="C563" s="20" t="str">
        <f t="shared" si="30"/>
        <v/>
      </c>
    </row>
    <row r="564" ht="45.0" customHeight="1">
      <c r="A564" s="21" t="s">
        <v>1007</v>
      </c>
      <c r="B564" s="19" t="str">
        <f t="shared" si="31"/>
        <v>gabite</v>
      </c>
      <c r="C564" s="20" t="str">
        <f t="shared" si="30"/>
        <v/>
      </c>
    </row>
    <row r="565" ht="45.0" customHeight="1">
      <c r="A565" s="21" t="s">
        <v>1008</v>
      </c>
      <c r="B565" s="19" t="str">
        <f t="shared" si="31"/>
        <v>garchomp</v>
      </c>
      <c r="C565" s="20" t="str">
        <f t="shared" si="30"/>
        <v/>
      </c>
    </row>
    <row r="566" ht="45.0" customHeight="1">
      <c r="A566" s="19" t="s">
        <v>1010</v>
      </c>
      <c r="B566" s="19" t="str">
        <f t="shared" si="31"/>
        <v>garchomp-mega</v>
      </c>
      <c r="C566" s="20" t="str">
        <f t="shared" si="30"/>
        <v/>
      </c>
    </row>
    <row r="567" ht="45.0" customHeight="1">
      <c r="A567" s="19" t="s">
        <v>1012</v>
      </c>
      <c r="B567" s="19" t="s">
        <v>1013</v>
      </c>
      <c r="C567" s="20" t="str">
        <f>(IMAGE("https://i.postimg.cc/q7Lgh129/custom-sprite-mega-garchomp-z-by-thesonicgameryt-dl36a0c.png", 3))</f>
        <v/>
      </c>
    </row>
    <row r="568" ht="45.0" customHeight="1">
      <c r="A568" s="21" t="s">
        <v>1016</v>
      </c>
      <c r="B568" s="19" t="str">
        <f t="shared" ref="B568:B571" si="32">LOWER(A568)</f>
        <v>munchlax</v>
      </c>
      <c r="C568" s="20" t="str">
        <f t="shared" ref="C568:C571" si="33">(IMAGE("https://play.pokemonshowdown.com/sprites/gen5/"&amp;B568&amp;".png", 3))</f>
        <v/>
      </c>
    </row>
    <row r="569" ht="45.0" customHeight="1">
      <c r="A569" s="21" t="s">
        <v>196</v>
      </c>
      <c r="B569" s="19" t="str">
        <f t="shared" si="32"/>
        <v>riolu</v>
      </c>
      <c r="C569" s="20" t="str">
        <f t="shared" si="33"/>
        <v/>
      </c>
    </row>
    <row r="570" ht="45.0" customHeight="1">
      <c r="A570" s="21" t="s">
        <v>889</v>
      </c>
      <c r="B570" s="19" t="str">
        <f t="shared" si="32"/>
        <v>lucario</v>
      </c>
      <c r="C570" s="20" t="str">
        <f t="shared" si="33"/>
        <v/>
      </c>
    </row>
    <row r="571" ht="45.0" customHeight="1">
      <c r="A571" s="19" t="s">
        <v>1024</v>
      </c>
      <c r="B571" s="19" t="str">
        <f t="shared" si="32"/>
        <v>lucario-mega</v>
      </c>
      <c r="C571" s="20" t="str">
        <f t="shared" si="33"/>
        <v/>
      </c>
    </row>
    <row r="572" ht="45.0" customHeight="1">
      <c r="A572" s="19" t="s">
        <v>1026</v>
      </c>
      <c r="B572" s="19" t="s">
        <v>1028</v>
      </c>
      <c r="C572" s="20" t="str">
        <f>(IMAGE("https://i.postimg.cc/FHHyHJtf/lucariomegaz-by-kingofthe-x-roads-dl0x8qf-(1).png", 3))</f>
        <v/>
      </c>
    </row>
    <row r="573" ht="45.0" customHeight="1">
      <c r="A573" s="21" t="s">
        <v>1034</v>
      </c>
      <c r="B573" s="19" t="str">
        <f t="shared" ref="B573:B598" si="34">LOWER(A573)</f>
        <v>hippopotas</v>
      </c>
      <c r="C573" s="20" t="str">
        <f t="shared" ref="C573:C604" si="35">(IMAGE("https://play.pokemonshowdown.com/sprites/gen5/"&amp;B573&amp;".png", 3))</f>
        <v/>
      </c>
    </row>
    <row r="574" ht="45.0" customHeight="1">
      <c r="A574" s="21" t="s">
        <v>1049</v>
      </c>
      <c r="B574" s="19" t="str">
        <f t="shared" si="34"/>
        <v>hippowdon</v>
      </c>
      <c r="C574" s="20" t="str">
        <f t="shared" si="35"/>
        <v/>
      </c>
    </row>
    <row r="575" ht="45.0" customHeight="1">
      <c r="A575" s="21" t="s">
        <v>1051</v>
      </c>
      <c r="B575" s="19" t="str">
        <f t="shared" si="34"/>
        <v>skorupi</v>
      </c>
      <c r="C575" s="20" t="str">
        <f t="shared" si="35"/>
        <v/>
      </c>
    </row>
    <row r="576" ht="45.0" customHeight="1">
      <c r="A576" s="21" t="s">
        <v>1053</v>
      </c>
      <c r="B576" s="19" t="str">
        <f t="shared" si="34"/>
        <v>drapion</v>
      </c>
      <c r="C576" s="20" t="str">
        <f t="shared" si="35"/>
        <v/>
      </c>
    </row>
    <row r="577" ht="45.0" customHeight="1">
      <c r="A577" s="21" t="s">
        <v>1056</v>
      </c>
      <c r="B577" s="19" t="str">
        <f t="shared" si="34"/>
        <v>croagunk</v>
      </c>
      <c r="C577" s="20" t="str">
        <f t="shared" si="35"/>
        <v/>
      </c>
    </row>
    <row r="578" ht="45.0" customHeight="1">
      <c r="A578" s="21" t="s">
        <v>1058</v>
      </c>
      <c r="B578" s="19" t="str">
        <f t="shared" si="34"/>
        <v>toxicroak</v>
      </c>
      <c r="C578" s="20" t="str">
        <f t="shared" si="35"/>
        <v/>
      </c>
    </row>
    <row r="579" ht="45.0" customHeight="1">
      <c r="A579" s="21" t="s">
        <v>401</v>
      </c>
      <c r="B579" s="19" t="str">
        <f t="shared" si="34"/>
        <v>carnivine</v>
      </c>
      <c r="C579" s="20" t="str">
        <f t="shared" si="35"/>
        <v/>
      </c>
    </row>
    <row r="580" ht="45.0" customHeight="1">
      <c r="A580" s="21" t="s">
        <v>1061</v>
      </c>
      <c r="B580" s="19" t="str">
        <f t="shared" si="34"/>
        <v>finneon</v>
      </c>
      <c r="C580" s="20" t="str">
        <f t="shared" si="35"/>
        <v/>
      </c>
    </row>
    <row r="581" ht="45.0" customHeight="1">
      <c r="A581" s="21" t="s">
        <v>1062</v>
      </c>
      <c r="B581" s="19" t="str">
        <f t="shared" si="34"/>
        <v>lumineon</v>
      </c>
      <c r="C581" s="20" t="str">
        <f t="shared" si="35"/>
        <v/>
      </c>
    </row>
    <row r="582" ht="45.0" customHeight="1">
      <c r="A582" s="21" t="s">
        <v>1063</v>
      </c>
      <c r="B582" s="19" t="str">
        <f t="shared" si="34"/>
        <v>mantyke</v>
      </c>
      <c r="C582" s="20" t="str">
        <f t="shared" si="35"/>
        <v/>
      </c>
    </row>
    <row r="583" ht="45.0" customHeight="1">
      <c r="A583" s="21" t="s">
        <v>1066</v>
      </c>
      <c r="B583" s="19" t="str">
        <f t="shared" si="34"/>
        <v>snover</v>
      </c>
      <c r="C583" s="20" t="str">
        <f t="shared" si="35"/>
        <v/>
      </c>
    </row>
    <row r="584" ht="45.0" customHeight="1">
      <c r="A584" s="21" t="s">
        <v>1067</v>
      </c>
      <c r="B584" s="19" t="str">
        <f t="shared" si="34"/>
        <v>abomasnow</v>
      </c>
      <c r="C584" s="20" t="str">
        <f t="shared" si="35"/>
        <v/>
      </c>
    </row>
    <row r="585" ht="45.0" customHeight="1">
      <c r="A585" s="19" t="s">
        <v>1070</v>
      </c>
      <c r="B585" s="19" t="str">
        <f t="shared" si="34"/>
        <v>abomasnow-mega</v>
      </c>
      <c r="C585" s="20" t="str">
        <f t="shared" si="35"/>
        <v/>
      </c>
    </row>
    <row r="586" ht="45.0" customHeight="1">
      <c r="A586" s="21" t="s">
        <v>1071</v>
      </c>
      <c r="B586" s="19" t="str">
        <f t="shared" si="34"/>
        <v>weavile</v>
      </c>
      <c r="C586" s="20" t="str">
        <f t="shared" si="35"/>
        <v/>
      </c>
    </row>
    <row r="587" ht="45.0" customHeight="1">
      <c r="A587" s="21" t="s">
        <v>1073</v>
      </c>
      <c r="B587" s="19" t="str">
        <f t="shared" si="34"/>
        <v>magnezone</v>
      </c>
      <c r="C587" s="20" t="str">
        <f t="shared" si="35"/>
        <v/>
      </c>
    </row>
    <row r="588" ht="45.0" customHeight="1">
      <c r="A588" s="21" t="s">
        <v>1075</v>
      </c>
      <c r="B588" s="19" t="str">
        <f t="shared" si="34"/>
        <v>lickilicky</v>
      </c>
      <c r="C588" s="20" t="str">
        <f t="shared" si="35"/>
        <v/>
      </c>
    </row>
    <row r="589" ht="45.0" customHeight="1">
      <c r="A589" s="21" t="s">
        <v>1076</v>
      </c>
      <c r="B589" s="19" t="str">
        <f t="shared" si="34"/>
        <v>rhyperior</v>
      </c>
      <c r="C589" s="20" t="str">
        <f t="shared" si="35"/>
        <v/>
      </c>
    </row>
    <row r="590" ht="45.0" customHeight="1">
      <c r="A590" s="21" t="s">
        <v>1077</v>
      </c>
      <c r="B590" s="19" t="str">
        <f t="shared" si="34"/>
        <v>tangrowth</v>
      </c>
      <c r="C590" s="20" t="str">
        <f t="shared" si="35"/>
        <v/>
      </c>
    </row>
    <row r="591" ht="45.0" customHeight="1">
      <c r="A591" s="21" t="s">
        <v>1078</v>
      </c>
      <c r="B591" s="19" t="str">
        <f t="shared" si="34"/>
        <v>electivire</v>
      </c>
      <c r="C591" s="20" t="str">
        <f t="shared" si="35"/>
        <v/>
      </c>
    </row>
    <row r="592" ht="45.0" customHeight="1">
      <c r="A592" s="21" t="s">
        <v>1079</v>
      </c>
      <c r="B592" s="19" t="str">
        <f t="shared" si="34"/>
        <v>magmortar</v>
      </c>
      <c r="C592" s="20" t="str">
        <f t="shared" si="35"/>
        <v/>
      </c>
    </row>
    <row r="593" ht="45.0" customHeight="1">
      <c r="A593" s="21" t="s">
        <v>1080</v>
      </c>
      <c r="B593" s="19" t="str">
        <f t="shared" si="34"/>
        <v>togekiss</v>
      </c>
      <c r="C593" s="20" t="str">
        <f t="shared" si="35"/>
        <v/>
      </c>
    </row>
    <row r="594" ht="45.0" customHeight="1">
      <c r="A594" s="21" t="s">
        <v>1081</v>
      </c>
      <c r="B594" s="19" t="str">
        <f t="shared" si="34"/>
        <v>yanmega</v>
      </c>
      <c r="C594" s="20" t="str">
        <f t="shared" si="35"/>
        <v/>
      </c>
    </row>
    <row r="595" ht="45.0" customHeight="1">
      <c r="A595" s="21" t="s">
        <v>1082</v>
      </c>
      <c r="B595" s="19" t="str">
        <f t="shared" si="34"/>
        <v>leafeon</v>
      </c>
      <c r="C595" s="20" t="str">
        <f t="shared" si="35"/>
        <v/>
      </c>
    </row>
    <row r="596" ht="45.0" customHeight="1">
      <c r="A596" s="21" t="s">
        <v>1083</v>
      </c>
      <c r="B596" s="19" t="str">
        <f t="shared" si="34"/>
        <v>glaceon</v>
      </c>
      <c r="C596" s="20" t="str">
        <f t="shared" si="35"/>
        <v/>
      </c>
    </row>
    <row r="597" ht="45.0" customHeight="1">
      <c r="A597" s="21" t="s">
        <v>1084</v>
      </c>
      <c r="B597" s="19" t="str">
        <f t="shared" si="34"/>
        <v>gliscor</v>
      </c>
      <c r="C597" s="20" t="str">
        <f t="shared" si="35"/>
        <v/>
      </c>
    </row>
    <row r="598" ht="45.0" customHeight="1">
      <c r="A598" s="21" t="s">
        <v>1085</v>
      </c>
      <c r="B598" s="19" t="str">
        <f t="shared" si="34"/>
        <v>mamoswine</v>
      </c>
      <c r="C598" s="20" t="str">
        <f t="shared" si="35"/>
        <v/>
      </c>
    </row>
    <row r="599" ht="45.0" customHeight="1">
      <c r="A599" s="21" t="s">
        <v>1086</v>
      </c>
      <c r="B599" s="19" t="s">
        <v>1087</v>
      </c>
      <c r="C599" s="20" t="str">
        <f t="shared" si="35"/>
        <v/>
      </c>
    </row>
    <row r="600" ht="45.0" customHeight="1">
      <c r="A600" s="21" t="s">
        <v>1088</v>
      </c>
      <c r="B600" s="19" t="str">
        <f t="shared" ref="B600:B604" si="36">LOWER(A600)</f>
        <v>gallade</v>
      </c>
      <c r="C600" s="20" t="str">
        <f t="shared" si="35"/>
        <v/>
      </c>
    </row>
    <row r="601" ht="45.0" customHeight="1">
      <c r="A601" s="19" t="s">
        <v>1089</v>
      </c>
      <c r="B601" s="19" t="str">
        <f t="shared" si="36"/>
        <v>gallade-mega</v>
      </c>
      <c r="C601" s="20" t="str">
        <f t="shared" si="35"/>
        <v/>
      </c>
    </row>
    <row r="602" ht="45.0" customHeight="1">
      <c r="A602" s="21" t="s">
        <v>1090</v>
      </c>
      <c r="B602" s="19" t="str">
        <f t="shared" si="36"/>
        <v>probopass</v>
      </c>
      <c r="C602" s="20" t="str">
        <f t="shared" si="35"/>
        <v/>
      </c>
    </row>
    <row r="603" ht="45.0" customHeight="1">
      <c r="A603" s="21" t="s">
        <v>1091</v>
      </c>
      <c r="B603" s="19" t="str">
        <f t="shared" si="36"/>
        <v>dusknoir</v>
      </c>
      <c r="C603" s="20" t="str">
        <f t="shared" si="35"/>
        <v/>
      </c>
    </row>
    <row r="604" ht="45.0" customHeight="1">
      <c r="A604" s="21" t="s">
        <v>1092</v>
      </c>
      <c r="B604" s="19" t="str">
        <f t="shared" si="36"/>
        <v>froslass</v>
      </c>
      <c r="C604" s="20" t="str">
        <f t="shared" si="35"/>
        <v/>
      </c>
    </row>
    <row r="605" ht="45.0" customHeight="1">
      <c r="A605" s="19" t="s">
        <v>1093</v>
      </c>
      <c r="B605" s="19" t="s">
        <v>1094</v>
      </c>
      <c r="C605" s="20" t="str">
        <f>(IMAGE("https://pokedoku-space.nyc3.cdn.digitaloceanspaces.com/resources/pokemon/10285.png", 3))</f>
        <v/>
      </c>
    </row>
    <row r="606" ht="45.0" customHeight="1">
      <c r="A606" s="21" t="s">
        <v>1095</v>
      </c>
      <c r="B606" s="19" t="str">
        <f t="shared" ref="B606:B619" si="37">LOWER(A606)</f>
        <v>rotom</v>
      </c>
      <c r="C606" s="20" t="str">
        <f t="shared" ref="C606:C619" si="38">(IMAGE("https://play.pokemonshowdown.com/sprites/gen5/"&amp;B606&amp;".png", 3))</f>
        <v/>
      </c>
    </row>
    <row r="607" ht="45.0" customHeight="1">
      <c r="A607" s="21" t="s">
        <v>1096</v>
      </c>
      <c r="B607" s="19" t="str">
        <f t="shared" si="37"/>
        <v>rotom-frost</v>
      </c>
      <c r="C607" s="20" t="str">
        <f t="shared" si="38"/>
        <v/>
      </c>
    </row>
    <row r="608" ht="45.0" customHeight="1">
      <c r="A608" s="21" t="s">
        <v>1097</v>
      </c>
      <c r="B608" s="19" t="str">
        <f t="shared" si="37"/>
        <v>rotom-heat</v>
      </c>
      <c r="C608" s="20" t="str">
        <f t="shared" si="38"/>
        <v/>
      </c>
    </row>
    <row r="609" ht="45.0" customHeight="1">
      <c r="A609" s="19" t="s">
        <v>1098</v>
      </c>
      <c r="B609" s="19" t="str">
        <f t="shared" si="37"/>
        <v>rotom-mow</v>
      </c>
      <c r="C609" s="20" t="str">
        <f t="shared" si="38"/>
        <v/>
      </c>
    </row>
    <row r="610" ht="45.0" customHeight="1">
      <c r="A610" s="21" t="s">
        <v>1099</v>
      </c>
      <c r="B610" s="19" t="str">
        <f t="shared" si="37"/>
        <v>rotom-fan</v>
      </c>
      <c r="C610" s="20" t="str">
        <f t="shared" si="38"/>
        <v/>
      </c>
    </row>
    <row r="611" ht="45.0" customHeight="1">
      <c r="A611" s="21" t="s">
        <v>1100</v>
      </c>
      <c r="B611" s="19" t="str">
        <f t="shared" si="37"/>
        <v>rotom-wash</v>
      </c>
      <c r="C611" s="20" t="str">
        <f t="shared" si="38"/>
        <v/>
      </c>
    </row>
    <row r="612" ht="45.0" customHeight="1">
      <c r="A612" s="21" t="s">
        <v>1101</v>
      </c>
      <c r="B612" s="19" t="str">
        <f t="shared" si="37"/>
        <v>uxie</v>
      </c>
      <c r="C612" s="20" t="str">
        <f t="shared" si="38"/>
        <v/>
      </c>
    </row>
    <row r="613" ht="45.0" customHeight="1">
      <c r="A613" s="21" t="s">
        <v>1102</v>
      </c>
      <c r="B613" s="19" t="str">
        <f t="shared" si="37"/>
        <v>mesprit</v>
      </c>
      <c r="C613" s="20" t="str">
        <f t="shared" si="38"/>
        <v/>
      </c>
    </row>
    <row r="614" ht="45.0" customHeight="1">
      <c r="A614" s="21" t="s">
        <v>1103</v>
      </c>
      <c r="B614" s="19" t="str">
        <f t="shared" si="37"/>
        <v>azelf</v>
      </c>
      <c r="C614" s="20" t="str">
        <f t="shared" si="38"/>
        <v/>
      </c>
    </row>
    <row r="615" ht="45.0" customHeight="1">
      <c r="A615" s="21" t="s">
        <v>1104</v>
      </c>
      <c r="B615" s="19" t="str">
        <f t="shared" si="37"/>
        <v>dialga</v>
      </c>
      <c r="C615" s="20" t="str">
        <f t="shared" si="38"/>
        <v/>
      </c>
    </row>
    <row r="616" ht="45.0" customHeight="1">
      <c r="A616" s="43" t="s">
        <v>1105</v>
      </c>
      <c r="B616" s="19" t="str">
        <f t="shared" si="37"/>
        <v>dialga-origin</v>
      </c>
      <c r="C616" s="20" t="str">
        <f t="shared" si="38"/>
        <v/>
      </c>
    </row>
    <row r="617" ht="45.0" customHeight="1">
      <c r="A617" s="21" t="s">
        <v>1106</v>
      </c>
      <c r="B617" s="19" t="str">
        <f t="shared" si="37"/>
        <v>palkia</v>
      </c>
      <c r="C617" s="20" t="str">
        <f t="shared" si="38"/>
        <v/>
      </c>
    </row>
    <row r="618" ht="45.0" customHeight="1">
      <c r="A618" s="43" t="s">
        <v>1107</v>
      </c>
      <c r="B618" s="19" t="str">
        <f t="shared" si="37"/>
        <v>palkia-origin</v>
      </c>
      <c r="C618" s="20" t="str">
        <f t="shared" si="38"/>
        <v/>
      </c>
    </row>
    <row r="619" ht="45.0" customHeight="1">
      <c r="A619" s="21" t="s">
        <v>1108</v>
      </c>
      <c r="B619" s="19" t="str">
        <f t="shared" si="37"/>
        <v>heatran</v>
      </c>
      <c r="C619" s="20" t="str">
        <f t="shared" si="38"/>
        <v/>
      </c>
    </row>
    <row r="620" ht="45.0" customHeight="1">
      <c r="A620" s="19" t="s">
        <v>1109</v>
      </c>
      <c r="B620" s="19" t="s">
        <v>1110</v>
      </c>
      <c r="C620" s="20" t="str">
        <f>(IMAGE("https://i.postimg.cc/0j96XLPk/heatranmega-by-kingofthe-x-roads-dl30jp8-(1).png", 3))</f>
        <v/>
      </c>
    </row>
    <row r="621" ht="45.0" customHeight="1">
      <c r="A621" s="21" t="s">
        <v>1111</v>
      </c>
      <c r="B621" s="19" t="str">
        <f t="shared" ref="B621:B627" si="39">LOWER(A621)</f>
        <v>regigigas</v>
      </c>
      <c r="C621" s="20" t="str">
        <f t="shared" ref="C621:C627" si="40">(IMAGE("https://play.pokemonshowdown.com/sprites/gen5/"&amp;B621&amp;".png", 3))</f>
        <v/>
      </c>
    </row>
    <row r="622" ht="45.0" customHeight="1">
      <c r="A622" s="21" t="s">
        <v>1112</v>
      </c>
      <c r="B622" s="19" t="str">
        <f t="shared" si="39"/>
        <v>giratina</v>
      </c>
      <c r="C622" s="20" t="str">
        <f t="shared" si="40"/>
        <v/>
      </c>
    </row>
    <row r="623" ht="45.0" customHeight="1">
      <c r="A623" s="21" t="s">
        <v>1113</v>
      </c>
      <c r="B623" s="19" t="str">
        <f t="shared" si="39"/>
        <v>giratina-origin</v>
      </c>
      <c r="C623" s="20" t="str">
        <f t="shared" si="40"/>
        <v/>
      </c>
    </row>
    <row r="624" ht="45.0" customHeight="1">
      <c r="A624" s="21" t="s">
        <v>1114</v>
      </c>
      <c r="B624" s="19" t="str">
        <f t="shared" si="39"/>
        <v>cresselia</v>
      </c>
      <c r="C624" s="20" t="str">
        <f t="shared" si="40"/>
        <v/>
      </c>
    </row>
    <row r="625" ht="45.0" customHeight="1">
      <c r="A625" s="21" t="s">
        <v>766</v>
      </c>
      <c r="B625" s="19" t="str">
        <f t="shared" si="39"/>
        <v>phione</v>
      </c>
      <c r="C625" s="20" t="str">
        <f t="shared" si="40"/>
        <v/>
      </c>
    </row>
    <row r="626" ht="45.0" customHeight="1">
      <c r="A626" s="21" t="s">
        <v>1115</v>
      </c>
      <c r="B626" s="19" t="str">
        <f t="shared" si="39"/>
        <v>manaphy</v>
      </c>
      <c r="C626" s="20" t="str">
        <f t="shared" si="40"/>
        <v/>
      </c>
    </row>
    <row r="627" ht="45.0" customHeight="1">
      <c r="A627" s="21" t="s">
        <v>1116</v>
      </c>
      <c r="B627" s="19" t="str">
        <f t="shared" si="39"/>
        <v>darkrai</v>
      </c>
      <c r="C627" s="20" t="str">
        <f t="shared" si="40"/>
        <v/>
      </c>
    </row>
    <row r="628" ht="45.0" customHeight="1">
      <c r="A628" s="19" t="s">
        <v>1117</v>
      </c>
      <c r="B628" s="19" t="s">
        <v>1118</v>
      </c>
      <c r="C628" s="20" t="str">
        <f>(IMAGE("https://i.postimg.cc/J0JLJh95/mega-darkrai-sprite-by-kiriaura-dl2lskl.png", 3))</f>
        <v/>
      </c>
    </row>
    <row r="629" ht="45.0" customHeight="1">
      <c r="A629" s="21" t="s">
        <v>1121</v>
      </c>
      <c r="B629" s="19" t="str">
        <f t="shared" ref="B629:B655" si="41">LOWER(A629)</f>
        <v>shaymin</v>
      </c>
      <c r="C629" s="20" t="str">
        <f t="shared" ref="C629:C655" si="42">(IMAGE("https://play.pokemonshowdown.com/sprites/gen5/"&amp;B629&amp;".png", 3))</f>
        <v/>
      </c>
    </row>
    <row r="630" ht="45.0" customHeight="1">
      <c r="A630" s="21" t="s">
        <v>1129</v>
      </c>
      <c r="B630" s="19" t="str">
        <f t="shared" si="41"/>
        <v>shaymin-sky</v>
      </c>
      <c r="C630" s="20" t="str">
        <f t="shared" si="42"/>
        <v/>
      </c>
    </row>
    <row r="631" ht="45.0" customHeight="1">
      <c r="A631" s="21" t="s">
        <v>1130</v>
      </c>
      <c r="B631" s="19" t="str">
        <f t="shared" si="41"/>
        <v>arceus</v>
      </c>
      <c r="C631" s="20" t="str">
        <f t="shared" si="42"/>
        <v/>
      </c>
    </row>
    <row r="632" ht="45.0" customHeight="1">
      <c r="A632" s="21" t="s">
        <v>1132</v>
      </c>
      <c r="B632" s="19" t="str">
        <f t="shared" si="41"/>
        <v>arceus-bug</v>
      </c>
      <c r="C632" s="20" t="str">
        <f t="shared" si="42"/>
        <v/>
      </c>
    </row>
    <row r="633" ht="45.0" customHeight="1">
      <c r="A633" s="21" t="s">
        <v>1133</v>
      </c>
      <c r="B633" s="19" t="str">
        <f t="shared" si="41"/>
        <v>arceus-dark</v>
      </c>
      <c r="C633" s="20" t="str">
        <f t="shared" si="42"/>
        <v/>
      </c>
    </row>
    <row r="634" ht="45.0" customHeight="1">
      <c r="A634" s="21" t="s">
        <v>1134</v>
      </c>
      <c r="B634" s="19" t="str">
        <f t="shared" si="41"/>
        <v>arceus-dragon</v>
      </c>
      <c r="C634" s="20" t="str">
        <f t="shared" si="42"/>
        <v/>
      </c>
    </row>
    <row r="635" ht="45.0" customHeight="1">
      <c r="A635" s="21" t="s">
        <v>1136</v>
      </c>
      <c r="B635" s="19" t="str">
        <f t="shared" si="41"/>
        <v>arceus-electric</v>
      </c>
      <c r="C635" s="20" t="str">
        <f t="shared" si="42"/>
        <v/>
      </c>
    </row>
    <row r="636" ht="45.0" customHeight="1">
      <c r="A636" s="21" t="s">
        <v>1137</v>
      </c>
      <c r="B636" s="19" t="str">
        <f t="shared" si="41"/>
        <v>arceus-fairy</v>
      </c>
      <c r="C636" s="20" t="str">
        <f t="shared" si="42"/>
        <v/>
      </c>
    </row>
    <row r="637" ht="45.0" customHeight="1">
      <c r="A637" s="21" t="s">
        <v>1138</v>
      </c>
      <c r="B637" s="19" t="str">
        <f t="shared" si="41"/>
        <v>arceus-fighting</v>
      </c>
      <c r="C637" s="20" t="str">
        <f t="shared" si="42"/>
        <v/>
      </c>
    </row>
    <row r="638" ht="45.0" customHeight="1">
      <c r="A638" s="21" t="s">
        <v>1139</v>
      </c>
      <c r="B638" s="19" t="str">
        <f t="shared" si="41"/>
        <v>arceus-fire</v>
      </c>
      <c r="C638" s="20" t="str">
        <f t="shared" si="42"/>
        <v/>
      </c>
    </row>
    <row r="639" ht="45.0" customHeight="1">
      <c r="A639" s="21" t="s">
        <v>1140</v>
      </c>
      <c r="B639" s="19" t="str">
        <f t="shared" si="41"/>
        <v>arceus-flying</v>
      </c>
      <c r="C639" s="20" t="str">
        <f t="shared" si="42"/>
        <v/>
      </c>
    </row>
    <row r="640" ht="45.0" customHeight="1">
      <c r="A640" s="21" t="s">
        <v>1143</v>
      </c>
      <c r="B640" s="19" t="str">
        <f t="shared" si="41"/>
        <v>arceus-ghost</v>
      </c>
      <c r="C640" s="20" t="str">
        <f t="shared" si="42"/>
        <v/>
      </c>
    </row>
    <row r="641" ht="45.0" customHeight="1">
      <c r="A641" s="21" t="s">
        <v>1144</v>
      </c>
      <c r="B641" s="19" t="str">
        <f t="shared" si="41"/>
        <v>arceus-grass</v>
      </c>
      <c r="C641" s="20" t="str">
        <f t="shared" si="42"/>
        <v/>
      </c>
    </row>
    <row r="642" ht="45.0" customHeight="1">
      <c r="A642" s="21" t="s">
        <v>1145</v>
      </c>
      <c r="B642" s="19" t="str">
        <f t="shared" si="41"/>
        <v>arceus-ground</v>
      </c>
      <c r="C642" s="20" t="str">
        <f t="shared" si="42"/>
        <v/>
      </c>
    </row>
    <row r="643" ht="45.0" customHeight="1">
      <c r="A643" s="21" t="s">
        <v>1149</v>
      </c>
      <c r="B643" s="19" t="str">
        <f t="shared" si="41"/>
        <v>arceus-ice</v>
      </c>
      <c r="C643" s="20" t="str">
        <f t="shared" si="42"/>
        <v/>
      </c>
    </row>
    <row r="644" ht="45.0" customHeight="1">
      <c r="A644" s="21" t="s">
        <v>1151</v>
      </c>
      <c r="B644" s="19" t="str">
        <f t="shared" si="41"/>
        <v>arceus-poison</v>
      </c>
      <c r="C644" s="20" t="str">
        <f t="shared" si="42"/>
        <v/>
      </c>
    </row>
    <row r="645" ht="45.0" customHeight="1">
      <c r="A645" s="21" t="s">
        <v>1154</v>
      </c>
      <c r="B645" s="19" t="str">
        <f t="shared" si="41"/>
        <v>arceus-psychic</v>
      </c>
      <c r="C645" s="20" t="str">
        <f t="shared" si="42"/>
        <v/>
      </c>
    </row>
    <row r="646" ht="45.0" customHeight="1">
      <c r="A646" s="21" t="s">
        <v>1155</v>
      </c>
      <c r="B646" s="19" t="str">
        <f t="shared" si="41"/>
        <v>arceus-rock</v>
      </c>
      <c r="C646" s="20" t="str">
        <f t="shared" si="42"/>
        <v/>
      </c>
    </row>
    <row r="647" ht="45.0" customHeight="1">
      <c r="A647" s="21" t="s">
        <v>1156</v>
      </c>
      <c r="B647" s="19" t="str">
        <f t="shared" si="41"/>
        <v>arceus-steel</v>
      </c>
      <c r="C647" s="20" t="str">
        <f t="shared" si="42"/>
        <v/>
      </c>
    </row>
    <row r="648" ht="45.0" customHeight="1">
      <c r="A648" s="21" t="s">
        <v>1157</v>
      </c>
      <c r="B648" s="19" t="str">
        <f t="shared" si="41"/>
        <v>arceus-water</v>
      </c>
      <c r="C648" s="20" t="str">
        <f t="shared" si="42"/>
        <v/>
      </c>
    </row>
    <row r="649" ht="45.0" customHeight="1">
      <c r="A649" s="21" t="s">
        <v>1160</v>
      </c>
      <c r="B649" s="19" t="str">
        <f t="shared" si="41"/>
        <v>victini</v>
      </c>
      <c r="C649" s="20" t="str">
        <f t="shared" si="42"/>
        <v/>
      </c>
    </row>
    <row r="650" ht="45.0" customHeight="1">
      <c r="A650" s="21" t="s">
        <v>1161</v>
      </c>
      <c r="B650" s="19" t="str">
        <f t="shared" si="41"/>
        <v>snivy</v>
      </c>
      <c r="C650" s="20" t="str">
        <f t="shared" si="42"/>
        <v/>
      </c>
    </row>
    <row r="651" ht="45.0" customHeight="1">
      <c r="A651" s="21" t="s">
        <v>1164</v>
      </c>
      <c r="B651" s="19" t="str">
        <f t="shared" si="41"/>
        <v>servine</v>
      </c>
      <c r="C651" s="20" t="str">
        <f t="shared" si="42"/>
        <v/>
      </c>
    </row>
    <row r="652" ht="45.0" customHeight="1">
      <c r="A652" s="21" t="s">
        <v>1167</v>
      </c>
      <c r="B652" s="19" t="str">
        <f t="shared" si="41"/>
        <v>serperior</v>
      </c>
      <c r="C652" s="20" t="str">
        <f t="shared" si="42"/>
        <v/>
      </c>
    </row>
    <row r="653" ht="45.0" customHeight="1">
      <c r="A653" s="21" t="s">
        <v>1168</v>
      </c>
      <c r="B653" s="19" t="str">
        <f t="shared" si="41"/>
        <v>tepig</v>
      </c>
      <c r="C653" s="20" t="str">
        <f t="shared" si="42"/>
        <v/>
      </c>
    </row>
    <row r="654" ht="45.0" customHeight="1">
      <c r="A654" s="21" t="s">
        <v>1171</v>
      </c>
      <c r="B654" s="19" t="str">
        <f t="shared" si="41"/>
        <v>pignite</v>
      </c>
      <c r="C654" s="20" t="str">
        <f t="shared" si="42"/>
        <v/>
      </c>
    </row>
    <row r="655" ht="45.0" customHeight="1">
      <c r="A655" s="21" t="s">
        <v>1172</v>
      </c>
      <c r="B655" s="19" t="str">
        <f t="shared" si="41"/>
        <v>emboar</v>
      </c>
      <c r="C655" s="20" t="str">
        <f t="shared" si="42"/>
        <v/>
      </c>
    </row>
    <row r="656" ht="45.0" customHeight="1">
      <c r="A656" s="19" t="s">
        <v>1174</v>
      </c>
      <c r="B656" s="19" t="s">
        <v>1175</v>
      </c>
      <c r="C656" s="20" t="str">
        <f>(IMAGE("https://pokedoku-space.nyc3.cdn.digitaloceanspaces.com/resources/pokemon/10286.png", 3))</f>
        <v/>
      </c>
    </row>
    <row r="657" ht="45.0" customHeight="1">
      <c r="A657" s="21" t="s">
        <v>192</v>
      </c>
      <c r="B657" s="19" t="str">
        <f t="shared" ref="B657:B687" si="43">LOWER(A657)</f>
        <v>oshawott</v>
      </c>
      <c r="C657" s="20" t="str">
        <f t="shared" ref="C657:C687" si="44">(IMAGE("https://play.pokemonshowdown.com/sprites/gen5/"&amp;B657&amp;".png", 3))</f>
        <v/>
      </c>
    </row>
    <row r="658" ht="45.0" customHeight="1">
      <c r="A658" s="21" t="s">
        <v>1178</v>
      </c>
      <c r="B658" s="19" t="str">
        <f t="shared" si="43"/>
        <v>dewott</v>
      </c>
      <c r="C658" s="20" t="str">
        <f t="shared" si="44"/>
        <v/>
      </c>
    </row>
    <row r="659" ht="45.0" customHeight="1">
      <c r="A659" s="21" t="s">
        <v>1179</v>
      </c>
      <c r="B659" s="19" t="str">
        <f t="shared" si="43"/>
        <v>samurott</v>
      </c>
      <c r="C659" s="20" t="str">
        <f t="shared" si="44"/>
        <v/>
      </c>
    </row>
    <row r="660" ht="45.0" customHeight="1">
      <c r="A660" s="43" t="s">
        <v>1180</v>
      </c>
      <c r="B660" s="19" t="str">
        <f t="shared" si="43"/>
        <v>samurott-hisui</v>
      </c>
      <c r="C660" s="20" t="str">
        <f t="shared" si="44"/>
        <v/>
      </c>
    </row>
    <row r="661" ht="45.0" customHeight="1">
      <c r="A661" s="21" t="s">
        <v>1181</v>
      </c>
      <c r="B661" s="19" t="str">
        <f t="shared" si="43"/>
        <v>patrat</v>
      </c>
      <c r="C661" s="20" t="str">
        <f t="shared" si="44"/>
        <v/>
      </c>
    </row>
    <row r="662" ht="45.0" customHeight="1">
      <c r="A662" s="21" t="s">
        <v>1182</v>
      </c>
      <c r="B662" s="19" t="str">
        <f t="shared" si="43"/>
        <v>watchog</v>
      </c>
      <c r="C662" s="20" t="str">
        <f t="shared" si="44"/>
        <v/>
      </c>
    </row>
    <row r="663" ht="45.0" customHeight="1">
      <c r="A663" s="21" t="s">
        <v>1183</v>
      </c>
      <c r="B663" s="19" t="str">
        <f t="shared" si="43"/>
        <v>lillipup</v>
      </c>
      <c r="C663" s="20" t="str">
        <f t="shared" si="44"/>
        <v/>
      </c>
    </row>
    <row r="664" ht="45.0" customHeight="1">
      <c r="A664" s="21" t="s">
        <v>1184</v>
      </c>
      <c r="B664" s="19" t="str">
        <f t="shared" si="43"/>
        <v>herdier</v>
      </c>
      <c r="C664" s="20" t="str">
        <f t="shared" si="44"/>
        <v/>
      </c>
    </row>
    <row r="665" ht="45.0" customHeight="1">
      <c r="A665" s="21" t="s">
        <v>1185</v>
      </c>
      <c r="B665" s="19" t="str">
        <f t="shared" si="43"/>
        <v>stoutland</v>
      </c>
      <c r="C665" s="20" t="str">
        <f t="shared" si="44"/>
        <v/>
      </c>
    </row>
    <row r="666" ht="45.0" customHeight="1">
      <c r="A666" s="21" t="s">
        <v>1186</v>
      </c>
      <c r="B666" s="19" t="str">
        <f t="shared" si="43"/>
        <v>purrloin</v>
      </c>
      <c r="C666" s="20" t="str">
        <f t="shared" si="44"/>
        <v/>
      </c>
    </row>
    <row r="667" ht="45.0" customHeight="1">
      <c r="A667" s="21" t="s">
        <v>1120</v>
      </c>
      <c r="B667" s="19" t="str">
        <f t="shared" si="43"/>
        <v>liepard</v>
      </c>
      <c r="C667" s="20" t="str">
        <f t="shared" si="44"/>
        <v/>
      </c>
    </row>
    <row r="668" ht="45.0" customHeight="1">
      <c r="A668" s="21" t="s">
        <v>1187</v>
      </c>
      <c r="B668" s="19" t="str">
        <f t="shared" si="43"/>
        <v>pansage</v>
      </c>
      <c r="C668" s="20" t="str">
        <f t="shared" si="44"/>
        <v/>
      </c>
    </row>
    <row r="669" ht="45.0" customHeight="1">
      <c r="A669" s="21" t="s">
        <v>533</v>
      </c>
      <c r="B669" s="19" t="str">
        <f t="shared" si="43"/>
        <v>simisage</v>
      </c>
      <c r="C669" s="20" t="str">
        <f t="shared" si="44"/>
        <v/>
      </c>
    </row>
    <row r="670" ht="45.0" customHeight="1">
      <c r="A670" s="21" t="s">
        <v>1188</v>
      </c>
      <c r="B670" s="19" t="str">
        <f t="shared" si="43"/>
        <v>pansear</v>
      </c>
      <c r="C670" s="20" t="str">
        <f t="shared" si="44"/>
        <v/>
      </c>
    </row>
    <row r="671" ht="45.0" customHeight="1">
      <c r="A671" s="21" t="s">
        <v>1189</v>
      </c>
      <c r="B671" s="19" t="str">
        <f t="shared" si="43"/>
        <v>simisear</v>
      </c>
      <c r="C671" s="20" t="str">
        <f t="shared" si="44"/>
        <v/>
      </c>
    </row>
    <row r="672" ht="45.0" customHeight="1">
      <c r="A672" s="21" t="s">
        <v>1190</v>
      </c>
      <c r="B672" s="19" t="str">
        <f t="shared" si="43"/>
        <v>panpour</v>
      </c>
      <c r="C672" s="20" t="str">
        <f t="shared" si="44"/>
        <v/>
      </c>
    </row>
    <row r="673" ht="45.0" customHeight="1">
      <c r="A673" s="21" t="s">
        <v>1191</v>
      </c>
      <c r="B673" s="19" t="str">
        <f t="shared" si="43"/>
        <v>simipour</v>
      </c>
      <c r="C673" s="20" t="str">
        <f t="shared" si="44"/>
        <v/>
      </c>
    </row>
    <row r="674" ht="45.0" customHeight="1">
      <c r="A674" s="21" t="s">
        <v>1192</v>
      </c>
      <c r="B674" s="19" t="str">
        <f t="shared" si="43"/>
        <v>munna</v>
      </c>
      <c r="C674" s="20" t="str">
        <f t="shared" si="44"/>
        <v/>
      </c>
    </row>
    <row r="675" ht="45.0" customHeight="1">
      <c r="A675" s="21" t="s">
        <v>1193</v>
      </c>
      <c r="B675" s="19" t="str">
        <f t="shared" si="43"/>
        <v>musharna</v>
      </c>
      <c r="C675" s="20" t="str">
        <f t="shared" si="44"/>
        <v/>
      </c>
    </row>
    <row r="676" ht="45.0" customHeight="1">
      <c r="A676" s="21" t="s">
        <v>1194</v>
      </c>
      <c r="B676" s="19" t="str">
        <f t="shared" si="43"/>
        <v>pidove</v>
      </c>
      <c r="C676" s="20" t="str">
        <f t="shared" si="44"/>
        <v/>
      </c>
    </row>
    <row r="677" ht="45.0" customHeight="1">
      <c r="A677" s="21" t="s">
        <v>1195</v>
      </c>
      <c r="B677" s="19" t="str">
        <f t="shared" si="43"/>
        <v>tranquill</v>
      </c>
      <c r="C677" s="20" t="str">
        <f t="shared" si="44"/>
        <v/>
      </c>
    </row>
    <row r="678" ht="45.0" customHeight="1">
      <c r="A678" s="21" t="s">
        <v>1196</v>
      </c>
      <c r="B678" s="19" t="str">
        <f t="shared" si="43"/>
        <v>unfezant</v>
      </c>
      <c r="C678" s="20" t="str">
        <f t="shared" si="44"/>
        <v/>
      </c>
    </row>
    <row r="679" ht="45.0" customHeight="1">
      <c r="A679" s="21" t="s">
        <v>1197</v>
      </c>
      <c r="B679" s="19" t="str">
        <f t="shared" si="43"/>
        <v>blitzle</v>
      </c>
      <c r="C679" s="20" t="str">
        <f t="shared" si="44"/>
        <v/>
      </c>
    </row>
    <row r="680" ht="45.0" customHeight="1">
      <c r="A680" s="21" t="s">
        <v>1020</v>
      </c>
      <c r="B680" s="19" t="str">
        <f t="shared" si="43"/>
        <v>zebstrika</v>
      </c>
      <c r="C680" s="20" t="str">
        <f t="shared" si="44"/>
        <v/>
      </c>
    </row>
    <row r="681" ht="45.0" customHeight="1">
      <c r="A681" s="21" t="s">
        <v>1198</v>
      </c>
      <c r="B681" s="19" t="str">
        <f t="shared" si="43"/>
        <v>roggenrola</v>
      </c>
      <c r="C681" s="20" t="str">
        <f t="shared" si="44"/>
        <v/>
      </c>
    </row>
    <row r="682" ht="45.0" customHeight="1">
      <c r="A682" s="21" t="s">
        <v>1199</v>
      </c>
      <c r="B682" s="19" t="str">
        <f t="shared" si="43"/>
        <v>boldore</v>
      </c>
      <c r="C682" s="20" t="str">
        <f t="shared" si="44"/>
        <v/>
      </c>
    </row>
    <row r="683" ht="45.0" customHeight="1">
      <c r="A683" s="21" t="s">
        <v>1200</v>
      </c>
      <c r="B683" s="19" t="str">
        <f t="shared" si="43"/>
        <v>gigalith</v>
      </c>
      <c r="C683" s="20" t="str">
        <f t="shared" si="44"/>
        <v/>
      </c>
    </row>
    <row r="684" ht="45.0" customHeight="1">
      <c r="A684" s="21" t="s">
        <v>1201</v>
      </c>
      <c r="B684" s="19" t="str">
        <f t="shared" si="43"/>
        <v>woobat</v>
      </c>
      <c r="C684" s="20" t="str">
        <f t="shared" si="44"/>
        <v/>
      </c>
    </row>
    <row r="685" ht="45.0" customHeight="1">
      <c r="A685" s="21" t="s">
        <v>1202</v>
      </c>
      <c r="B685" s="19" t="str">
        <f t="shared" si="43"/>
        <v>swoobat</v>
      </c>
      <c r="C685" s="20" t="str">
        <f t="shared" si="44"/>
        <v/>
      </c>
    </row>
    <row r="686" ht="45.0" customHeight="1">
      <c r="A686" s="21" t="s">
        <v>1203</v>
      </c>
      <c r="B686" s="19" t="str">
        <f t="shared" si="43"/>
        <v>drilbur</v>
      </c>
      <c r="C686" s="20" t="str">
        <f t="shared" si="44"/>
        <v/>
      </c>
    </row>
    <row r="687" ht="45.0" customHeight="1">
      <c r="A687" s="21" t="s">
        <v>1204</v>
      </c>
      <c r="B687" s="19" t="str">
        <f t="shared" si="43"/>
        <v>excadrill</v>
      </c>
      <c r="C687" s="20" t="str">
        <f t="shared" si="44"/>
        <v/>
      </c>
    </row>
    <row r="688" ht="45.0" customHeight="1">
      <c r="A688" s="19" t="s">
        <v>1205</v>
      </c>
      <c r="B688" s="19" t="s">
        <v>1206</v>
      </c>
      <c r="C688" s="20" t="str">
        <f>(IMAGE("https://pokedoku-space.nyc3.cdn.digitaloceanspaces.com/resources/pokemon/10287.png", 3))</f>
        <v/>
      </c>
    </row>
    <row r="689" ht="45.0" customHeight="1">
      <c r="A689" s="21" t="s">
        <v>1207</v>
      </c>
      <c r="B689" s="19" t="str">
        <f t="shared" ref="B689:B704" si="45">LOWER(A689)</f>
        <v>audino</v>
      </c>
      <c r="C689" s="20" t="str">
        <f t="shared" ref="C689:C704" si="46">(IMAGE("https://play.pokemonshowdown.com/sprites/gen5/"&amp;B689&amp;".png", 3))</f>
        <v/>
      </c>
    </row>
    <row r="690" ht="45.0" customHeight="1">
      <c r="A690" s="19" t="s">
        <v>1209</v>
      </c>
      <c r="B690" s="19" t="str">
        <f t="shared" si="45"/>
        <v>audino-mega</v>
      </c>
      <c r="C690" s="20" t="str">
        <f t="shared" si="46"/>
        <v/>
      </c>
    </row>
    <row r="691" ht="45.0" customHeight="1">
      <c r="A691" s="21" t="s">
        <v>1210</v>
      </c>
      <c r="B691" s="19" t="str">
        <f t="shared" si="45"/>
        <v>timburr</v>
      </c>
      <c r="C691" s="20" t="str">
        <f t="shared" si="46"/>
        <v/>
      </c>
    </row>
    <row r="692" ht="45.0" customHeight="1">
      <c r="A692" s="21" t="s">
        <v>1211</v>
      </c>
      <c r="B692" s="19" t="str">
        <f t="shared" si="45"/>
        <v>gurdurr</v>
      </c>
      <c r="C692" s="20" t="str">
        <f t="shared" si="46"/>
        <v/>
      </c>
    </row>
    <row r="693" ht="45.0" customHeight="1">
      <c r="A693" s="21" t="s">
        <v>1212</v>
      </c>
      <c r="B693" s="19" t="str">
        <f t="shared" si="45"/>
        <v>conkeldurr</v>
      </c>
      <c r="C693" s="20" t="str">
        <f t="shared" si="46"/>
        <v/>
      </c>
    </row>
    <row r="694" ht="45.0" customHeight="1">
      <c r="A694" s="21" t="s">
        <v>1215</v>
      </c>
      <c r="B694" s="19" t="str">
        <f t="shared" si="45"/>
        <v>tympole</v>
      </c>
      <c r="C694" s="20" t="str">
        <f t="shared" si="46"/>
        <v/>
      </c>
    </row>
    <row r="695" ht="45.0" customHeight="1">
      <c r="A695" s="21" t="s">
        <v>1217</v>
      </c>
      <c r="B695" s="19" t="str">
        <f t="shared" si="45"/>
        <v>palpitoad</v>
      </c>
      <c r="C695" s="20" t="str">
        <f t="shared" si="46"/>
        <v/>
      </c>
    </row>
    <row r="696" ht="45.0" customHeight="1">
      <c r="A696" s="21" t="s">
        <v>1218</v>
      </c>
      <c r="B696" s="19" t="str">
        <f t="shared" si="45"/>
        <v>seismitoad</v>
      </c>
      <c r="C696" s="20" t="str">
        <f t="shared" si="46"/>
        <v/>
      </c>
    </row>
    <row r="697" ht="45.0" customHeight="1">
      <c r="A697" s="21" t="s">
        <v>448</v>
      </c>
      <c r="B697" s="19" t="str">
        <f t="shared" si="45"/>
        <v>throh</v>
      </c>
      <c r="C697" s="20" t="str">
        <f t="shared" si="46"/>
        <v/>
      </c>
    </row>
    <row r="698" ht="45.0" customHeight="1">
      <c r="A698" s="21" t="s">
        <v>1219</v>
      </c>
      <c r="B698" s="19" t="str">
        <f t="shared" si="45"/>
        <v>sawk</v>
      </c>
      <c r="C698" s="20" t="str">
        <f t="shared" si="46"/>
        <v/>
      </c>
    </row>
    <row r="699" ht="45.0" customHeight="1">
      <c r="A699" s="21" t="s">
        <v>1220</v>
      </c>
      <c r="B699" s="19" t="str">
        <f t="shared" si="45"/>
        <v>sewaddle</v>
      </c>
      <c r="C699" s="20" t="str">
        <f t="shared" si="46"/>
        <v/>
      </c>
    </row>
    <row r="700" ht="45.0" customHeight="1">
      <c r="A700" s="21" t="s">
        <v>1221</v>
      </c>
      <c r="B700" s="19" t="str">
        <f t="shared" si="45"/>
        <v>swadloon</v>
      </c>
      <c r="C700" s="20" t="str">
        <f t="shared" si="46"/>
        <v/>
      </c>
    </row>
    <row r="701" ht="45.0" customHeight="1">
      <c r="A701" s="21" t="s">
        <v>1225</v>
      </c>
      <c r="B701" s="19" t="str">
        <f t="shared" si="45"/>
        <v>leavanny</v>
      </c>
      <c r="C701" s="20" t="str">
        <f t="shared" si="46"/>
        <v/>
      </c>
    </row>
    <row r="702" ht="45.0" customHeight="1">
      <c r="A702" s="21" t="s">
        <v>1226</v>
      </c>
      <c r="B702" s="19" t="str">
        <f t="shared" si="45"/>
        <v>venipede</v>
      </c>
      <c r="C702" s="20" t="str">
        <f t="shared" si="46"/>
        <v/>
      </c>
    </row>
    <row r="703" ht="45.0" customHeight="1">
      <c r="A703" s="21" t="s">
        <v>1229</v>
      </c>
      <c r="B703" s="19" t="str">
        <f t="shared" si="45"/>
        <v>whirlipede</v>
      </c>
      <c r="C703" s="20" t="str">
        <f t="shared" si="46"/>
        <v/>
      </c>
    </row>
    <row r="704" ht="45.0" customHeight="1">
      <c r="A704" s="21" t="s">
        <v>1230</v>
      </c>
      <c r="B704" s="19" t="str">
        <f t="shared" si="45"/>
        <v>scolipede</v>
      </c>
      <c r="C704" s="20" t="str">
        <f t="shared" si="46"/>
        <v/>
      </c>
    </row>
    <row r="705" ht="45.0" customHeight="1">
      <c r="A705" s="19" t="s">
        <v>1232</v>
      </c>
      <c r="B705" s="19" t="s">
        <v>1234</v>
      </c>
      <c r="C705" s="20" t="str">
        <f>(IMAGE("https://pokedoku-space.nyc3.cdn.digitaloceanspaces.com/resources/pokemon/10288.png", 3))</f>
        <v/>
      </c>
    </row>
    <row r="706" ht="45.0" customHeight="1">
      <c r="A706" s="21" t="s">
        <v>1236</v>
      </c>
      <c r="B706" s="19" t="str">
        <f t="shared" ref="B706:B717" si="47">LOWER(A706)</f>
        <v>cottonee</v>
      </c>
      <c r="C706" s="20" t="str">
        <f t="shared" ref="C706:C725" si="48">(IMAGE("https://play.pokemonshowdown.com/sprites/gen5/"&amp;B706&amp;".png", 3))</f>
        <v/>
      </c>
    </row>
    <row r="707" ht="45.0" customHeight="1">
      <c r="A707" s="21" t="s">
        <v>1240</v>
      </c>
      <c r="B707" s="19" t="str">
        <f t="shared" si="47"/>
        <v>whimsicott</v>
      </c>
      <c r="C707" s="20" t="str">
        <f t="shared" si="48"/>
        <v/>
      </c>
    </row>
    <row r="708" ht="45.0" customHeight="1">
      <c r="A708" s="21" t="s">
        <v>1241</v>
      </c>
      <c r="B708" s="19" t="str">
        <f t="shared" si="47"/>
        <v>petilil</v>
      </c>
      <c r="C708" s="20" t="str">
        <f t="shared" si="48"/>
        <v/>
      </c>
    </row>
    <row r="709" ht="45.0" customHeight="1">
      <c r="A709" s="21" t="s">
        <v>1243</v>
      </c>
      <c r="B709" s="19" t="str">
        <f t="shared" si="47"/>
        <v>lilligant</v>
      </c>
      <c r="C709" s="20" t="str">
        <f t="shared" si="48"/>
        <v/>
      </c>
    </row>
    <row r="710" ht="45.0" customHeight="1">
      <c r="A710" s="43" t="s">
        <v>1246</v>
      </c>
      <c r="B710" s="19" t="str">
        <f t="shared" si="47"/>
        <v>lilligant-hisui</v>
      </c>
      <c r="C710" s="20" t="str">
        <f t="shared" si="48"/>
        <v/>
      </c>
    </row>
    <row r="711" ht="45.0" customHeight="1">
      <c r="A711" s="21" t="s">
        <v>1119</v>
      </c>
      <c r="B711" s="19" t="str">
        <f t="shared" si="47"/>
        <v>basculin</v>
      </c>
      <c r="C711" s="20" t="str">
        <f t="shared" si="48"/>
        <v/>
      </c>
    </row>
    <row r="712" ht="45.0" customHeight="1">
      <c r="A712" s="21" t="s">
        <v>1247</v>
      </c>
      <c r="B712" s="19" t="str">
        <f t="shared" si="47"/>
        <v>sandile</v>
      </c>
      <c r="C712" s="20" t="str">
        <f t="shared" si="48"/>
        <v/>
      </c>
    </row>
    <row r="713" ht="45.0" customHeight="1">
      <c r="A713" s="21" t="s">
        <v>1249</v>
      </c>
      <c r="B713" s="19" t="str">
        <f t="shared" si="47"/>
        <v>krokorok</v>
      </c>
      <c r="C713" s="20" t="str">
        <f t="shared" si="48"/>
        <v/>
      </c>
    </row>
    <row r="714" ht="45.0" customHeight="1">
      <c r="A714" s="21" t="s">
        <v>1253</v>
      </c>
      <c r="B714" s="19" t="str">
        <f t="shared" si="47"/>
        <v>krookodile</v>
      </c>
      <c r="C714" s="20" t="str">
        <f t="shared" si="48"/>
        <v/>
      </c>
    </row>
    <row r="715" ht="45.0" customHeight="1">
      <c r="A715" s="21" t="s">
        <v>1254</v>
      </c>
      <c r="B715" s="19" t="str">
        <f t="shared" si="47"/>
        <v>darumaka</v>
      </c>
      <c r="C715" s="20" t="str">
        <f t="shared" si="48"/>
        <v/>
      </c>
    </row>
    <row r="716" ht="45.0" customHeight="1">
      <c r="A716" s="19" t="s">
        <v>1255</v>
      </c>
      <c r="B716" s="19" t="str">
        <f t="shared" si="47"/>
        <v>darumaka-galar</v>
      </c>
      <c r="C716" s="20" t="str">
        <f t="shared" si="48"/>
        <v/>
      </c>
    </row>
    <row r="717" ht="45.0" customHeight="1">
      <c r="A717" s="21" t="s">
        <v>1257</v>
      </c>
      <c r="B717" s="19" t="str">
        <f t="shared" si="47"/>
        <v>darmanitan</v>
      </c>
      <c r="C717" s="20" t="str">
        <f t="shared" si="48"/>
        <v/>
      </c>
    </row>
    <row r="718" ht="45.0" customHeight="1">
      <c r="A718" s="19" t="s">
        <v>1258</v>
      </c>
      <c r="B718" s="19" t="s">
        <v>1260</v>
      </c>
      <c r="C718" s="20" t="str">
        <f t="shared" si="48"/>
        <v/>
      </c>
    </row>
    <row r="719" ht="45.0" customHeight="1">
      <c r="A719" s="19" t="s">
        <v>1261</v>
      </c>
      <c r="B719" s="19" t="str">
        <f>LOWER(A719)</f>
        <v>darmanitan-galar</v>
      </c>
      <c r="C719" s="20" t="str">
        <f t="shared" si="48"/>
        <v/>
      </c>
    </row>
    <row r="720" ht="45.0" customHeight="1">
      <c r="A720" s="19" t="s">
        <v>1262</v>
      </c>
      <c r="B720" s="19" t="s">
        <v>1263</v>
      </c>
      <c r="C720" s="20" t="str">
        <f t="shared" si="48"/>
        <v/>
      </c>
    </row>
    <row r="721" ht="45.0" customHeight="1">
      <c r="A721" s="21" t="s">
        <v>1264</v>
      </c>
      <c r="B721" s="19" t="str">
        <f t="shared" ref="B721:B725" si="49">LOWER(A721)</f>
        <v>maractus</v>
      </c>
      <c r="C721" s="20" t="str">
        <f t="shared" si="48"/>
        <v/>
      </c>
    </row>
    <row r="722" ht="45.0" customHeight="1">
      <c r="A722" s="21" t="s">
        <v>1265</v>
      </c>
      <c r="B722" s="19" t="str">
        <f t="shared" si="49"/>
        <v>dwebble</v>
      </c>
      <c r="C722" s="20" t="str">
        <f t="shared" si="48"/>
        <v/>
      </c>
    </row>
    <row r="723" ht="45.0" customHeight="1">
      <c r="A723" s="21" t="s">
        <v>1266</v>
      </c>
      <c r="B723" s="19" t="str">
        <f t="shared" si="49"/>
        <v>crustle</v>
      </c>
      <c r="C723" s="20" t="str">
        <f t="shared" si="48"/>
        <v/>
      </c>
    </row>
    <row r="724" ht="45.0" customHeight="1">
      <c r="A724" s="21" t="s">
        <v>1267</v>
      </c>
      <c r="B724" s="19" t="str">
        <f t="shared" si="49"/>
        <v>scraggy</v>
      </c>
      <c r="C724" s="20" t="str">
        <f t="shared" si="48"/>
        <v/>
      </c>
    </row>
    <row r="725" ht="45.0" customHeight="1">
      <c r="A725" s="21" t="s">
        <v>1268</v>
      </c>
      <c r="B725" s="19" t="str">
        <f t="shared" si="49"/>
        <v>scrafty</v>
      </c>
      <c r="C725" s="20" t="str">
        <f t="shared" si="48"/>
        <v/>
      </c>
    </row>
    <row r="726" ht="45.0" customHeight="1">
      <c r="A726" s="19" t="s">
        <v>1269</v>
      </c>
      <c r="B726" s="19" t="s">
        <v>1270</v>
      </c>
      <c r="C726" s="20" t="str">
        <f>(IMAGE("https://pokedoku-space.nyc3.cdn.digitaloceanspaces.com/resources/pokemon/10289.png", 3))</f>
        <v/>
      </c>
    </row>
    <row r="727" ht="45.0" customHeight="1">
      <c r="A727" s="21" t="s">
        <v>1271</v>
      </c>
      <c r="B727" s="19" t="str">
        <f t="shared" ref="B727:B774" si="50">LOWER(A727)</f>
        <v>sigilyph</v>
      </c>
      <c r="C727" s="20" t="str">
        <f t="shared" ref="C727:C774" si="51">(IMAGE("https://play.pokemonshowdown.com/sprites/gen5/"&amp;B727&amp;".png", 3))</f>
        <v/>
      </c>
    </row>
    <row r="728" ht="45.0" customHeight="1">
      <c r="A728" s="21" t="s">
        <v>1272</v>
      </c>
      <c r="B728" s="19" t="str">
        <f t="shared" si="50"/>
        <v>yamask</v>
      </c>
      <c r="C728" s="20" t="str">
        <f t="shared" si="51"/>
        <v/>
      </c>
    </row>
    <row r="729" ht="45.0" customHeight="1">
      <c r="A729" s="19" t="s">
        <v>1273</v>
      </c>
      <c r="B729" s="19" t="str">
        <f t="shared" si="50"/>
        <v>yamask-galar</v>
      </c>
      <c r="C729" s="20" t="str">
        <f t="shared" si="51"/>
        <v/>
      </c>
    </row>
    <row r="730" ht="45.0" customHeight="1">
      <c r="A730" s="21" t="s">
        <v>1274</v>
      </c>
      <c r="B730" s="19" t="str">
        <f t="shared" si="50"/>
        <v>cofagrigus</v>
      </c>
      <c r="C730" s="20" t="str">
        <f t="shared" si="51"/>
        <v/>
      </c>
    </row>
    <row r="731" ht="45.0" customHeight="1">
      <c r="A731" s="21" t="s">
        <v>1275</v>
      </c>
      <c r="B731" s="19" t="str">
        <f t="shared" si="50"/>
        <v>tirtouga</v>
      </c>
      <c r="C731" s="20" t="str">
        <f t="shared" si="51"/>
        <v/>
      </c>
    </row>
    <row r="732" ht="45.0" customHeight="1">
      <c r="A732" s="21" t="s">
        <v>1276</v>
      </c>
      <c r="B732" s="19" t="str">
        <f t="shared" si="50"/>
        <v>carracosta</v>
      </c>
      <c r="C732" s="20" t="str">
        <f t="shared" si="51"/>
        <v/>
      </c>
    </row>
    <row r="733" ht="45.0" customHeight="1">
      <c r="A733" s="21" t="s">
        <v>1277</v>
      </c>
      <c r="B733" s="19" t="str">
        <f t="shared" si="50"/>
        <v>archen</v>
      </c>
      <c r="C733" s="20" t="str">
        <f t="shared" si="51"/>
        <v/>
      </c>
    </row>
    <row r="734" ht="45.0" customHeight="1">
      <c r="A734" s="21" t="s">
        <v>1280</v>
      </c>
      <c r="B734" s="19" t="str">
        <f t="shared" si="50"/>
        <v>archeops</v>
      </c>
      <c r="C734" s="20" t="str">
        <f t="shared" si="51"/>
        <v/>
      </c>
    </row>
    <row r="735" ht="45.0" customHeight="1">
      <c r="A735" s="21" t="s">
        <v>1282</v>
      </c>
      <c r="B735" s="19" t="str">
        <f t="shared" si="50"/>
        <v>trubbish</v>
      </c>
      <c r="C735" s="20" t="str">
        <f t="shared" si="51"/>
        <v/>
      </c>
    </row>
    <row r="736" ht="45.0" customHeight="1">
      <c r="A736" s="21" t="s">
        <v>1285</v>
      </c>
      <c r="B736" s="19" t="str">
        <f t="shared" si="50"/>
        <v>garbodor</v>
      </c>
      <c r="C736" s="20" t="str">
        <f t="shared" si="51"/>
        <v/>
      </c>
    </row>
    <row r="737" ht="45.0" customHeight="1">
      <c r="A737" s="21" t="s">
        <v>1287</v>
      </c>
      <c r="B737" s="19" t="str">
        <f t="shared" si="50"/>
        <v>garbodor-gmax</v>
      </c>
      <c r="C737" s="20" t="str">
        <f t="shared" si="51"/>
        <v/>
      </c>
    </row>
    <row r="738" ht="45.0" customHeight="1">
      <c r="A738" s="21" t="s">
        <v>1288</v>
      </c>
      <c r="B738" s="19" t="str">
        <f t="shared" si="50"/>
        <v>zorua</v>
      </c>
      <c r="C738" s="20" t="str">
        <f t="shared" si="51"/>
        <v/>
      </c>
    </row>
    <row r="739" ht="45.0" customHeight="1">
      <c r="A739" s="43" t="s">
        <v>1289</v>
      </c>
      <c r="B739" s="19" t="str">
        <f t="shared" si="50"/>
        <v>zorua-hisui</v>
      </c>
      <c r="C739" s="20" t="str">
        <f t="shared" si="51"/>
        <v/>
      </c>
    </row>
    <row r="740" ht="45.0" customHeight="1">
      <c r="A740" s="43" t="s">
        <v>1290</v>
      </c>
      <c r="B740" s="19" t="str">
        <f t="shared" si="50"/>
        <v>zoroark-hisui</v>
      </c>
      <c r="C740" s="20" t="str">
        <f t="shared" si="51"/>
        <v/>
      </c>
    </row>
    <row r="741" ht="45.0" customHeight="1">
      <c r="A741" s="21" t="s">
        <v>1292</v>
      </c>
      <c r="B741" s="19" t="str">
        <f t="shared" si="50"/>
        <v>zoroark</v>
      </c>
      <c r="C741" s="20" t="str">
        <f t="shared" si="51"/>
        <v/>
      </c>
    </row>
    <row r="742" ht="45.0" customHeight="1">
      <c r="A742" s="21" t="s">
        <v>1293</v>
      </c>
      <c r="B742" s="19" t="str">
        <f t="shared" si="50"/>
        <v>minccino</v>
      </c>
      <c r="C742" s="20" t="str">
        <f t="shared" si="51"/>
        <v/>
      </c>
    </row>
    <row r="743" ht="45.0" customHeight="1">
      <c r="A743" s="21" t="s">
        <v>1295</v>
      </c>
      <c r="B743" s="19" t="str">
        <f t="shared" si="50"/>
        <v>cinccino</v>
      </c>
      <c r="C743" s="20" t="str">
        <f t="shared" si="51"/>
        <v/>
      </c>
    </row>
    <row r="744" ht="45.0" customHeight="1">
      <c r="A744" s="21" t="s">
        <v>1296</v>
      </c>
      <c r="B744" s="19" t="str">
        <f t="shared" si="50"/>
        <v>gothita</v>
      </c>
      <c r="C744" s="20" t="str">
        <f t="shared" si="51"/>
        <v/>
      </c>
    </row>
    <row r="745" ht="45.0" customHeight="1">
      <c r="A745" s="21" t="s">
        <v>1297</v>
      </c>
      <c r="B745" s="19" t="str">
        <f t="shared" si="50"/>
        <v>gothorita</v>
      </c>
      <c r="C745" s="20" t="str">
        <f t="shared" si="51"/>
        <v/>
      </c>
    </row>
    <row r="746" ht="45.0" customHeight="1">
      <c r="A746" s="21" t="s">
        <v>1299</v>
      </c>
      <c r="B746" s="19" t="str">
        <f t="shared" si="50"/>
        <v>gothitelle</v>
      </c>
      <c r="C746" s="20" t="str">
        <f t="shared" si="51"/>
        <v/>
      </c>
    </row>
    <row r="747" ht="45.0" customHeight="1">
      <c r="A747" s="21" t="s">
        <v>1300</v>
      </c>
      <c r="B747" s="19" t="str">
        <f t="shared" si="50"/>
        <v>solosis</v>
      </c>
      <c r="C747" s="20" t="str">
        <f t="shared" si="51"/>
        <v/>
      </c>
    </row>
    <row r="748" ht="45.0" customHeight="1">
      <c r="A748" s="21" t="s">
        <v>1301</v>
      </c>
      <c r="B748" s="19" t="str">
        <f t="shared" si="50"/>
        <v>duosion</v>
      </c>
      <c r="C748" s="20" t="str">
        <f t="shared" si="51"/>
        <v/>
      </c>
    </row>
    <row r="749" ht="45.0" customHeight="1">
      <c r="A749" s="21" t="s">
        <v>1303</v>
      </c>
      <c r="B749" s="19" t="str">
        <f t="shared" si="50"/>
        <v>reuniclus</v>
      </c>
      <c r="C749" s="20" t="str">
        <f t="shared" si="51"/>
        <v/>
      </c>
    </row>
    <row r="750" ht="45.0" customHeight="1">
      <c r="A750" s="21" t="s">
        <v>1304</v>
      </c>
      <c r="B750" s="19" t="str">
        <f t="shared" si="50"/>
        <v>ducklett</v>
      </c>
      <c r="C750" s="20" t="str">
        <f t="shared" si="51"/>
        <v/>
      </c>
    </row>
    <row r="751" ht="45.0" customHeight="1">
      <c r="A751" s="21" t="s">
        <v>1305</v>
      </c>
      <c r="B751" s="19" t="str">
        <f t="shared" si="50"/>
        <v>swanna</v>
      </c>
      <c r="C751" s="20" t="str">
        <f t="shared" si="51"/>
        <v/>
      </c>
    </row>
    <row r="752" ht="45.0" customHeight="1">
      <c r="A752" s="21" t="s">
        <v>1306</v>
      </c>
      <c r="B752" s="19" t="str">
        <f t="shared" si="50"/>
        <v>vanillite</v>
      </c>
      <c r="C752" s="20" t="str">
        <f t="shared" si="51"/>
        <v/>
      </c>
    </row>
    <row r="753" ht="45.0" customHeight="1">
      <c r="A753" s="21" t="s">
        <v>1307</v>
      </c>
      <c r="B753" s="19" t="str">
        <f t="shared" si="50"/>
        <v>vanillish</v>
      </c>
      <c r="C753" s="20" t="str">
        <f t="shared" si="51"/>
        <v/>
      </c>
    </row>
    <row r="754" ht="45.0" customHeight="1">
      <c r="A754" s="21" t="s">
        <v>1308</v>
      </c>
      <c r="B754" s="19" t="str">
        <f t="shared" si="50"/>
        <v>vanilluxe</v>
      </c>
      <c r="C754" s="20" t="str">
        <f t="shared" si="51"/>
        <v/>
      </c>
    </row>
    <row r="755" ht="45.0" customHeight="1">
      <c r="A755" s="21" t="s">
        <v>1309</v>
      </c>
      <c r="B755" s="19" t="str">
        <f t="shared" si="50"/>
        <v>deerling</v>
      </c>
      <c r="C755" s="20" t="str">
        <f t="shared" si="51"/>
        <v/>
      </c>
    </row>
    <row r="756" ht="45.0" customHeight="1">
      <c r="A756" s="21" t="s">
        <v>884</v>
      </c>
      <c r="B756" s="19" t="str">
        <f t="shared" si="50"/>
        <v>sawsbuck</v>
      </c>
      <c r="C756" s="20" t="str">
        <f t="shared" si="51"/>
        <v/>
      </c>
    </row>
    <row r="757" ht="45.0" customHeight="1">
      <c r="A757" s="21" t="s">
        <v>1310</v>
      </c>
      <c r="B757" s="19" t="str">
        <f t="shared" si="50"/>
        <v>emolga</v>
      </c>
      <c r="C757" s="20" t="str">
        <f t="shared" si="51"/>
        <v/>
      </c>
    </row>
    <row r="758" ht="45.0" customHeight="1">
      <c r="A758" s="21" t="s">
        <v>1311</v>
      </c>
      <c r="B758" s="19" t="str">
        <f t="shared" si="50"/>
        <v>karrablast</v>
      </c>
      <c r="C758" s="20" t="str">
        <f t="shared" si="51"/>
        <v/>
      </c>
    </row>
    <row r="759" ht="45.0" customHeight="1">
      <c r="A759" s="21" t="s">
        <v>1312</v>
      </c>
      <c r="B759" s="19" t="str">
        <f t="shared" si="50"/>
        <v>escavalier</v>
      </c>
      <c r="C759" s="20" t="str">
        <f t="shared" si="51"/>
        <v/>
      </c>
    </row>
    <row r="760" ht="45.0" customHeight="1">
      <c r="A760" s="21" t="s">
        <v>1313</v>
      </c>
      <c r="B760" s="19" t="str">
        <f t="shared" si="50"/>
        <v>foongus</v>
      </c>
      <c r="C760" s="20" t="str">
        <f t="shared" si="51"/>
        <v/>
      </c>
    </row>
    <row r="761" ht="45.0" customHeight="1">
      <c r="A761" s="21" t="s">
        <v>1314</v>
      </c>
      <c r="B761" s="19" t="str">
        <f t="shared" si="50"/>
        <v>amoonguss</v>
      </c>
      <c r="C761" s="20" t="str">
        <f t="shared" si="51"/>
        <v/>
      </c>
    </row>
    <row r="762" ht="45.0" customHeight="1">
      <c r="A762" s="21" t="s">
        <v>1315</v>
      </c>
      <c r="B762" s="19" t="str">
        <f t="shared" si="50"/>
        <v>frillish</v>
      </c>
      <c r="C762" s="20" t="str">
        <f t="shared" si="51"/>
        <v/>
      </c>
    </row>
    <row r="763" ht="45.0" customHeight="1">
      <c r="A763" s="21" t="s">
        <v>1316</v>
      </c>
      <c r="B763" s="19" t="str">
        <f t="shared" si="50"/>
        <v>jellicent</v>
      </c>
      <c r="C763" s="20" t="str">
        <f t="shared" si="51"/>
        <v/>
      </c>
    </row>
    <row r="764" ht="45.0" customHeight="1">
      <c r="A764" s="21" t="s">
        <v>891</v>
      </c>
      <c r="B764" s="19" t="str">
        <f t="shared" si="50"/>
        <v>alomomola</v>
      </c>
      <c r="C764" s="20" t="str">
        <f t="shared" si="51"/>
        <v/>
      </c>
    </row>
    <row r="765" ht="45.0" customHeight="1">
      <c r="A765" s="21" t="s">
        <v>1317</v>
      </c>
      <c r="B765" s="19" t="str">
        <f t="shared" si="50"/>
        <v>joltik</v>
      </c>
      <c r="C765" s="20" t="str">
        <f t="shared" si="51"/>
        <v/>
      </c>
    </row>
    <row r="766" ht="45.0" customHeight="1">
      <c r="A766" s="21" t="s">
        <v>1318</v>
      </c>
      <c r="B766" s="19" t="str">
        <f t="shared" si="50"/>
        <v>galvantula</v>
      </c>
      <c r="C766" s="20" t="str">
        <f t="shared" si="51"/>
        <v/>
      </c>
    </row>
    <row r="767" ht="45.0" customHeight="1">
      <c r="A767" s="21" t="s">
        <v>1319</v>
      </c>
      <c r="B767" s="19" t="str">
        <f t="shared" si="50"/>
        <v>ferroseed</v>
      </c>
      <c r="C767" s="20" t="str">
        <f t="shared" si="51"/>
        <v/>
      </c>
    </row>
    <row r="768" ht="45.0" customHeight="1">
      <c r="A768" s="21" t="s">
        <v>1321</v>
      </c>
      <c r="B768" s="19" t="str">
        <f t="shared" si="50"/>
        <v>ferrothorn</v>
      </c>
      <c r="C768" s="20" t="str">
        <f t="shared" si="51"/>
        <v/>
      </c>
    </row>
    <row r="769" ht="45.0" customHeight="1">
      <c r="A769" s="21" t="s">
        <v>1323</v>
      </c>
      <c r="B769" s="19" t="str">
        <f t="shared" si="50"/>
        <v>klink</v>
      </c>
      <c r="C769" s="20" t="str">
        <f t="shared" si="51"/>
        <v/>
      </c>
    </row>
    <row r="770" ht="45.0" customHeight="1">
      <c r="A770" s="21" t="s">
        <v>1324</v>
      </c>
      <c r="B770" s="19" t="str">
        <f t="shared" si="50"/>
        <v>klang</v>
      </c>
      <c r="C770" s="20" t="str">
        <f t="shared" si="51"/>
        <v/>
      </c>
    </row>
    <row r="771" ht="45.0" customHeight="1">
      <c r="A771" s="21" t="s">
        <v>1325</v>
      </c>
      <c r="B771" s="19" t="str">
        <f t="shared" si="50"/>
        <v>klinklang</v>
      </c>
      <c r="C771" s="20" t="str">
        <f t="shared" si="51"/>
        <v/>
      </c>
    </row>
    <row r="772" ht="45.0" customHeight="1">
      <c r="A772" s="21" t="s">
        <v>1327</v>
      </c>
      <c r="B772" s="19" t="str">
        <f t="shared" si="50"/>
        <v>tynamo</v>
      </c>
      <c r="C772" s="20" t="str">
        <f t="shared" si="51"/>
        <v/>
      </c>
    </row>
    <row r="773" ht="45.0" customHeight="1">
      <c r="A773" s="21" t="s">
        <v>1331</v>
      </c>
      <c r="B773" s="19" t="str">
        <f t="shared" si="50"/>
        <v>eelektrik</v>
      </c>
      <c r="C773" s="20" t="str">
        <f t="shared" si="51"/>
        <v/>
      </c>
    </row>
    <row r="774" ht="45.0" customHeight="1">
      <c r="A774" s="21" t="s">
        <v>1335</v>
      </c>
      <c r="B774" s="19" t="str">
        <f t="shared" si="50"/>
        <v>eelektross</v>
      </c>
      <c r="C774" s="20" t="str">
        <f t="shared" si="51"/>
        <v/>
      </c>
    </row>
    <row r="775" ht="45.0" customHeight="1">
      <c r="A775" s="19" t="s">
        <v>1338</v>
      </c>
      <c r="B775" s="19" t="s">
        <v>1340</v>
      </c>
      <c r="C775" s="20" t="str">
        <f>(IMAGE("https://pokedoku-space.nyc3.cdn.digitaloceanspaces.com/resources/pokemon/10290.png", 3))</f>
        <v/>
      </c>
    </row>
    <row r="776" ht="45.0" customHeight="1">
      <c r="A776" s="21" t="s">
        <v>1345</v>
      </c>
      <c r="B776" s="19" t="str">
        <f t="shared" ref="B776:B780" si="52">LOWER(A776)</f>
        <v>elgyem</v>
      </c>
      <c r="C776" s="20" t="str">
        <f t="shared" ref="C776:C780" si="53">(IMAGE("https://play.pokemonshowdown.com/sprites/gen5/"&amp;B776&amp;".png", 3))</f>
        <v/>
      </c>
    </row>
    <row r="777" ht="45.0" customHeight="1">
      <c r="A777" s="21" t="s">
        <v>1355</v>
      </c>
      <c r="B777" s="19" t="str">
        <f t="shared" si="52"/>
        <v>beheeyem</v>
      </c>
      <c r="C777" s="20" t="str">
        <f t="shared" si="53"/>
        <v/>
      </c>
    </row>
    <row r="778" ht="45.0" customHeight="1">
      <c r="A778" s="21" t="s">
        <v>1358</v>
      </c>
      <c r="B778" s="19" t="str">
        <f t="shared" si="52"/>
        <v>litwick</v>
      </c>
      <c r="C778" s="20" t="str">
        <f t="shared" si="53"/>
        <v/>
      </c>
    </row>
    <row r="779" ht="45.0" customHeight="1">
      <c r="A779" s="21" t="s">
        <v>1362</v>
      </c>
      <c r="B779" s="19" t="str">
        <f t="shared" si="52"/>
        <v>lampent</v>
      </c>
      <c r="C779" s="20" t="str">
        <f t="shared" si="53"/>
        <v/>
      </c>
    </row>
    <row r="780" ht="45.0" customHeight="1">
      <c r="A780" s="21" t="s">
        <v>1365</v>
      </c>
      <c r="B780" s="19" t="str">
        <f t="shared" si="52"/>
        <v>chandelure</v>
      </c>
      <c r="C780" s="20" t="str">
        <f t="shared" si="53"/>
        <v/>
      </c>
    </row>
    <row r="781" ht="45.0" customHeight="1">
      <c r="A781" s="19" t="s">
        <v>1367</v>
      </c>
      <c r="B781" s="19" t="s">
        <v>1368</v>
      </c>
      <c r="C781" s="20" t="str">
        <f>(IMAGE("https://pokedoku-space.nyc3.cdn.digitaloceanspaces.com/resources/pokemon/10291.png", 3))</f>
        <v/>
      </c>
    </row>
    <row r="782" ht="45.0" customHeight="1">
      <c r="A782" s="21" t="s">
        <v>1371</v>
      </c>
      <c r="B782" s="19" t="str">
        <f t="shared" ref="B782:B796" si="54">LOWER(A782)</f>
        <v>axew</v>
      </c>
      <c r="C782" s="20" t="str">
        <f t="shared" ref="C782:C796" si="55">(IMAGE("https://play.pokemonshowdown.com/sprites/gen5/"&amp;B782&amp;".png", 3))</f>
        <v/>
      </c>
    </row>
    <row r="783" ht="45.0" customHeight="1">
      <c r="A783" s="21" t="s">
        <v>1372</v>
      </c>
      <c r="B783" s="19" t="str">
        <f t="shared" si="54"/>
        <v>fraxure</v>
      </c>
      <c r="C783" s="20" t="str">
        <f t="shared" si="55"/>
        <v/>
      </c>
    </row>
    <row r="784" ht="45.0" customHeight="1">
      <c r="A784" s="21" t="s">
        <v>1373</v>
      </c>
      <c r="B784" s="19" t="str">
        <f t="shared" si="54"/>
        <v>haxorus</v>
      </c>
      <c r="C784" s="20" t="str">
        <f t="shared" si="55"/>
        <v/>
      </c>
    </row>
    <row r="785" ht="45.0" customHeight="1">
      <c r="A785" s="21" t="s">
        <v>1374</v>
      </c>
      <c r="B785" s="19" t="str">
        <f t="shared" si="54"/>
        <v>cubchoo</v>
      </c>
      <c r="C785" s="20" t="str">
        <f t="shared" si="55"/>
        <v/>
      </c>
    </row>
    <row r="786" ht="45.0" customHeight="1">
      <c r="A786" s="21" t="s">
        <v>1375</v>
      </c>
      <c r="B786" s="19" t="str">
        <f t="shared" si="54"/>
        <v>beartic</v>
      </c>
      <c r="C786" s="20" t="str">
        <f t="shared" si="55"/>
        <v/>
      </c>
    </row>
    <row r="787" ht="45.0" customHeight="1">
      <c r="A787" s="21" t="s">
        <v>1326</v>
      </c>
      <c r="B787" s="19" t="str">
        <f t="shared" si="54"/>
        <v>cryogonal</v>
      </c>
      <c r="C787" s="20" t="str">
        <f t="shared" si="55"/>
        <v/>
      </c>
    </row>
    <row r="788" ht="45.0" customHeight="1">
      <c r="A788" s="21" t="s">
        <v>1376</v>
      </c>
      <c r="B788" s="19" t="str">
        <f t="shared" si="54"/>
        <v>shelmet</v>
      </c>
      <c r="C788" s="20" t="str">
        <f t="shared" si="55"/>
        <v/>
      </c>
    </row>
    <row r="789" ht="45.0" customHeight="1">
      <c r="A789" s="21" t="s">
        <v>1377</v>
      </c>
      <c r="B789" s="19" t="str">
        <f t="shared" si="54"/>
        <v>accelgor</v>
      </c>
      <c r="C789" s="20" t="str">
        <f t="shared" si="55"/>
        <v/>
      </c>
    </row>
    <row r="790" ht="45.0" customHeight="1">
      <c r="A790" s="21" t="s">
        <v>639</v>
      </c>
      <c r="B790" s="19" t="str">
        <f t="shared" si="54"/>
        <v>stunfisk</v>
      </c>
      <c r="C790" s="20" t="str">
        <f t="shared" si="55"/>
        <v/>
      </c>
    </row>
    <row r="791" ht="45.0" customHeight="1">
      <c r="A791" s="19" t="s">
        <v>400</v>
      </c>
      <c r="B791" s="19" t="str">
        <f t="shared" si="54"/>
        <v>stunfisk-galar</v>
      </c>
      <c r="C791" s="20" t="str">
        <f t="shared" si="55"/>
        <v/>
      </c>
    </row>
    <row r="792" ht="45.0" customHeight="1">
      <c r="A792" s="21" t="s">
        <v>1378</v>
      </c>
      <c r="B792" s="19" t="str">
        <f t="shared" si="54"/>
        <v>mienfoo</v>
      </c>
      <c r="C792" s="20" t="str">
        <f t="shared" si="55"/>
        <v/>
      </c>
    </row>
    <row r="793" ht="45.0" customHeight="1">
      <c r="A793" s="21" t="s">
        <v>1379</v>
      </c>
      <c r="B793" s="19" t="str">
        <f t="shared" si="54"/>
        <v>mienshao</v>
      </c>
      <c r="C793" s="20" t="str">
        <f t="shared" si="55"/>
        <v/>
      </c>
    </row>
    <row r="794" ht="45.0" customHeight="1">
      <c r="A794" s="21" t="s">
        <v>772</v>
      </c>
      <c r="B794" s="19" t="str">
        <f t="shared" si="54"/>
        <v>druddigon</v>
      </c>
      <c r="C794" s="20" t="str">
        <f t="shared" si="55"/>
        <v/>
      </c>
    </row>
    <row r="795" ht="45.0" customHeight="1">
      <c r="A795" s="21" t="s">
        <v>1380</v>
      </c>
      <c r="B795" s="19" t="str">
        <f t="shared" si="54"/>
        <v>golett</v>
      </c>
      <c r="C795" s="20" t="str">
        <f t="shared" si="55"/>
        <v/>
      </c>
    </row>
    <row r="796" ht="45.0" customHeight="1">
      <c r="A796" s="21" t="s">
        <v>1381</v>
      </c>
      <c r="B796" s="19" t="str">
        <f t="shared" si="54"/>
        <v>golurk</v>
      </c>
      <c r="C796" s="20" t="str">
        <f t="shared" si="55"/>
        <v/>
      </c>
    </row>
    <row r="797" ht="45.0" customHeight="1">
      <c r="A797" s="19" t="s">
        <v>1382</v>
      </c>
      <c r="B797" s="19" t="s">
        <v>1383</v>
      </c>
      <c r="C797" s="20" t="str">
        <f>(IMAGE("https://i.postimg.cc/yNQgpfWT/mega-golurk-front-sprite-by-aronousqui20-dl7u7le.png", 3))</f>
        <v/>
      </c>
    </row>
    <row r="798" ht="45.0" customHeight="1">
      <c r="A798" s="21" t="s">
        <v>1384</v>
      </c>
      <c r="B798" s="19" t="str">
        <f t="shared" ref="B798:B816" si="56">LOWER(A798)</f>
        <v>pawniard</v>
      </c>
      <c r="C798" s="20" t="str">
        <f t="shared" ref="C798:C834" si="57">(IMAGE("https://play.pokemonshowdown.com/sprites/gen5/"&amp;B798&amp;".png", 3))</f>
        <v/>
      </c>
    </row>
    <row r="799" ht="45.0" customHeight="1">
      <c r="A799" s="21" t="s">
        <v>1385</v>
      </c>
      <c r="B799" s="19" t="str">
        <f t="shared" si="56"/>
        <v>bisharp</v>
      </c>
      <c r="C799" s="20" t="str">
        <f t="shared" si="57"/>
        <v/>
      </c>
    </row>
    <row r="800" ht="45.0" customHeight="1">
      <c r="A800" s="21" t="s">
        <v>1386</v>
      </c>
      <c r="B800" s="19" t="str">
        <f t="shared" si="56"/>
        <v>bouffalant</v>
      </c>
      <c r="C800" s="20" t="str">
        <f t="shared" si="57"/>
        <v/>
      </c>
    </row>
    <row r="801" ht="45.0" customHeight="1">
      <c r="A801" s="21" t="s">
        <v>1387</v>
      </c>
      <c r="B801" s="19" t="str">
        <f t="shared" si="56"/>
        <v>rufflet</v>
      </c>
      <c r="C801" s="20" t="str">
        <f t="shared" si="57"/>
        <v/>
      </c>
    </row>
    <row r="802" ht="45.0" customHeight="1">
      <c r="A802" s="21" t="s">
        <v>1388</v>
      </c>
      <c r="B802" s="19" t="str">
        <f t="shared" si="56"/>
        <v>braviary</v>
      </c>
      <c r="C802" s="20" t="str">
        <f t="shared" si="57"/>
        <v/>
      </c>
    </row>
    <row r="803" ht="45.0" customHeight="1">
      <c r="A803" s="43" t="s">
        <v>1389</v>
      </c>
      <c r="B803" s="19" t="str">
        <f t="shared" si="56"/>
        <v>braviary-hisui</v>
      </c>
      <c r="C803" s="20" t="str">
        <f t="shared" si="57"/>
        <v/>
      </c>
    </row>
    <row r="804" ht="45.0" customHeight="1">
      <c r="A804" s="21" t="s">
        <v>1390</v>
      </c>
      <c r="B804" s="19" t="str">
        <f t="shared" si="56"/>
        <v>vullaby</v>
      </c>
      <c r="C804" s="20" t="str">
        <f t="shared" si="57"/>
        <v/>
      </c>
    </row>
    <row r="805" ht="45.0" customHeight="1">
      <c r="A805" s="21" t="s">
        <v>1391</v>
      </c>
      <c r="B805" s="19" t="str">
        <f t="shared" si="56"/>
        <v>mandibuzz</v>
      </c>
      <c r="C805" s="20" t="str">
        <f t="shared" si="57"/>
        <v/>
      </c>
    </row>
    <row r="806" ht="45.0" customHeight="1">
      <c r="A806" s="21" t="s">
        <v>1392</v>
      </c>
      <c r="B806" s="19" t="str">
        <f t="shared" si="56"/>
        <v>heatmor</v>
      </c>
      <c r="C806" s="20" t="str">
        <f t="shared" si="57"/>
        <v/>
      </c>
    </row>
    <row r="807" ht="45.0" customHeight="1">
      <c r="A807" s="21" t="s">
        <v>1393</v>
      </c>
      <c r="B807" s="19" t="str">
        <f t="shared" si="56"/>
        <v>durant</v>
      </c>
      <c r="C807" s="20" t="str">
        <f t="shared" si="57"/>
        <v/>
      </c>
    </row>
    <row r="808" ht="45.0" customHeight="1">
      <c r="A808" s="21" t="s">
        <v>1394</v>
      </c>
      <c r="B808" s="19" t="str">
        <f t="shared" si="56"/>
        <v>deino</v>
      </c>
      <c r="C808" s="20" t="str">
        <f t="shared" si="57"/>
        <v/>
      </c>
    </row>
    <row r="809" ht="45.0" customHeight="1">
      <c r="A809" s="21" t="s">
        <v>1395</v>
      </c>
      <c r="B809" s="19" t="str">
        <f t="shared" si="56"/>
        <v>zweilous</v>
      </c>
      <c r="C809" s="20" t="str">
        <f t="shared" si="57"/>
        <v/>
      </c>
    </row>
    <row r="810" ht="45.0" customHeight="1">
      <c r="A810" s="21" t="s">
        <v>1396</v>
      </c>
      <c r="B810" s="19" t="str">
        <f t="shared" si="56"/>
        <v>hydreigon</v>
      </c>
      <c r="C810" s="20" t="str">
        <f t="shared" si="57"/>
        <v/>
      </c>
    </row>
    <row r="811" ht="45.0" customHeight="1">
      <c r="A811" s="21" t="s">
        <v>1397</v>
      </c>
      <c r="B811" s="19" t="str">
        <f t="shared" si="56"/>
        <v>larvesta</v>
      </c>
      <c r="C811" s="20" t="str">
        <f t="shared" si="57"/>
        <v/>
      </c>
    </row>
    <row r="812" ht="45.0" customHeight="1">
      <c r="A812" s="21" t="s">
        <v>1398</v>
      </c>
      <c r="B812" s="19" t="str">
        <f t="shared" si="56"/>
        <v>volcarona</v>
      </c>
      <c r="C812" s="20" t="str">
        <f t="shared" si="57"/>
        <v/>
      </c>
    </row>
    <row r="813" ht="45.0" customHeight="1">
      <c r="A813" s="21" t="s">
        <v>1399</v>
      </c>
      <c r="B813" s="19" t="str">
        <f t="shared" si="56"/>
        <v>cobalion</v>
      </c>
      <c r="C813" s="20" t="str">
        <f t="shared" si="57"/>
        <v/>
      </c>
    </row>
    <row r="814" ht="45.0" customHeight="1">
      <c r="A814" s="21" t="s">
        <v>1400</v>
      </c>
      <c r="B814" s="19" t="str">
        <f t="shared" si="56"/>
        <v>terrakion</v>
      </c>
      <c r="C814" s="20" t="str">
        <f t="shared" si="57"/>
        <v/>
      </c>
    </row>
    <row r="815" ht="45.0" customHeight="1">
      <c r="A815" s="21" t="s">
        <v>1401</v>
      </c>
      <c r="B815" s="19" t="str">
        <f t="shared" si="56"/>
        <v>virizion</v>
      </c>
      <c r="C815" s="20" t="str">
        <f t="shared" si="57"/>
        <v/>
      </c>
    </row>
    <row r="816" ht="45.0" customHeight="1">
      <c r="A816" s="21" t="s">
        <v>1402</v>
      </c>
      <c r="B816" s="19" t="str">
        <f t="shared" si="56"/>
        <v>tornadus</v>
      </c>
      <c r="C816" s="20" t="str">
        <f t="shared" si="57"/>
        <v/>
      </c>
    </row>
    <row r="817" ht="45.0" customHeight="1">
      <c r="A817" s="19" t="s">
        <v>1403</v>
      </c>
      <c r="B817" s="19" t="s">
        <v>1404</v>
      </c>
      <c r="C817" s="20" t="str">
        <f t="shared" si="57"/>
        <v/>
      </c>
    </row>
    <row r="818" ht="45.0" customHeight="1">
      <c r="A818" s="21" t="s">
        <v>1405</v>
      </c>
      <c r="B818" s="19" t="str">
        <f>LOWER(A818)</f>
        <v>thundurus</v>
      </c>
      <c r="C818" s="20" t="str">
        <f t="shared" si="57"/>
        <v/>
      </c>
    </row>
    <row r="819" ht="45.0" customHeight="1">
      <c r="A819" s="19" t="s">
        <v>1406</v>
      </c>
      <c r="B819" s="19" t="s">
        <v>1407</v>
      </c>
      <c r="C819" s="20" t="str">
        <f t="shared" si="57"/>
        <v/>
      </c>
    </row>
    <row r="820" ht="45.0" customHeight="1">
      <c r="A820" s="21" t="s">
        <v>1408</v>
      </c>
      <c r="B820" s="19" t="str">
        <f t="shared" ref="B820:B822" si="58">LOWER(A820)</f>
        <v>reshiram</v>
      </c>
      <c r="C820" s="20" t="str">
        <f t="shared" si="57"/>
        <v/>
      </c>
    </row>
    <row r="821" ht="45.0" customHeight="1">
      <c r="A821" s="21" t="s">
        <v>1409</v>
      </c>
      <c r="B821" s="19" t="str">
        <f t="shared" si="58"/>
        <v>zekrom</v>
      </c>
      <c r="C821" s="20" t="str">
        <f t="shared" si="57"/>
        <v/>
      </c>
    </row>
    <row r="822" ht="45.0" customHeight="1">
      <c r="A822" s="21" t="s">
        <v>1410</v>
      </c>
      <c r="B822" s="19" t="str">
        <f t="shared" si="58"/>
        <v>landorus</v>
      </c>
      <c r="C822" s="20" t="str">
        <f t="shared" si="57"/>
        <v/>
      </c>
    </row>
    <row r="823" ht="45.0" customHeight="1">
      <c r="A823" s="19" t="s">
        <v>1411</v>
      </c>
      <c r="B823" s="19" t="s">
        <v>1412</v>
      </c>
      <c r="C823" s="20" t="str">
        <f t="shared" si="57"/>
        <v/>
      </c>
    </row>
    <row r="824" ht="45.0" customHeight="1">
      <c r="A824" s="21" t="s">
        <v>1413</v>
      </c>
      <c r="B824" s="19" t="str">
        <f t="shared" ref="B824:B827" si="59">LOWER(A824)</f>
        <v>kyurem</v>
      </c>
      <c r="C824" s="20" t="str">
        <f t="shared" si="57"/>
        <v/>
      </c>
    </row>
    <row r="825" ht="45.0" customHeight="1">
      <c r="A825" s="21" t="s">
        <v>1414</v>
      </c>
      <c r="B825" s="19" t="str">
        <f t="shared" si="59"/>
        <v>kyurem-black</v>
      </c>
      <c r="C825" s="20" t="str">
        <f t="shared" si="57"/>
        <v/>
      </c>
    </row>
    <row r="826" ht="45.0" customHeight="1">
      <c r="A826" s="21" t="s">
        <v>1415</v>
      </c>
      <c r="B826" s="19" t="str">
        <f t="shared" si="59"/>
        <v>kyurem-white</v>
      </c>
      <c r="C826" s="20" t="str">
        <f t="shared" si="57"/>
        <v/>
      </c>
    </row>
    <row r="827" ht="45.0" customHeight="1">
      <c r="A827" s="21" t="s">
        <v>1416</v>
      </c>
      <c r="B827" s="19" t="str">
        <f t="shared" si="59"/>
        <v>keldeo</v>
      </c>
      <c r="C827" s="20" t="str">
        <f t="shared" si="57"/>
        <v/>
      </c>
    </row>
    <row r="828" ht="45.0" customHeight="1">
      <c r="A828" s="19" t="s">
        <v>1417</v>
      </c>
      <c r="B828" s="19" t="s">
        <v>1418</v>
      </c>
      <c r="C828" s="20" t="str">
        <f t="shared" si="57"/>
        <v/>
      </c>
    </row>
    <row r="829" ht="45.0" customHeight="1">
      <c r="A829" s="21" t="s">
        <v>1419</v>
      </c>
      <c r="B829" s="19" t="str">
        <f t="shared" ref="B829:B834" si="60">LOWER(A829)</f>
        <v>meloetta</v>
      </c>
      <c r="C829" s="20" t="str">
        <f t="shared" si="57"/>
        <v/>
      </c>
    </row>
    <row r="830" ht="45.0" customHeight="1">
      <c r="A830" s="21" t="s">
        <v>1420</v>
      </c>
      <c r="B830" s="19" t="str">
        <f t="shared" si="60"/>
        <v>meloetta-pirouette</v>
      </c>
      <c r="C830" s="20" t="str">
        <f t="shared" si="57"/>
        <v/>
      </c>
    </row>
    <row r="831" ht="45.0" customHeight="1">
      <c r="A831" s="21" t="s">
        <v>1421</v>
      </c>
      <c r="B831" s="19" t="str">
        <f t="shared" si="60"/>
        <v>genesect</v>
      </c>
      <c r="C831" s="20" t="str">
        <f t="shared" si="57"/>
        <v/>
      </c>
    </row>
    <row r="832" ht="45.0" customHeight="1">
      <c r="A832" s="21" t="s">
        <v>1423</v>
      </c>
      <c r="B832" s="19" t="str">
        <f t="shared" si="60"/>
        <v>chespin</v>
      </c>
      <c r="C832" s="20" t="str">
        <f t="shared" si="57"/>
        <v/>
      </c>
    </row>
    <row r="833" ht="45.0" customHeight="1">
      <c r="A833" s="21" t="s">
        <v>1424</v>
      </c>
      <c r="B833" s="19" t="str">
        <f t="shared" si="60"/>
        <v>quilladin</v>
      </c>
      <c r="C833" s="20" t="str">
        <f t="shared" si="57"/>
        <v/>
      </c>
    </row>
    <row r="834" ht="45.0" customHeight="1">
      <c r="A834" s="21" t="s">
        <v>1425</v>
      </c>
      <c r="B834" s="19" t="str">
        <f t="shared" si="60"/>
        <v>chesnaught</v>
      </c>
      <c r="C834" s="20" t="str">
        <f t="shared" si="57"/>
        <v/>
      </c>
    </row>
    <row r="835" ht="45.0" customHeight="1">
      <c r="A835" s="19" t="s">
        <v>1426</v>
      </c>
      <c r="B835" s="19" t="s">
        <v>1428</v>
      </c>
      <c r="C835" s="20" t="str">
        <f>(IMAGE("https://pokedoku-space.nyc3.cdn.digitaloceanspaces.com/resources/pokemon/10292.png", 3))</f>
        <v/>
      </c>
    </row>
    <row r="836" ht="45.0" customHeight="1">
      <c r="A836" s="21" t="s">
        <v>1433</v>
      </c>
      <c r="B836" s="19" t="str">
        <f t="shared" ref="B836:B838" si="61">LOWER(A836)</f>
        <v>fennekin</v>
      </c>
      <c r="C836" s="20" t="str">
        <f t="shared" ref="C836:C838" si="62">(IMAGE("https://play.pokemonshowdown.com/sprites/gen5/"&amp;B836&amp;".png", 3))</f>
        <v/>
      </c>
    </row>
    <row r="837" ht="45.0" customHeight="1">
      <c r="A837" s="21" t="s">
        <v>1440</v>
      </c>
      <c r="B837" s="19" t="str">
        <f t="shared" si="61"/>
        <v>braixen</v>
      </c>
      <c r="C837" s="20" t="str">
        <f t="shared" si="62"/>
        <v/>
      </c>
    </row>
    <row r="838" ht="45.0" customHeight="1">
      <c r="A838" s="21" t="s">
        <v>1443</v>
      </c>
      <c r="B838" s="19" t="str">
        <f t="shared" si="61"/>
        <v>delphox</v>
      </c>
      <c r="C838" s="20" t="str">
        <f t="shared" si="62"/>
        <v/>
      </c>
    </row>
    <row r="839" ht="45.0" customHeight="1">
      <c r="A839" s="19" t="s">
        <v>1445</v>
      </c>
      <c r="B839" s="19" t="s">
        <v>1447</v>
      </c>
      <c r="C839" s="20" t="str">
        <f>(IMAGE("https://pokedoku-space.nyc3.cdn.digitaloceanspaces.com/resources/pokemon/10293.png", 3))</f>
        <v/>
      </c>
    </row>
    <row r="840" ht="45.0" customHeight="1">
      <c r="A840" s="21" t="s">
        <v>1452</v>
      </c>
      <c r="B840" s="19" t="str">
        <f t="shared" ref="B840:B842" si="63">LOWER(A840)</f>
        <v>froakie</v>
      </c>
      <c r="C840" s="20" t="str">
        <f t="shared" ref="C840:C842" si="64">(IMAGE("https://play.pokemonshowdown.com/sprites/gen5/"&amp;B840&amp;".png", 3))</f>
        <v/>
      </c>
    </row>
    <row r="841" ht="45.0" customHeight="1">
      <c r="A841" s="21" t="s">
        <v>1461</v>
      </c>
      <c r="B841" s="19" t="str">
        <f t="shared" si="63"/>
        <v>frogadier</v>
      </c>
      <c r="C841" s="20" t="str">
        <f t="shared" si="64"/>
        <v/>
      </c>
    </row>
    <row r="842" ht="45.0" customHeight="1">
      <c r="A842" s="21" t="s">
        <v>1009</v>
      </c>
      <c r="B842" s="19" t="str">
        <f t="shared" si="63"/>
        <v>greninja</v>
      </c>
      <c r="C842" s="20" t="str">
        <f t="shared" si="64"/>
        <v/>
      </c>
    </row>
    <row r="843" ht="45.0" customHeight="1">
      <c r="A843" s="19" t="s">
        <v>1463</v>
      </c>
      <c r="B843" s="19" t="s">
        <v>1464</v>
      </c>
      <c r="C843" s="20" t="str">
        <f>(IMAGE("https://pokedoku-space.nyc3.cdn.digitaloceanspaces.com/resources/pokemon/10294.png", 3))</f>
        <v/>
      </c>
    </row>
    <row r="844" ht="45.0" customHeight="1">
      <c r="A844" s="19" t="s">
        <v>1465</v>
      </c>
      <c r="B844" s="19" t="str">
        <f t="shared" ref="B844:B854" si="65">LOWER(A844)</f>
        <v>greninja-ash</v>
      </c>
      <c r="C844" s="20" t="str">
        <f t="shared" ref="C844:C854" si="66">(IMAGE("https://play.pokemonshowdown.com/sprites/gen5/"&amp;B844&amp;".png", 3))</f>
        <v/>
      </c>
    </row>
    <row r="845" ht="45.0" customHeight="1">
      <c r="A845" s="21" t="s">
        <v>1467</v>
      </c>
      <c r="B845" s="19" t="str">
        <f t="shared" si="65"/>
        <v>bunnelby</v>
      </c>
      <c r="C845" s="20" t="str">
        <f t="shared" si="66"/>
        <v/>
      </c>
    </row>
    <row r="846" ht="45.0" customHeight="1">
      <c r="A846" s="21" t="s">
        <v>1469</v>
      </c>
      <c r="B846" s="19" t="str">
        <f t="shared" si="65"/>
        <v>diggersby</v>
      </c>
      <c r="C846" s="20" t="str">
        <f t="shared" si="66"/>
        <v/>
      </c>
    </row>
    <row r="847" ht="45.0" customHeight="1">
      <c r="A847" s="21" t="s">
        <v>1470</v>
      </c>
      <c r="B847" s="19" t="str">
        <f t="shared" si="65"/>
        <v>fletchling</v>
      </c>
      <c r="C847" s="20" t="str">
        <f t="shared" si="66"/>
        <v/>
      </c>
    </row>
    <row r="848" ht="45.0" customHeight="1">
      <c r="A848" s="21" t="s">
        <v>1471</v>
      </c>
      <c r="B848" s="19" t="str">
        <f t="shared" si="65"/>
        <v>fletchinder</v>
      </c>
      <c r="C848" s="20" t="str">
        <f t="shared" si="66"/>
        <v/>
      </c>
    </row>
    <row r="849" ht="45.0" customHeight="1">
      <c r="A849" s="21" t="s">
        <v>1046</v>
      </c>
      <c r="B849" s="19" t="str">
        <f t="shared" si="65"/>
        <v>talonflame</v>
      </c>
      <c r="C849" s="20" t="str">
        <f t="shared" si="66"/>
        <v/>
      </c>
    </row>
    <row r="850" ht="45.0" customHeight="1">
      <c r="A850" s="21" t="s">
        <v>1472</v>
      </c>
      <c r="B850" s="19" t="str">
        <f t="shared" si="65"/>
        <v>scatterbug</v>
      </c>
      <c r="C850" s="20" t="str">
        <f t="shared" si="66"/>
        <v/>
      </c>
    </row>
    <row r="851" ht="45.0" customHeight="1">
      <c r="A851" s="21" t="s">
        <v>1473</v>
      </c>
      <c r="B851" s="19" t="str">
        <f t="shared" si="65"/>
        <v>spewpa</v>
      </c>
      <c r="C851" s="20" t="str">
        <f t="shared" si="66"/>
        <v/>
      </c>
    </row>
    <row r="852" ht="45.0" customHeight="1">
      <c r="A852" s="21" t="s">
        <v>1474</v>
      </c>
      <c r="B852" s="19" t="str">
        <f t="shared" si="65"/>
        <v>vivillon</v>
      </c>
      <c r="C852" s="20" t="str">
        <f t="shared" si="66"/>
        <v/>
      </c>
    </row>
    <row r="853" ht="45.0" customHeight="1">
      <c r="A853" s="21" t="s">
        <v>1475</v>
      </c>
      <c r="B853" s="19" t="str">
        <f t="shared" si="65"/>
        <v>litleo</v>
      </c>
      <c r="C853" s="20" t="str">
        <f t="shared" si="66"/>
        <v/>
      </c>
    </row>
    <row r="854" ht="45.0" customHeight="1">
      <c r="A854" s="21" t="s">
        <v>1476</v>
      </c>
      <c r="B854" s="19" t="str">
        <f t="shared" si="65"/>
        <v>pyroar</v>
      </c>
      <c r="C854" s="20" t="str">
        <f t="shared" si="66"/>
        <v/>
      </c>
    </row>
    <row r="855" ht="45.0" customHeight="1">
      <c r="A855" s="19" t="s">
        <v>1477</v>
      </c>
      <c r="B855" s="19" t="s">
        <v>1478</v>
      </c>
      <c r="C855" s="20" t="str">
        <f>(IMAGE("https://pokedoku-space.nyc3.cdn.digitaloceanspaces.com/resources/pokemon/10295.png", 3))</f>
        <v/>
      </c>
    </row>
    <row r="856" ht="45.0" customHeight="1">
      <c r="A856" s="21" t="s">
        <v>1479</v>
      </c>
      <c r="B856" s="19" t="str">
        <f t="shared" ref="B856:B858" si="67">LOWER(A856)</f>
        <v>flabebe</v>
      </c>
      <c r="C856" s="20" t="str">
        <f t="shared" ref="C856:C858" si="68">(IMAGE("https://play.pokemonshowdown.com/sprites/gen5/"&amp;B856&amp;".png", 3))</f>
        <v/>
      </c>
    </row>
    <row r="857" ht="45.0" customHeight="1">
      <c r="A857" s="21" t="s">
        <v>1480</v>
      </c>
      <c r="B857" s="19" t="str">
        <f t="shared" si="67"/>
        <v>floette</v>
      </c>
      <c r="C857" s="20" t="str">
        <f t="shared" si="68"/>
        <v/>
      </c>
    </row>
    <row r="858" ht="45.0" customHeight="1">
      <c r="A858" s="21" t="s">
        <v>1481</v>
      </c>
      <c r="B858" s="19" t="str">
        <f t="shared" si="67"/>
        <v>floette-eternal</v>
      </c>
      <c r="C858" s="20" t="str">
        <f t="shared" si="68"/>
        <v/>
      </c>
    </row>
    <row r="859" ht="45.0" customHeight="1">
      <c r="A859" s="19" t="s">
        <v>1482</v>
      </c>
      <c r="B859" s="19" t="s">
        <v>1483</v>
      </c>
      <c r="C859" s="20" t="str">
        <f>(IMAGE("https://pokedoku-space.nyc3.cdn.digitaloceanspaces.com/resources/pokemon/10296.png", 3))</f>
        <v/>
      </c>
    </row>
    <row r="860" ht="45.0" customHeight="1">
      <c r="A860" s="21" t="s">
        <v>1484</v>
      </c>
      <c r="B860" s="19" t="str">
        <f t="shared" ref="B860:B868" si="69">LOWER(A860)</f>
        <v>florges</v>
      </c>
      <c r="C860" s="20" t="str">
        <f t="shared" ref="C860:C868" si="70">(IMAGE("https://play.pokemonshowdown.com/sprites/gen5/"&amp;B860&amp;".png", 3))</f>
        <v/>
      </c>
    </row>
    <row r="861" ht="45.0" customHeight="1">
      <c r="A861" s="21" t="s">
        <v>1485</v>
      </c>
      <c r="B861" s="19" t="str">
        <f t="shared" si="69"/>
        <v>skiddo</v>
      </c>
      <c r="C861" s="20" t="str">
        <f t="shared" si="70"/>
        <v/>
      </c>
    </row>
    <row r="862" ht="45.0" customHeight="1">
      <c r="A862" s="21" t="s">
        <v>1486</v>
      </c>
      <c r="B862" s="19" t="str">
        <f t="shared" si="69"/>
        <v>gogoat</v>
      </c>
      <c r="C862" s="20" t="str">
        <f t="shared" si="70"/>
        <v/>
      </c>
    </row>
    <row r="863" ht="45.0" customHeight="1">
      <c r="A863" s="21" t="s">
        <v>1487</v>
      </c>
      <c r="B863" s="19" t="str">
        <f t="shared" si="69"/>
        <v>pancham</v>
      </c>
      <c r="C863" s="20" t="str">
        <f t="shared" si="70"/>
        <v/>
      </c>
    </row>
    <row r="864" ht="45.0" customHeight="1">
      <c r="A864" s="21" t="s">
        <v>1208</v>
      </c>
      <c r="B864" s="19" t="str">
        <f t="shared" si="69"/>
        <v>pangoro</v>
      </c>
      <c r="C864" s="20" t="str">
        <f t="shared" si="70"/>
        <v/>
      </c>
    </row>
    <row r="865" ht="45.0" customHeight="1">
      <c r="A865" s="21" t="s">
        <v>1488</v>
      </c>
      <c r="B865" s="19" t="str">
        <f t="shared" si="69"/>
        <v>furfrou</v>
      </c>
      <c r="C865" s="20" t="str">
        <f t="shared" si="70"/>
        <v/>
      </c>
    </row>
    <row r="866" ht="45.0" customHeight="1">
      <c r="A866" s="21" t="s">
        <v>1489</v>
      </c>
      <c r="B866" s="19" t="str">
        <f t="shared" si="69"/>
        <v>espurr</v>
      </c>
      <c r="C866" s="20" t="str">
        <f t="shared" si="70"/>
        <v/>
      </c>
    </row>
    <row r="867" ht="45.0" customHeight="1">
      <c r="A867" s="21" t="s">
        <v>1490</v>
      </c>
      <c r="B867" s="19" t="str">
        <f t="shared" si="69"/>
        <v>meowstic</v>
      </c>
      <c r="C867" s="20" t="str">
        <f t="shared" si="70"/>
        <v/>
      </c>
    </row>
    <row r="868" ht="45.0" customHeight="1">
      <c r="A868" s="19" t="s">
        <v>1491</v>
      </c>
      <c r="B868" s="19" t="str">
        <f t="shared" si="69"/>
        <v>meowstic-f</v>
      </c>
      <c r="C868" s="20" t="str">
        <f t="shared" si="70"/>
        <v/>
      </c>
    </row>
    <row r="869" ht="45.0" customHeight="1">
      <c r="A869" s="19" t="s">
        <v>1492</v>
      </c>
      <c r="B869" s="19" t="s">
        <v>1493</v>
      </c>
      <c r="C869" s="20" t="str">
        <f>(IMAGE("https://i.postimg.cc/85LGfc8w/mega-meowstic-gen-5-pokemon-sprite-by-retronc-dl2oerl.png", 1))</f>
        <v/>
      </c>
    </row>
    <row r="870" ht="45.0" customHeight="1">
      <c r="A870" s="21" t="s">
        <v>1494</v>
      </c>
      <c r="B870" s="19" t="str">
        <f t="shared" ref="B870:B879" si="71">LOWER(A870)</f>
        <v>honedge</v>
      </c>
      <c r="C870" s="20" t="str">
        <f t="shared" ref="C870:C879" si="72">(IMAGE("https://play.pokemonshowdown.com/sprites/gen5/"&amp;B870&amp;".png", 3))</f>
        <v/>
      </c>
    </row>
    <row r="871" ht="45.0" customHeight="1">
      <c r="A871" s="21" t="s">
        <v>1495</v>
      </c>
      <c r="B871" s="19" t="str">
        <f t="shared" si="71"/>
        <v>doublade</v>
      </c>
      <c r="C871" s="20" t="str">
        <f t="shared" si="72"/>
        <v/>
      </c>
    </row>
    <row r="872" ht="45.0" customHeight="1">
      <c r="A872" s="21" t="s">
        <v>1496</v>
      </c>
      <c r="B872" s="19" t="str">
        <f t="shared" si="71"/>
        <v>aegislash</v>
      </c>
      <c r="C872" s="20" t="str">
        <f t="shared" si="72"/>
        <v/>
      </c>
    </row>
    <row r="873" ht="45.0" customHeight="1">
      <c r="A873" s="21" t="s">
        <v>1497</v>
      </c>
      <c r="B873" s="19" t="str">
        <f t="shared" si="71"/>
        <v>aegislash-blade</v>
      </c>
      <c r="C873" s="20" t="str">
        <f t="shared" si="72"/>
        <v/>
      </c>
    </row>
    <row r="874" ht="45.0" customHeight="1">
      <c r="A874" s="21" t="s">
        <v>1498</v>
      </c>
      <c r="B874" s="19" t="str">
        <f t="shared" si="71"/>
        <v>spritzee</v>
      </c>
      <c r="C874" s="20" t="str">
        <f t="shared" si="72"/>
        <v/>
      </c>
    </row>
    <row r="875" ht="45.0" customHeight="1">
      <c r="A875" s="21" t="s">
        <v>668</v>
      </c>
      <c r="B875" s="19" t="str">
        <f t="shared" si="71"/>
        <v>aromatisse</v>
      </c>
      <c r="C875" s="20" t="str">
        <f t="shared" si="72"/>
        <v/>
      </c>
    </row>
    <row r="876" ht="45.0" customHeight="1">
      <c r="A876" s="21" t="s">
        <v>1499</v>
      </c>
      <c r="B876" s="19" t="str">
        <f t="shared" si="71"/>
        <v>swirlix</v>
      </c>
      <c r="C876" s="20" t="str">
        <f t="shared" si="72"/>
        <v/>
      </c>
    </row>
    <row r="877" ht="45.0" customHeight="1">
      <c r="A877" s="21" t="s">
        <v>1500</v>
      </c>
      <c r="B877" s="19" t="str">
        <f t="shared" si="71"/>
        <v>slurpuff</v>
      </c>
      <c r="C877" s="20" t="str">
        <f t="shared" si="72"/>
        <v/>
      </c>
    </row>
    <row r="878" ht="45.0" customHeight="1">
      <c r="A878" s="21" t="s">
        <v>1501</v>
      </c>
      <c r="B878" s="19" t="str">
        <f t="shared" si="71"/>
        <v>inkay</v>
      </c>
      <c r="C878" s="20" t="str">
        <f t="shared" si="72"/>
        <v/>
      </c>
    </row>
    <row r="879" ht="45.0" customHeight="1">
      <c r="A879" s="21" t="s">
        <v>1502</v>
      </c>
      <c r="B879" s="19" t="str">
        <f t="shared" si="71"/>
        <v>malamar</v>
      </c>
      <c r="C879" s="20" t="str">
        <f t="shared" si="72"/>
        <v/>
      </c>
    </row>
    <row r="880" ht="45.0" customHeight="1">
      <c r="A880" s="19" t="s">
        <v>1503</v>
      </c>
      <c r="B880" s="19" t="s">
        <v>1504</v>
      </c>
      <c r="C880" s="20" t="str">
        <f>(IMAGE("https://pokedoku-space.nyc3.cdn.digitaloceanspaces.com/resources/pokemon/10297.png", 3))</f>
        <v/>
      </c>
    </row>
    <row r="881" ht="45.0" customHeight="1">
      <c r="A881" s="21" t="s">
        <v>1505</v>
      </c>
      <c r="B881" s="19" t="str">
        <f t="shared" ref="B881:B882" si="73">LOWER(A881)</f>
        <v>binacle</v>
      </c>
      <c r="C881" s="20" t="str">
        <f t="shared" ref="C881:C882" si="74">(IMAGE("https://play.pokemonshowdown.com/sprites/gen5/"&amp;B881&amp;".png", 3))</f>
        <v/>
      </c>
    </row>
    <row r="882" ht="45.0" customHeight="1">
      <c r="A882" s="21" t="s">
        <v>1506</v>
      </c>
      <c r="B882" s="19" t="str">
        <f t="shared" si="73"/>
        <v>barbaracle</v>
      </c>
      <c r="C882" s="20" t="str">
        <f t="shared" si="74"/>
        <v/>
      </c>
    </row>
    <row r="883" ht="45.0" customHeight="1">
      <c r="A883" s="19" t="s">
        <v>1507</v>
      </c>
      <c r="B883" s="19" t="s">
        <v>1508</v>
      </c>
      <c r="C883" s="20" t="str">
        <f>(IMAGE("https://pokedoku-space.nyc3.cdn.digitaloceanspaces.com/resources/pokemon/10298.png", 3))</f>
        <v/>
      </c>
    </row>
    <row r="884" ht="45.0" customHeight="1">
      <c r="A884" s="21" t="s">
        <v>1509</v>
      </c>
      <c r="B884" s="19" t="str">
        <f t="shared" ref="B884:B885" si="75">LOWER(A884)</f>
        <v>skrelp</v>
      </c>
      <c r="C884" s="20" t="str">
        <f t="shared" ref="C884:C885" si="76">(IMAGE("https://play.pokemonshowdown.com/sprites/gen5/"&amp;B884&amp;".png", 3))</f>
        <v/>
      </c>
    </row>
    <row r="885" ht="45.0" customHeight="1">
      <c r="A885" s="21" t="s">
        <v>1510</v>
      </c>
      <c r="B885" s="19" t="str">
        <f t="shared" si="75"/>
        <v>dragalge</v>
      </c>
      <c r="C885" s="20" t="str">
        <f t="shared" si="76"/>
        <v/>
      </c>
    </row>
    <row r="886" ht="45.0" customHeight="1">
      <c r="A886" s="19" t="s">
        <v>1511</v>
      </c>
      <c r="B886" s="19" t="s">
        <v>1512</v>
      </c>
      <c r="C886" s="20" t="str">
        <f>(IMAGE("https://pokedoku-space.nyc3.cdn.digitaloceanspaces.com/resources/pokemon/10299.png", 3))</f>
        <v/>
      </c>
    </row>
    <row r="887" ht="45.0" customHeight="1">
      <c r="A887" s="21" t="s">
        <v>1513</v>
      </c>
      <c r="B887" s="19" t="str">
        <f t="shared" ref="B887:B896" si="77">LOWER(A887)</f>
        <v>clauncher</v>
      </c>
      <c r="C887" s="20" t="str">
        <f t="shared" ref="C887:C896" si="78">(IMAGE("https://play.pokemonshowdown.com/sprites/gen5/"&amp;B887&amp;".png", 3))</f>
        <v/>
      </c>
    </row>
    <row r="888" ht="45.0" customHeight="1">
      <c r="A888" s="21" t="s">
        <v>534</v>
      </c>
      <c r="B888" s="19" t="str">
        <f t="shared" si="77"/>
        <v>clawitzer</v>
      </c>
      <c r="C888" s="20" t="str">
        <f t="shared" si="78"/>
        <v/>
      </c>
    </row>
    <row r="889" ht="45.0" customHeight="1">
      <c r="A889" s="21" t="s">
        <v>1519</v>
      </c>
      <c r="B889" s="19" t="str">
        <f t="shared" si="77"/>
        <v>helioptile</v>
      </c>
      <c r="C889" s="20" t="str">
        <f t="shared" si="78"/>
        <v/>
      </c>
    </row>
    <row r="890" ht="45.0" customHeight="1">
      <c r="A890" s="21" t="s">
        <v>1238</v>
      </c>
      <c r="B890" s="19" t="str">
        <f t="shared" si="77"/>
        <v>heliolisk</v>
      </c>
      <c r="C890" s="20" t="str">
        <f t="shared" si="78"/>
        <v/>
      </c>
    </row>
    <row r="891" ht="45.0" customHeight="1">
      <c r="A891" s="21" t="s">
        <v>1526</v>
      </c>
      <c r="B891" s="19" t="str">
        <f t="shared" si="77"/>
        <v>tyrunt</v>
      </c>
      <c r="C891" s="20" t="str">
        <f t="shared" si="78"/>
        <v/>
      </c>
    </row>
    <row r="892" ht="45.0" customHeight="1">
      <c r="A892" s="21" t="s">
        <v>1529</v>
      </c>
      <c r="B892" s="19" t="str">
        <f t="shared" si="77"/>
        <v>tyrantrum</v>
      </c>
      <c r="C892" s="20" t="str">
        <f t="shared" si="78"/>
        <v/>
      </c>
    </row>
    <row r="893" ht="45.0" customHeight="1">
      <c r="A893" s="21" t="s">
        <v>1530</v>
      </c>
      <c r="B893" s="19" t="str">
        <f t="shared" si="77"/>
        <v>amaura</v>
      </c>
      <c r="C893" s="20" t="str">
        <f t="shared" si="78"/>
        <v/>
      </c>
    </row>
    <row r="894" ht="45.0" customHeight="1">
      <c r="A894" s="21" t="s">
        <v>1531</v>
      </c>
      <c r="B894" s="19" t="str">
        <f t="shared" si="77"/>
        <v>aurorus</v>
      </c>
      <c r="C894" s="20" t="str">
        <f t="shared" si="78"/>
        <v/>
      </c>
    </row>
    <row r="895" ht="45.0" customHeight="1">
      <c r="A895" s="21" t="s">
        <v>1532</v>
      </c>
      <c r="B895" s="19" t="str">
        <f t="shared" si="77"/>
        <v>sylveon</v>
      </c>
      <c r="C895" s="20" t="str">
        <f t="shared" si="78"/>
        <v/>
      </c>
    </row>
    <row r="896" ht="45.0" customHeight="1">
      <c r="A896" s="21" t="s">
        <v>1553</v>
      </c>
      <c r="B896" s="19" t="str">
        <f t="shared" si="77"/>
        <v>hawlucha</v>
      </c>
      <c r="C896" s="20" t="str">
        <f t="shared" si="78"/>
        <v/>
      </c>
    </row>
    <row r="897" ht="45.0" customHeight="1">
      <c r="A897" s="19" t="s">
        <v>1558</v>
      </c>
      <c r="B897" s="19" t="s">
        <v>1559</v>
      </c>
      <c r="C897" s="20" t="str">
        <f>(IMAGE("https://pokedoku-space.nyc3.cdn.digitaloceanspaces.com/resources/pokemon/10300.png", 3))</f>
        <v/>
      </c>
    </row>
    <row r="898" ht="45.0" customHeight="1">
      <c r="A898" s="21" t="s">
        <v>1561</v>
      </c>
      <c r="B898" s="19" t="str">
        <f t="shared" ref="B898:B920" si="79">LOWER(A898)</f>
        <v>dedenne</v>
      </c>
      <c r="C898" s="20" t="str">
        <f t="shared" ref="C898:C922" si="80">(IMAGE("https://play.pokemonshowdown.com/sprites/gen5/"&amp;B898&amp;".png", 3))</f>
        <v/>
      </c>
    </row>
    <row r="899" ht="45.0" customHeight="1">
      <c r="A899" s="21" t="s">
        <v>1566</v>
      </c>
      <c r="B899" s="19" t="str">
        <f t="shared" si="79"/>
        <v>carbink</v>
      </c>
      <c r="C899" s="20" t="str">
        <f t="shared" si="80"/>
        <v/>
      </c>
    </row>
    <row r="900" ht="45.0" customHeight="1">
      <c r="A900" s="21" t="s">
        <v>1567</v>
      </c>
      <c r="B900" s="19" t="str">
        <f t="shared" si="79"/>
        <v>goomy</v>
      </c>
      <c r="C900" s="20" t="str">
        <f t="shared" si="80"/>
        <v/>
      </c>
    </row>
    <row r="901" ht="45.0" customHeight="1">
      <c r="A901" s="21" t="s">
        <v>1568</v>
      </c>
      <c r="B901" s="19" t="str">
        <f t="shared" si="79"/>
        <v>sliggoo</v>
      </c>
      <c r="C901" s="20" t="str">
        <f t="shared" si="80"/>
        <v/>
      </c>
    </row>
    <row r="902" ht="45.0" customHeight="1">
      <c r="A902" s="43" t="s">
        <v>1569</v>
      </c>
      <c r="B902" s="19" t="str">
        <f t="shared" si="79"/>
        <v>sliggoo-hisui</v>
      </c>
      <c r="C902" s="20" t="str">
        <f t="shared" si="80"/>
        <v/>
      </c>
    </row>
    <row r="903" ht="45.0" customHeight="1">
      <c r="A903" s="21" t="s">
        <v>1570</v>
      </c>
      <c r="B903" s="19" t="str">
        <f t="shared" si="79"/>
        <v>goodra</v>
      </c>
      <c r="C903" s="20" t="str">
        <f t="shared" si="80"/>
        <v/>
      </c>
    </row>
    <row r="904" ht="45.0" customHeight="1">
      <c r="A904" s="43" t="s">
        <v>1571</v>
      </c>
      <c r="B904" s="19" t="str">
        <f t="shared" si="79"/>
        <v>goodra-hisui</v>
      </c>
      <c r="C904" s="20" t="str">
        <f t="shared" si="80"/>
        <v/>
      </c>
    </row>
    <row r="905" ht="45.0" customHeight="1">
      <c r="A905" s="21" t="s">
        <v>1572</v>
      </c>
      <c r="B905" s="19" t="str">
        <f t="shared" si="79"/>
        <v>klefki</v>
      </c>
      <c r="C905" s="20" t="str">
        <f t="shared" si="80"/>
        <v/>
      </c>
    </row>
    <row r="906" ht="45.0" customHeight="1">
      <c r="A906" s="21" t="s">
        <v>1573</v>
      </c>
      <c r="B906" s="19" t="str">
        <f t="shared" si="79"/>
        <v>phantump</v>
      </c>
      <c r="C906" s="20" t="str">
        <f t="shared" si="80"/>
        <v/>
      </c>
    </row>
    <row r="907" ht="45.0" customHeight="1">
      <c r="A907" s="21" t="s">
        <v>1574</v>
      </c>
      <c r="B907" s="19" t="str">
        <f t="shared" si="79"/>
        <v>trevenant</v>
      </c>
      <c r="C907" s="20" t="str">
        <f t="shared" si="80"/>
        <v/>
      </c>
    </row>
    <row r="908" ht="45.0" customHeight="1">
      <c r="A908" s="21" t="s">
        <v>1575</v>
      </c>
      <c r="B908" s="19" t="str">
        <f t="shared" si="79"/>
        <v>pumpkaboo</v>
      </c>
      <c r="C908" s="20" t="str">
        <f t="shared" si="80"/>
        <v/>
      </c>
    </row>
    <row r="909" ht="45.0" customHeight="1">
      <c r="A909" s="19" t="s">
        <v>1576</v>
      </c>
      <c r="B909" s="19" t="str">
        <f t="shared" si="79"/>
        <v>gourgeist-small</v>
      </c>
      <c r="C909" s="20" t="str">
        <f t="shared" si="80"/>
        <v/>
      </c>
    </row>
    <row r="910" ht="45.0" customHeight="1">
      <c r="A910" s="19" t="s">
        <v>1577</v>
      </c>
      <c r="B910" s="19" t="str">
        <f t="shared" si="79"/>
        <v>gourgeist-large</v>
      </c>
      <c r="C910" s="20" t="str">
        <f t="shared" si="80"/>
        <v/>
      </c>
    </row>
    <row r="911" ht="45.0" customHeight="1">
      <c r="A911" s="19" t="s">
        <v>1578</v>
      </c>
      <c r="B911" s="19" t="str">
        <f t="shared" si="79"/>
        <v>gourgeist-super</v>
      </c>
      <c r="C911" s="20" t="str">
        <f t="shared" si="80"/>
        <v/>
      </c>
    </row>
    <row r="912" ht="45.0" customHeight="1">
      <c r="A912" s="21" t="s">
        <v>1579</v>
      </c>
      <c r="B912" s="19" t="str">
        <f t="shared" si="79"/>
        <v>gourgeist</v>
      </c>
      <c r="C912" s="20" t="str">
        <f t="shared" si="80"/>
        <v/>
      </c>
    </row>
    <row r="913" ht="45.0" customHeight="1">
      <c r="A913" s="21" t="s">
        <v>1580</v>
      </c>
      <c r="B913" s="19" t="str">
        <f t="shared" si="79"/>
        <v>bergmite</v>
      </c>
      <c r="C913" s="20" t="str">
        <f t="shared" si="80"/>
        <v/>
      </c>
    </row>
    <row r="914" ht="45.0" customHeight="1">
      <c r="A914" s="21" t="s">
        <v>1581</v>
      </c>
      <c r="B914" s="19" t="str">
        <f t="shared" si="79"/>
        <v>avalugg</v>
      </c>
      <c r="C914" s="20" t="str">
        <f t="shared" si="80"/>
        <v/>
      </c>
    </row>
    <row r="915" ht="45.0" customHeight="1">
      <c r="A915" s="43" t="s">
        <v>1328</v>
      </c>
      <c r="B915" s="19" t="str">
        <f t="shared" si="79"/>
        <v>avalugg-hisui</v>
      </c>
      <c r="C915" s="20" t="str">
        <f t="shared" si="80"/>
        <v/>
      </c>
    </row>
    <row r="916" ht="45.0" customHeight="1">
      <c r="A916" s="21" t="s">
        <v>1582</v>
      </c>
      <c r="B916" s="19" t="str">
        <f t="shared" si="79"/>
        <v>noibat</v>
      </c>
      <c r="C916" s="20" t="str">
        <f t="shared" si="80"/>
        <v/>
      </c>
    </row>
    <row r="917" ht="45.0" customHeight="1">
      <c r="A917" s="21" t="s">
        <v>1583</v>
      </c>
      <c r="B917" s="19" t="str">
        <f t="shared" si="79"/>
        <v>noivern</v>
      </c>
      <c r="C917" s="20" t="str">
        <f t="shared" si="80"/>
        <v/>
      </c>
    </row>
    <row r="918" ht="45.0" customHeight="1">
      <c r="A918" s="21" t="s">
        <v>1584</v>
      </c>
      <c r="B918" s="19" t="str">
        <f t="shared" si="79"/>
        <v>xerneas</v>
      </c>
      <c r="C918" s="20" t="str">
        <f t="shared" si="80"/>
        <v/>
      </c>
    </row>
    <row r="919" ht="45.0" customHeight="1">
      <c r="A919" s="21" t="s">
        <v>1585</v>
      </c>
      <c r="B919" s="19" t="str">
        <f t="shared" si="79"/>
        <v>yveltal</v>
      </c>
      <c r="C919" s="20" t="str">
        <f t="shared" si="80"/>
        <v/>
      </c>
    </row>
    <row r="920" ht="45.0" customHeight="1">
      <c r="A920" s="19" t="s">
        <v>1586</v>
      </c>
      <c r="B920" s="19" t="str">
        <f t="shared" si="79"/>
        <v>zygarde</v>
      </c>
      <c r="C920" s="20" t="str">
        <f t="shared" si="80"/>
        <v/>
      </c>
    </row>
    <row r="921" ht="45.0" customHeight="1">
      <c r="A921" s="19" t="s">
        <v>1587</v>
      </c>
      <c r="B921" s="19" t="s">
        <v>1588</v>
      </c>
      <c r="C921" s="20" t="str">
        <f t="shared" si="80"/>
        <v/>
      </c>
    </row>
    <row r="922" ht="45.0" customHeight="1">
      <c r="A922" s="19" t="s">
        <v>1589</v>
      </c>
      <c r="B922" s="19" t="s">
        <v>1590</v>
      </c>
      <c r="C922" s="20" t="str">
        <f t="shared" si="80"/>
        <v/>
      </c>
    </row>
    <row r="923" ht="45.0" customHeight="1">
      <c r="A923" s="19" t="s">
        <v>1591</v>
      </c>
      <c r="B923" s="19" t="s">
        <v>1592</v>
      </c>
      <c r="C923" s="20" t="str">
        <f>(IMAGE("https://pokedoku-space.nyc3.cdn.digitaloceanspaces.com/resources/pokemon/10301.png", 3))</f>
        <v/>
      </c>
    </row>
    <row r="924" ht="45.0" customHeight="1">
      <c r="A924" s="21" t="s">
        <v>1593</v>
      </c>
      <c r="B924" s="19" t="str">
        <f t="shared" ref="B924:B948" si="81">LOWER(A924)</f>
        <v>diancie</v>
      </c>
      <c r="C924" s="20" t="str">
        <f t="shared" ref="C924:C948" si="82">(IMAGE("https://play.pokemonshowdown.com/sprites/gen5/"&amp;B924&amp;".png", 3))</f>
        <v/>
      </c>
    </row>
    <row r="925" ht="45.0" customHeight="1">
      <c r="A925" s="19" t="s">
        <v>1594</v>
      </c>
      <c r="B925" s="19" t="str">
        <f t="shared" si="81"/>
        <v>diancie-mega</v>
      </c>
      <c r="C925" s="20" t="str">
        <f t="shared" si="82"/>
        <v/>
      </c>
    </row>
    <row r="926" ht="45.0" customHeight="1">
      <c r="A926" s="21" t="s">
        <v>1595</v>
      </c>
      <c r="B926" s="19" t="str">
        <f t="shared" si="81"/>
        <v>hoopa</v>
      </c>
      <c r="C926" s="20" t="str">
        <f t="shared" si="82"/>
        <v/>
      </c>
    </row>
    <row r="927" ht="45.0" customHeight="1">
      <c r="A927" s="19" t="s">
        <v>1596</v>
      </c>
      <c r="B927" s="19" t="str">
        <f t="shared" si="81"/>
        <v>hoopa-unbound</v>
      </c>
      <c r="C927" s="20" t="str">
        <f t="shared" si="82"/>
        <v/>
      </c>
    </row>
    <row r="928" ht="45.0" customHeight="1">
      <c r="A928" s="21" t="s">
        <v>1597</v>
      </c>
      <c r="B928" s="19" t="str">
        <f t="shared" si="81"/>
        <v>volcanion</v>
      </c>
      <c r="C928" s="20" t="str">
        <f t="shared" si="82"/>
        <v/>
      </c>
    </row>
    <row r="929" ht="45.0" customHeight="1">
      <c r="A929" s="21" t="s">
        <v>1598</v>
      </c>
      <c r="B929" s="19" t="str">
        <f t="shared" si="81"/>
        <v>rowlet</v>
      </c>
      <c r="C929" s="20" t="str">
        <f t="shared" si="82"/>
        <v/>
      </c>
    </row>
    <row r="930" ht="45.0" customHeight="1">
      <c r="A930" s="21" t="s">
        <v>1599</v>
      </c>
      <c r="B930" s="19" t="str">
        <f t="shared" si="81"/>
        <v>dartrix</v>
      </c>
      <c r="C930" s="20" t="str">
        <f t="shared" si="82"/>
        <v/>
      </c>
    </row>
    <row r="931" ht="45.0" customHeight="1">
      <c r="A931" s="21" t="s">
        <v>1600</v>
      </c>
      <c r="B931" s="19" t="str">
        <f t="shared" si="81"/>
        <v>decidueye</v>
      </c>
      <c r="C931" s="20" t="str">
        <f t="shared" si="82"/>
        <v/>
      </c>
    </row>
    <row r="932" ht="45.0" customHeight="1">
      <c r="A932" s="43" t="s">
        <v>1601</v>
      </c>
      <c r="B932" s="19" t="str">
        <f t="shared" si="81"/>
        <v>decidueye-hisui</v>
      </c>
      <c r="C932" s="20" t="str">
        <f t="shared" si="82"/>
        <v/>
      </c>
    </row>
    <row r="933" ht="45.0" customHeight="1">
      <c r="A933" s="21" t="s">
        <v>195</v>
      </c>
      <c r="B933" s="19" t="str">
        <f t="shared" si="81"/>
        <v>litten</v>
      </c>
      <c r="C933" s="20" t="str">
        <f t="shared" si="82"/>
        <v/>
      </c>
    </row>
    <row r="934" ht="45.0" customHeight="1">
      <c r="A934" s="21" t="s">
        <v>1602</v>
      </c>
      <c r="B934" s="19" t="str">
        <f t="shared" si="81"/>
        <v>torracat</v>
      </c>
      <c r="C934" s="20" t="str">
        <f t="shared" si="82"/>
        <v/>
      </c>
    </row>
    <row r="935" ht="45.0" customHeight="1">
      <c r="A935" s="21" t="s">
        <v>1603</v>
      </c>
      <c r="B935" s="19" t="str">
        <f t="shared" si="81"/>
        <v>incineroar</v>
      </c>
      <c r="C935" s="20" t="str">
        <f t="shared" si="82"/>
        <v/>
      </c>
    </row>
    <row r="936" ht="45.0" customHeight="1">
      <c r="A936" s="21" t="s">
        <v>1604</v>
      </c>
      <c r="B936" s="19" t="str">
        <f t="shared" si="81"/>
        <v>popplio</v>
      </c>
      <c r="C936" s="20" t="str">
        <f t="shared" si="82"/>
        <v/>
      </c>
    </row>
    <row r="937" ht="45.0" customHeight="1">
      <c r="A937" s="21" t="s">
        <v>1605</v>
      </c>
      <c r="B937" s="19" t="str">
        <f t="shared" si="81"/>
        <v>brionne</v>
      </c>
      <c r="C937" s="20" t="str">
        <f t="shared" si="82"/>
        <v/>
      </c>
    </row>
    <row r="938" ht="45.0" customHeight="1">
      <c r="A938" s="21" t="s">
        <v>1606</v>
      </c>
      <c r="B938" s="19" t="str">
        <f t="shared" si="81"/>
        <v>primarina</v>
      </c>
      <c r="C938" s="20" t="str">
        <f t="shared" si="82"/>
        <v/>
      </c>
    </row>
    <row r="939" ht="45.0" customHeight="1">
      <c r="A939" s="21" t="s">
        <v>1607</v>
      </c>
      <c r="B939" s="19" t="str">
        <f t="shared" si="81"/>
        <v>pikipek</v>
      </c>
      <c r="C939" s="20" t="str">
        <f t="shared" si="82"/>
        <v/>
      </c>
    </row>
    <row r="940" ht="45.0" customHeight="1">
      <c r="A940" s="21" t="s">
        <v>1608</v>
      </c>
      <c r="B940" s="19" t="str">
        <f t="shared" si="81"/>
        <v>trumbeak</v>
      </c>
      <c r="C940" s="20" t="str">
        <f t="shared" si="82"/>
        <v/>
      </c>
    </row>
    <row r="941" ht="45.0" customHeight="1">
      <c r="A941" s="21" t="s">
        <v>1609</v>
      </c>
      <c r="B941" s="19" t="str">
        <f t="shared" si="81"/>
        <v>toucannon</v>
      </c>
      <c r="C941" s="20" t="str">
        <f t="shared" si="82"/>
        <v/>
      </c>
    </row>
    <row r="942" ht="45.0" customHeight="1">
      <c r="A942" s="21" t="s">
        <v>1610</v>
      </c>
      <c r="B942" s="19" t="str">
        <f t="shared" si="81"/>
        <v>yungoos</v>
      </c>
      <c r="C942" s="20" t="str">
        <f t="shared" si="82"/>
        <v/>
      </c>
    </row>
    <row r="943" ht="45.0" customHeight="1">
      <c r="A943" s="21" t="s">
        <v>1044</v>
      </c>
      <c r="B943" s="19" t="str">
        <f t="shared" si="81"/>
        <v>gumshoos</v>
      </c>
      <c r="C943" s="20" t="str">
        <f t="shared" si="82"/>
        <v/>
      </c>
    </row>
    <row r="944" ht="45.0" customHeight="1">
      <c r="A944" s="21" t="s">
        <v>1611</v>
      </c>
      <c r="B944" s="19" t="str">
        <f t="shared" si="81"/>
        <v>grubbin</v>
      </c>
      <c r="C944" s="20" t="str">
        <f t="shared" si="82"/>
        <v/>
      </c>
    </row>
    <row r="945" ht="45.0" customHeight="1">
      <c r="A945" s="21" t="s">
        <v>1422</v>
      </c>
      <c r="B945" s="19" t="str">
        <f t="shared" si="81"/>
        <v>charjabug</v>
      </c>
      <c r="C945" s="20" t="str">
        <f t="shared" si="82"/>
        <v/>
      </c>
    </row>
    <row r="946" ht="45.0" customHeight="1">
      <c r="A946" s="21" t="s">
        <v>1612</v>
      </c>
      <c r="B946" s="19" t="str">
        <f t="shared" si="81"/>
        <v>vikavolt</v>
      </c>
      <c r="C946" s="20" t="str">
        <f t="shared" si="82"/>
        <v/>
      </c>
    </row>
    <row r="947" ht="45.0" customHeight="1">
      <c r="A947" s="21" t="s">
        <v>1613</v>
      </c>
      <c r="B947" s="19" t="str">
        <f t="shared" si="81"/>
        <v>crabrawler</v>
      </c>
      <c r="C947" s="20" t="str">
        <f t="shared" si="82"/>
        <v/>
      </c>
    </row>
    <row r="948" ht="45.0" customHeight="1">
      <c r="A948" s="21" t="s">
        <v>1329</v>
      </c>
      <c r="B948" s="19" t="str">
        <f t="shared" si="81"/>
        <v>crabominable</v>
      </c>
      <c r="C948" s="20" t="str">
        <f t="shared" si="82"/>
        <v/>
      </c>
    </row>
    <row r="949" ht="45.0" customHeight="1">
      <c r="A949" s="19" t="s">
        <v>1614</v>
      </c>
      <c r="B949" s="19" t="s">
        <v>1615</v>
      </c>
      <c r="C949" s="20" t="str">
        <f>(IMAGE("https://pokedoku-space.nyc3.cdn.digitaloceanspaces.com/resources/pokemon/10315.png", 3))</f>
        <v/>
      </c>
    </row>
    <row r="950" ht="45.0" customHeight="1">
      <c r="A950" s="19" t="s">
        <v>1617</v>
      </c>
      <c r="B950" s="19" t="str">
        <f>LOWER(A950)</f>
        <v>oricorio</v>
      </c>
      <c r="C950" s="20" t="str">
        <f t="shared" ref="C950:C983" si="83">(IMAGE("https://play.pokemonshowdown.com/sprites/gen5/"&amp;B950&amp;".png", 3))</f>
        <v/>
      </c>
    </row>
    <row r="951" ht="45.0" customHeight="1">
      <c r="A951" s="19" t="s">
        <v>1620</v>
      </c>
      <c r="B951" s="19" t="s">
        <v>1622</v>
      </c>
      <c r="C951" s="20" t="str">
        <f t="shared" si="83"/>
        <v/>
      </c>
    </row>
    <row r="952" ht="45.0" customHeight="1">
      <c r="A952" s="19" t="s">
        <v>1624</v>
      </c>
      <c r="B952" s="19" t="s">
        <v>1626</v>
      </c>
      <c r="C952" s="20" t="str">
        <f t="shared" si="83"/>
        <v/>
      </c>
    </row>
    <row r="953" ht="45.0" customHeight="1">
      <c r="A953" s="19" t="s">
        <v>1628</v>
      </c>
      <c r="B953" s="19" t="str">
        <f t="shared" ref="B953:B983" si="84">LOWER(A953)</f>
        <v>oricorio-sensu</v>
      </c>
      <c r="C953" s="20" t="str">
        <f t="shared" si="83"/>
        <v/>
      </c>
    </row>
    <row r="954" ht="45.0" customHeight="1">
      <c r="A954" s="21" t="s">
        <v>1632</v>
      </c>
      <c r="B954" s="19" t="str">
        <f t="shared" si="84"/>
        <v>cutiefly</v>
      </c>
      <c r="C954" s="20" t="str">
        <f t="shared" si="83"/>
        <v/>
      </c>
    </row>
    <row r="955" ht="45.0" customHeight="1">
      <c r="A955" s="21" t="s">
        <v>1634</v>
      </c>
      <c r="B955" s="19" t="str">
        <f t="shared" si="84"/>
        <v>ribombee</v>
      </c>
      <c r="C955" s="20" t="str">
        <f t="shared" si="83"/>
        <v/>
      </c>
    </row>
    <row r="956" ht="45.0" customHeight="1">
      <c r="A956" s="21" t="s">
        <v>1638</v>
      </c>
      <c r="B956" s="19" t="str">
        <f t="shared" si="84"/>
        <v>rockruff</v>
      </c>
      <c r="C956" s="20" t="str">
        <f t="shared" si="83"/>
        <v/>
      </c>
    </row>
    <row r="957" ht="45.0" customHeight="1">
      <c r="A957" s="21" t="s">
        <v>1640</v>
      </c>
      <c r="B957" s="19" t="str">
        <f t="shared" si="84"/>
        <v>lycanroc</v>
      </c>
      <c r="C957" s="20" t="str">
        <f t="shared" si="83"/>
        <v/>
      </c>
    </row>
    <row r="958" ht="45.0" customHeight="1">
      <c r="A958" s="21" t="s">
        <v>1645</v>
      </c>
      <c r="B958" s="19" t="str">
        <f t="shared" si="84"/>
        <v>lycanroc-dusk</v>
      </c>
      <c r="C958" s="20" t="str">
        <f t="shared" si="83"/>
        <v/>
      </c>
    </row>
    <row r="959" ht="45.0" customHeight="1">
      <c r="A959" s="19" t="s">
        <v>1647</v>
      </c>
      <c r="B959" s="19" t="str">
        <f t="shared" si="84"/>
        <v>lycanroc-midnight</v>
      </c>
      <c r="C959" s="20" t="str">
        <f t="shared" si="83"/>
        <v/>
      </c>
    </row>
    <row r="960" ht="45.0" customHeight="1">
      <c r="A960" s="21" t="s">
        <v>1648</v>
      </c>
      <c r="B960" s="19" t="str">
        <f t="shared" si="84"/>
        <v>wishiwashi</v>
      </c>
      <c r="C960" s="20" t="str">
        <f t="shared" si="83"/>
        <v/>
      </c>
    </row>
    <row r="961" ht="45.0" customHeight="1">
      <c r="A961" s="21" t="s">
        <v>1649</v>
      </c>
      <c r="B961" s="19" t="str">
        <f t="shared" si="84"/>
        <v>wishiwashi-school</v>
      </c>
      <c r="C961" s="20" t="str">
        <f t="shared" si="83"/>
        <v/>
      </c>
    </row>
    <row r="962" ht="45.0" customHeight="1">
      <c r="A962" s="21" t="s">
        <v>1652</v>
      </c>
      <c r="B962" s="19" t="str">
        <f t="shared" si="84"/>
        <v>mareanie</v>
      </c>
      <c r="C962" s="20" t="str">
        <f t="shared" si="83"/>
        <v/>
      </c>
    </row>
    <row r="963" ht="45.0" customHeight="1">
      <c r="A963" s="21" t="s">
        <v>1654</v>
      </c>
      <c r="B963" s="19" t="str">
        <f t="shared" si="84"/>
        <v>toxapex</v>
      </c>
      <c r="C963" s="20" t="str">
        <f t="shared" si="83"/>
        <v/>
      </c>
    </row>
    <row r="964" ht="45.0" customHeight="1">
      <c r="A964" s="21" t="s">
        <v>1656</v>
      </c>
      <c r="B964" s="19" t="str">
        <f t="shared" si="84"/>
        <v>mudbray</v>
      </c>
      <c r="C964" s="20" t="str">
        <f t="shared" si="83"/>
        <v/>
      </c>
    </row>
    <row r="965" ht="45.0" customHeight="1">
      <c r="A965" s="21" t="s">
        <v>1660</v>
      </c>
      <c r="B965" s="19" t="str">
        <f t="shared" si="84"/>
        <v>mudsdale</v>
      </c>
      <c r="C965" s="20" t="str">
        <f t="shared" si="83"/>
        <v/>
      </c>
    </row>
    <row r="966" ht="45.0" customHeight="1">
      <c r="A966" s="21" t="s">
        <v>1663</v>
      </c>
      <c r="B966" s="19" t="str">
        <f t="shared" si="84"/>
        <v>dewpider</v>
      </c>
      <c r="C966" s="20" t="str">
        <f t="shared" si="83"/>
        <v/>
      </c>
    </row>
    <row r="967" ht="45.0" customHeight="1">
      <c r="A967" s="21" t="s">
        <v>1665</v>
      </c>
      <c r="B967" s="19" t="str">
        <f t="shared" si="84"/>
        <v>araquanid</v>
      </c>
      <c r="C967" s="20" t="str">
        <f t="shared" si="83"/>
        <v/>
      </c>
    </row>
    <row r="968" ht="45.0" customHeight="1">
      <c r="A968" s="21" t="s">
        <v>1667</v>
      </c>
      <c r="B968" s="19" t="str">
        <f t="shared" si="84"/>
        <v>fomantis</v>
      </c>
      <c r="C968" s="20" t="str">
        <f t="shared" si="83"/>
        <v/>
      </c>
    </row>
    <row r="969" ht="45.0" customHeight="1">
      <c r="A969" s="21" t="s">
        <v>1669</v>
      </c>
      <c r="B969" s="19" t="str">
        <f t="shared" si="84"/>
        <v>lurantis</v>
      </c>
      <c r="C969" s="20" t="str">
        <f t="shared" si="83"/>
        <v/>
      </c>
    </row>
    <row r="970" ht="45.0" customHeight="1">
      <c r="A970" s="21" t="s">
        <v>1670</v>
      </c>
      <c r="B970" s="19" t="str">
        <f t="shared" si="84"/>
        <v>morelull</v>
      </c>
      <c r="C970" s="20" t="str">
        <f t="shared" si="83"/>
        <v/>
      </c>
    </row>
    <row r="971" ht="45.0" customHeight="1">
      <c r="A971" s="21" t="s">
        <v>1672</v>
      </c>
      <c r="B971" s="19" t="str">
        <f t="shared" si="84"/>
        <v>shiinotic</v>
      </c>
      <c r="C971" s="20" t="str">
        <f t="shared" si="83"/>
        <v/>
      </c>
    </row>
    <row r="972" ht="45.0" customHeight="1">
      <c r="A972" s="21" t="s">
        <v>1674</v>
      </c>
      <c r="B972" s="19" t="str">
        <f t="shared" si="84"/>
        <v>salandit</v>
      </c>
      <c r="C972" s="20" t="str">
        <f t="shared" si="83"/>
        <v/>
      </c>
    </row>
    <row r="973" ht="45.0" customHeight="1">
      <c r="A973" s="21" t="s">
        <v>1011</v>
      </c>
      <c r="B973" s="19" t="str">
        <f t="shared" si="84"/>
        <v>salazzle</v>
      </c>
      <c r="C973" s="20" t="str">
        <f t="shared" si="83"/>
        <v/>
      </c>
    </row>
    <row r="974" ht="45.0" customHeight="1">
      <c r="A974" s="21" t="s">
        <v>1675</v>
      </c>
      <c r="B974" s="19" t="str">
        <f t="shared" si="84"/>
        <v>stufful</v>
      </c>
      <c r="C974" s="20" t="str">
        <f t="shared" si="83"/>
        <v/>
      </c>
    </row>
    <row r="975" ht="45.0" customHeight="1">
      <c r="A975" s="21" t="s">
        <v>1676</v>
      </c>
      <c r="B975" s="19" t="str">
        <f t="shared" si="84"/>
        <v>bewear</v>
      </c>
      <c r="C975" s="20" t="str">
        <f t="shared" si="83"/>
        <v/>
      </c>
    </row>
    <row r="976" ht="45.0" customHeight="1">
      <c r="A976" s="21" t="s">
        <v>1677</v>
      </c>
      <c r="B976" s="19" t="str">
        <f t="shared" si="84"/>
        <v>bounsweet</v>
      </c>
      <c r="C976" s="20" t="str">
        <f t="shared" si="83"/>
        <v/>
      </c>
    </row>
    <row r="977" ht="45.0" customHeight="1">
      <c r="A977" s="21" t="s">
        <v>1678</v>
      </c>
      <c r="B977" s="19" t="str">
        <f t="shared" si="84"/>
        <v>steenee</v>
      </c>
      <c r="C977" s="20" t="str">
        <f t="shared" si="83"/>
        <v/>
      </c>
    </row>
    <row r="978" ht="45.0" customHeight="1">
      <c r="A978" s="21" t="s">
        <v>1679</v>
      </c>
      <c r="B978" s="19" t="str">
        <f t="shared" si="84"/>
        <v>tsareena</v>
      </c>
      <c r="C978" s="20" t="str">
        <f t="shared" si="83"/>
        <v/>
      </c>
    </row>
    <row r="979" ht="45.0" customHeight="1">
      <c r="A979" s="21" t="s">
        <v>1021</v>
      </c>
      <c r="B979" s="19" t="str">
        <f t="shared" si="84"/>
        <v>comfey</v>
      </c>
      <c r="C979" s="20" t="str">
        <f t="shared" si="83"/>
        <v/>
      </c>
    </row>
    <row r="980" ht="45.0" customHeight="1">
      <c r="A980" s="21" t="s">
        <v>1680</v>
      </c>
      <c r="B980" s="19" t="str">
        <f t="shared" si="84"/>
        <v>oranguru</v>
      </c>
      <c r="C980" s="20" t="str">
        <f t="shared" si="83"/>
        <v/>
      </c>
    </row>
    <row r="981" ht="45.0" customHeight="1">
      <c r="A981" s="21" t="s">
        <v>1681</v>
      </c>
      <c r="B981" s="19" t="str">
        <f t="shared" si="84"/>
        <v>passimian</v>
      </c>
      <c r="C981" s="20" t="str">
        <f t="shared" si="83"/>
        <v/>
      </c>
    </row>
    <row r="982" ht="45.0" customHeight="1">
      <c r="A982" s="21" t="s">
        <v>1682</v>
      </c>
      <c r="B982" s="19" t="str">
        <f t="shared" si="84"/>
        <v>wimpod</v>
      </c>
      <c r="C982" s="20" t="str">
        <f t="shared" si="83"/>
        <v/>
      </c>
    </row>
    <row r="983" ht="45.0" customHeight="1">
      <c r="A983" s="21" t="s">
        <v>1683</v>
      </c>
      <c r="B983" s="19" t="str">
        <f t="shared" si="84"/>
        <v>golisopod</v>
      </c>
      <c r="C983" s="20" t="str">
        <f t="shared" si="83"/>
        <v/>
      </c>
    </row>
    <row r="984" ht="45.0" customHeight="1">
      <c r="A984" s="19" t="s">
        <v>1684</v>
      </c>
      <c r="B984" s="19" t="s">
        <v>1685</v>
      </c>
      <c r="C984" s="20" t="str">
        <f>(IMAGE("https://pokedoku-space.nyc3.cdn.digitaloceanspaces.com/resources/pokemon/10316.png", 3))</f>
        <v/>
      </c>
    </row>
    <row r="985" ht="45.0" customHeight="1">
      <c r="A985" s="21" t="s">
        <v>1686</v>
      </c>
      <c r="B985" s="19" t="str">
        <f t="shared" ref="B985:B987" si="85">LOWER(A985)</f>
        <v>sandygast</v>
      </c>
      <c r="C985" s="20" t="str">
        <f t="shared" ref="C985:C1014" si="86">(IMAGE("https://play.pokemonshowdown.com/sprites/gen5/"&amp;B985&amp;".png", 3))</f>
        <v/>
      </c>
    </row>
    <row r="986" ht="45.0" customHeight="1">
      <c r="A986" s="21" t="s">
        <v>883</v>
      </c>
      <c r="B986" s="19" t="str">
        <f t="shared" si="85"/>
        <v>palossand</v>
      </c>
      <c r="C986" s="20" t="str">
        <f t="shared" si="86"/>
        <v/>
      </c>
    </row>
    <row r="987" ht="45.0" customHeight="1">
      <c r="A987" s="21" t="s">
        <v>1533</v>
      </c>
      <c r="B987" s="19" t="str">
        <f t="shared" si="85"/>
        <v>pyukumuku</v>
      </c>
      <c r="C987" s="20" t="str">
        <f t="shared" si="86"/>
        <v/>
      </c>
    </row>
    <row r="988" ht="45.0" customHeight="1">
      <c r="A988" s="21" t="s">
        <v>893</v>
      </c>
      <c r="B988" s="19" t="s">
        <v>1687</v>
      </c>
      <c r="C988" s="20" t="str">
        <f t="shared" si="86"/>
        <v/>
      </c>
    </row>
    <row r="989" ht="45.0" customHeight="1">
      <c r="A989" s="21" t="s">
        <v>1688</v>
      </c>
      <c r="B989" s="19" t="str">
        <f t="shared" ref="B989:B1007" si="87">LOWER(A989)</f>
        <v>silvally</v>
      </c>
      <c r="C989" s="20" t="str">
        <f t="shared" si="86"/>
        <v/>
      </c>
    </row>
    <row r="990" ht="45.0" customHeight="1">
      <c r="A990" s="19" t="s">
        <v>1689</v>
      </c>
      <c r="B990" s="19" t="str">
        <f t="shared" si="87"/>
        <v>silvally-fire</v>
      </c>
      <c r="C990" s="20" t="str">
        <f t="shared" si="86"/>
        <v/>
      </c>
    </row>
    <row r="991" ht="45.0" customHeight="1">
      <c r="A991" s="19" t="s">
        <v>1690</v>
      </c>
      <c r="B991" s="19" t="str">
        <f t="shared" si="87"/>
        <v>silvally-flying</v>
      </c>
      <c r="C991" s="20" t="str">
        <f t="shared" si="86"/>
        <v/>
      </c>
    </row>
    <row r="992" ht="45.0" customHeight="1">
      <c r="A992" s="19" t="s">
        <v>1691</v>
      </c>
      <c r="B992" s="19" t="str">
        <f t="shared" si="87"/>
        <v>silvally-poison</v>
      </c>
      <c r="C992" s="20" t="str">
        <f t="shared" si="86"/>
        <v/>
      </c>
    </row>
    <row r="993" ht="45.0" customHeight="1">
      <c r="A993" s="19" t="s">
        <v>1692</v>
      </c>
      <c r="B993" s="19" t="str">
        <f t="shared" si="87"/>
        <v>silvally-ground</v>
      </c>
      <c r="C993" s="20" t="str">
        <f t="shared" si="86"/>
        <v/>
      </c>
    </row>
    <row r="994" ht="45.0" customHeight="1">
      <c r="A994" s="19" t="s">
        <v>1693</v>
      </c>
      <c r="B994" s="19" t="str">
        <f t="shared" si="87"/>
        <v>silvally-rock</v>
      </c>
      <c r="C994" s="20" t="str">
        <f t="shared" si="86"/>
        <v/>
      </c>
    </row>
    <row r="995" ht="45.0" customHeight="1">
      <c r="A995" s="19" t="s">
        <v>1694</v>
      </c>
      <c r="B995" s="19" t="str">
        <f t="shared" si="87"/>
        <v>silvally-bug</v>
      </c>
      <c r="C995" s="20" t="str">
        <f t="shared" si="86"/>
        <v/>
      </c>
    </row>
    <row r="996" ht="45.0" customHeight="1">
      <c r="A996" s="19" t="s">
        <v>1695</v>
      </c>
      <c r="B996" s="19" t="str">
        <f t="shared" si="87"/>
        <v>silvally-fairy</v>
      </c>
      <c r="C996" s="20" t="str">
        <f t="shared" si="86"/>
        <v/>
      </c>
    </row>
    <row r="997" ht="45.0" customHeight="1">
      <c r="A997" s="19" t="s">
        <v>1696</v>
      </c>
      <c r="B997" s="19" t="str">
        <f t="shared" si="87"/>
        <v>silvally-ice</v>
      </c>
      <c r="C997" s="20" t="str">
        <f t="shared" si="86"/>
        <v/>
      </c>
    </row>
    <row r="998" ht="45.0" customHeight="1">
      <c r="A998" s="19" t="s">
        <v>1697</v>
      </c>
      <c r="B998" s="19" t="str">
        <f t="shared" si="87"/>
        <v>silvally-fighting</v>
      </c>
      <c r="C998" s="20" t="str">
        <f t="shared" si="86"/>
        <v/>
      </c>
    </row>
    <row r="999" ht="45.0" customHeight="1">
      <c r="A999" s="19" t="s">
        <v>1698</v>
      </c>
      <c r="B999" s="19" t="str">
        <f t="shared" si="87"/>
        <v>silvally-water</v>
      </c>
      <c r="C999" s="20" t="str">
        <f t="shared" si="86"/>
        <v/>
      </c>
    </row>
    <row r="1000" ht="45.0" customHeight="1">
      <c r="A1000" s="19" t="s">
        <v>1699</v>
      </c>
      <c r="B1000" s="19" t="str">
        <f t="shared" si="87"/>
        <v>silvally-grass</v>
      </c>
      <c r="C1000" s="20" t="str">
        <f t="shared" si="86"/>
        <v/>
      </c>
    </row>
    <row r="1001" ht="45.0" customHeight="1">
      <c r="A1001" s="19" t="s">
        <v>1700</v>
      </c>
      <c r="B1001" s="19" t="str">
        <f t="shared" si="87"/>
        <v>silvally-electric</v>
      </c>
      <c r="C1001" s="20" t="str">
        <f t="shared" si="86"/>
        <v/>
      </c>
    </row>
    <row r="1002" ht="45.0" customHeight="1">
      <c r="A1002" s="19" t="s">
        <v>1701</v>
      </c>
      <c r="B1002" s="19" t="str">
        <f t="shared" si="87"/>
        <v>silvally-psychic</v>
      </c>
      <c r="C1002" s="20" t="str">
        <f t="shared" si="86"/>
        <v/>
      </c>
    </row>
    <row r="1003" ht="45.0" customHeight="1">
      <c r="A1003" s="19" t="s">
        <v>1703</v>
      </c>
      <c r="B1003" s="19" t="str">
        <f t="shared" si="87"/>
        <v>silvally-steel</v>
      </c>
      <c r="C1003" s="20" t="str">
        <f t="shared" si="86"/>
        <v/>
      </c>
    </row>
    <row r="1004" ht="45.0" customHeight="1">
      <c r="A1004" s="19" t="s">
        <v>1704</v>
      </c>
      <c r="B1004" s="19" t="str">
        <f t="shared" si="87"/>
        <v>silvally-dragon</v>
      </c>
      <c r="C1004" s="20" t="str">
        <f t="shared" si="86"/>
        <v/>
      </c>
    </row>
    <row r="1005" ht="45.0" customHeight="1">
      <c r="A1005" s="19" t="s">
        <v>1705</v>
      </c>
      <c r="B1005" s="19" t="str">
        <f t="shared" si="87"/>
        <v>silvally-dark</v>
      </c>
      <c r="C1005" s="20" t="str">
        <f t="shared" si="86"/>
        <v/>
      </c>
    </row>
    <row r="1006" ht="45.0" customHeight="1">
      <c r="A1006" s="19" t="s">
        <v>1706</v>
      </c>
      <c r="B1006" s="19" t="str">
        <f t="shared" si="87"/>
        <v>silvally-ghost</v>
      </c>
      <c r="C1006" s="20" t="str">
        <f t="shared" si="86"/>
        <v/>
      </c>
    </row>
    <row r="1007" ht="45.0" customHeight="1">
      <c r="A1007" s="21" t="s">
        <v>1708</v>
      </c>
      <c r="B1007" s="19" t="str">
        <f t="shared" si="87"/>
        <v>minior</v>
      </c>
      <c r="C1007" s="20" t="str">
        <f t="shared" si="86"/>
        <v/>
      </c>
    </row>
    <row r="1008" ht="45.0" customHeight="1">
      <c r="A1008" s="21" t="s">
        <v>1709</v>
      </c>
      <c r="B1008" s="19" t="s">
        <v>1710</v>
      </c>
      <c r="C1008" s="20" t="str">
        <f t="shared" si="86"/>
        <v/>
      </c>
    </row>
    <row r="1009" ht="45.0" customHeight="1">
      <c r="A1009" s="21" t="s">
        <v>1712</v>
      </c>
      <c r="B1009" s="19" t="str">
        <f t="shared" ref="B1009:B1014" si="88">LOWER(A1009)</f>
        <v>komala</v>
      </c>
      <c r="C1009" s="20" t="str">
        <f t="shared" si="86"/>
        <v/>
      </c>
    </row>
    <row r="1010" ht="45.0" customHeight="1">
      <c r="A1010" s="21" t="s">
        <v>1714</v>
      </c>
      <c r="B1010" s="19" t="str">
        <f t="shared" si="88"/>
        <v>turtonator</v>
      </c>
      <c r="C1010" s="20" t="str">
        <f t="shared" si="86"/>
        <v/>
      </c>
    </row>
    <row r="1011" ht="45.0" customHeight="1">
      <c r="A1011" s="21" t="s">
        <v>1715</v>
      </c>
      <c r="B1011" s="19" t="str">
        <f t="shared" si="88"/>
        <v>togedemaru</v>
      </c>
      <c r="C1011" s="20" t="str">
        <f t="shared" si="86"/>
        <v/>
      </c>
    </row>
    <row r="1012" ht="45.0" customHeight="1">
      <c r="A1012" s="21" t="s">
        <v>1717</v>
      </c>
      <c r="B1012" s="19" t="str">
        <f t="shared" si="88"/>
        <v>mimikyu</v>
      </c>
      <c r="C1012" s="20" t="str">
        <f t="shared" si="86"/>
        <v/>
      </c>
    </row>
    <row r="1013" ht="45.0" customHeight="1">
      <c r="A1013" s="21" t="s">
        <v>1719</v>
      </c>
      <c r="B1013" s="19" t="str">
        <f t="shared" si="88"/>
        <v>bruxish</v>
      </c>
      <c r="C1013" s="20" t="str">
        <f t="shared" si="86"/>
        <v/>
      </c>
    </row>
    <row r="1014" ht="45.0" customHeight="1">
      <c r="A1014" s="21" t="s">
        <v>1721</v>
      </c>
      <c r="B1014" s="19" t="str">
        <f t="shared" si="88"/>
        <v>drampa</v>
      </c>
      <c r="C1014" s="20" t="str">
        <f t="shared" si="86"/>
        <v/>
      </c>
    </row>
    <row r="1015" ht="45.0" customHeight="1">
      <c r="A1015" s="19" t="s">
        <v>1722</v>
      </c>
      <c r="B1015" s="19" t="s">
        <v>1723</v>
      </c>
      <c r="C1015" s="20" t="str">
        <f>(IMAGE("https://pokedoku-space.nyc3.cdn.digitaloceanspaces.com/resources/pokemon/10302.png", 3))</f>
        <v/>
      </c>
    </row>
    <row r="1016" ht="45.0" customHeight="1">
      <c r="A1016" s="21" t="s">
        <v>1724</v>
      </c>
      <c r="B1016" s="19" t="str">
        <f>LOWER(A1016)</f>
        <v>dhelmise</v>
      </c>
      <c r="C1016" s="20" t="str">
        <f t="shared" ref="C1016:C1039" si="89">(IMAGE("https://play.pokemonshowdown.com/sprites/gen5/"&amp;B1016&amp;".png", 3))</f>
        <v/>
      </c>
    </row>
    <row r="1017" ht="45.0" customHeight="1">
      <c r="A1017" s="21" t="s">
        <v>1725</v>
      </c>
      <c r="B1017" s="19" t="s">
        <v>1726</v>
      </c>
      <c r="C1017" s="20" t="str">
        <f t="shared" si="89"/>
        <v/>
      </c>
    </row>
    <row r="1018" ht="45.0" customHeight="1">
      <c r="A1018" s="21" t="s">
        <v>1727</v>
      </c>
      <c r="B1018" s="19" t="s">
        <v>1728</v>
      </c>
      <c r="C1018" s="20" t="str">
        <f t="shared" si="89"/>
        <v/>
      </c>
    </row>
    <row r="1019" ht="45.0" customHeight="1">
      <c r="A1019" s="19" t="s">
        <v>1729</v>
      </c>
      <c r="B1019" s="19" t="s">
        <v>1730</v>
      </c>
      <c r="C1019" s="20" t="str">
        <f t="shared" si="89"/>
        <v/>
      </c>
    </row>
    <row r="1020" ht="45.0" customHeight="1">
      <c r="A1020" s="21" t="s">
        <v>1731</v>
      </c>
      <c r="B1020" s="19" t="s">
        <v>1732</v>
      </c>
      <c r="C1020" s="20" t="str">
        <f t="shared" si="89"/>
        <v/>
      </c>
    </row>
    <row r="1021" ht="45.0" customHeight="1">
      <c r="A1021" s="21" t="s">
        <v>1733</v>
      </c>
      <c r="B1021" s="19" t="s">
        <v>1734</v>
      </c>
      <c r="C1021" s="20" t="str">
        <f t="shared" si="89"/>
        <v/>
      </c>
    </row>
    <row r="1022" ht="45.0" customHeight="1">
      <c r="A1022" s="21" t="s">
        <v>1735</v>
      </c>
      <c r="B1022" s="19" t="s">
        <v>1736</v>
      </c>
      <c r="C1022" s="20" t="str">
        <f t="shared" si="89"/>
        <v/>
      </c>
    </row>
    <row r="1023" ht="45.0" customHeight="1">
      <c r="A1023" s="21" t="s">
        <v>1737</v>
      </c>
      <c r="B1023" s="19" t="s">
        <v>1738</v>
      </c>
      <c r="C1023" s="20" t="str">
        <f t="shared" si="89"/>
        <v/>
      </c>
    </row>
    <row r="1024" ht="45.0" customHeight="1">
      <c r="A1024" s="21" t="s">
        <v>1739</v>
      </c>
      <c r="B1024" s="19" t="str">
        <f t="shared" ref="B1024:B1035" si="90">LOWER(A1024)</f>
        <v>cosmog</v>
      </c>
      <c r="C1024" s="20" t="str">
        <f t="shared" si="89"/>
        <v/>
      </c>
    </row>
    <row r="1025" ht="45.0" customHeight="1">
      <c r="A1025" s="21" t="s">
        <v>1740</v>
      </c>
      <c r="B1025" s="19" t="str">
        <f t="shared" si="90"/>
        <v>cosmoem</v>
      </c>
      <c r="C1025" s="20" t="str">
        <f t="shared" si="89"/>
        <v/>
      </c>
    </row>
    <row r="1026" ht="45.0" customHeight="1">
      <c r="A1026" s="21" t="s">
        <v>1741</v>
      </c>
      <c r="B1026" s="19" t="str">
        <f t="shared" si="90"/>
        <v>solgaleo</v>
      </c>
      <c r="C1026" s="20" t="str">
        <f t="shared" si="89"/>
        <v/>
      </c>
    </row>
    <row r="1027" ht="45.0" customHeight="1">
      <c r="A1027" s="21" t="s">
        <v>1742</v>
      </c>
      <c r="B1027" s="19" t="str">
        <f t="shared" si="90"/>
        <v>lunala</v>
      </c>
      <c r="C1027" s="20" t="str">
        <f t="shared" si="89"/>
        <v/>
      </c>
    </row>
    <row r="1028" ht="45.0" customHeight="1">
      <c r="A1028" s="21" t="s">
        <v>1743</v>
      </c>
      <c r="B1028" s="19" t="str">
        <f t="shared" si="90"/>
        <v>nihilego</v>
      </c>
      <c r="C1028" s="20" t="str">
        <f t="shared" si="89"/>
        <v/>
      </c>
    </row>
    <row r="1029" ht="45.0" customHeight="1">
      <c r="A1029" s="21" t="s">
        <v>1744</v>
      </c>
      <c r="B1029" s="19" t="str">
        <f t="shared" si="90"/>
        <v>buzzwole</v>
      </c>
      <c r="C1029" s="20" t="str">
        <f t="shared" si="89"/>
        <v/>
      </c>
    </row>
    <row r="1030" ht="45.0" customHeight="1">
      <c r="A1030" s="21" t="s">
        <v>1746</v>
      </c>
      <c r="B1030" s="19" t="str">
        <f t="shared" si="90"/>
        <v>pheromosa</v>
      </c>
      <c r="C1030" s="20" t="str">
        <f t="shared" si="89"/>
        <v/>
      </c>
    </row>
    <row r="1031" ht="45.0" customHeight="1">
      <c r="A1031" s="21" t="s">
        <v>1748</v>
      </c>
      <c r="B1031" s="19" t="str">
        <f t="shared" si="90"/>
        <v>xurkitree</v>
      </c>
      <c r="C1031" s="20" t="str">
        <f t="shared" si="89"/>
        <v/>
      </c>
    </row>
    <row r="1032" ht="45.0" customHeight="1">
      <c r="A1032" s="21" t="s">
        <v>1749</v>
      </c>
      <c r="B1032" s="19" t="str">
        <f t="shared" si="90"/>
        <v>celesteela</v>
      </c>
      <c r="C1032" s="20" t="str">
        <f t="shared" si="89"/>
        <v/>
      </c>
    </row>
    <row r="1033" ht="45.0" customHeight="1">
      <c r="A1033" s="21" t="s">
        <v>1750</v>
      </c>
      <c r="B1033" s="19" t="str">
        <f t="shared" si="90"/>
        <v>kartana</v>
      </c>
      <c r="C1033" s="20" t="str">
        <f t="shared" si="89"/>
        <v/>
      </c>
    </row>
    <row r="1034" ht="45.0" customHeight="1">
      <c r="A1034" s="21" t="s">
        <v>1751</v>
      </c>
      <c r="B1034" s="19" t="str">
        <f t="shared" si="90"/>
        <v>guzzlord</v>
      </c>
      <c r="C1034" s="20" t="str">
        <f t="shared" si="89"/>
        <v/>
      </c>
    </row>
    <row r="1035" ht="45.0" customHeight="1">
      <c r="A1035" s="21" t="s">
        <v>1753</v>
      </c>
      <c r="B1035" s="19" t="str">
        <f t="shared" si="90"/>
        <v>necrozma</v>
      </c>
      <c r="C1035" s="20" t="str">
        <f t="shared" si="89"/>
        <v/>
      </c>
    </row>
    <row r="1036" ht="45.0" customHeight="1">
      <c r="A1036" s="21" t="s">
        <v>1754</v>
      </c>
      <c r="B1036" s="19" t="s">
        <v>1755</v>
      </c>
      <c r="C1036" s="20" t="str">
        <f t="shared" si="89"/>
        <v/>
      </c>
    </row>
    <row r="1037" ht="45.0" customHeight="1">
      <c r="A1037" s="21" t="s">
        <v>1756</v>
      </c>
      <c r="B1037" s="19" t="s">
        <v>1757</v>
      </c>
      <c r="C1037" s="20" t="str">
        <f t="shared" si="89"/>
        <v/>
      </c>
    </row>
    <row r="1038" ht="45.0" customHeight="1">
      <c r="A1038" s="21" t="s">
        <v>1758</v>
      </c>
      <c r="B1038" s="19" t="str">
        <f t="shared" ref="B1038:B1039" si="91">LOWER(A1038)</f>
        <v>necrozma-ultra</v>
      </c>
      <c r="C1038" s="20" t="str">
        <f t="shared" si="89"/>
        <v/>
      </c>
    </row>
    <row r="1039" ht="45.0" customHeight="1">
      <c r="A1039" s="21" t="s">
        <v>1764</v>
      </c>
      <c r="B1039" s="19" t="str">
        <f t="shared" si="91"/>
        <v>magearna</v>
      </c>
      <c r="C1039" s="20" t="str">
        <f t="shared" si="89"/>
        <v/>
      </c>
    </row>
    <row r="1040" ht="45.0" customHeight="1">
      <c r="A1040" s="19" t="s">
        <v>1766</v>
      </c>
      <c r="B1040" s="19" t="s">
        <v>1767</v>
      </c>
      <c r="C1040" s="20" t="str">
        <f>(IMAGE("https://i.postimg.cc/MpJy1rjQ/magearnamega-by-kingofthe-x-roads-dl57sg9-(1).png", 3))</f>
        <v/>
      </c>
    </row>
    <row r="1041" ht="45.0" customHeight="1">
      <c r="A1041" s="21" t="s">
        <v>1770</v>
      </c>
      <c r="B1041" s="19" t="str">
        <f t="shared" ref="B1041:B1046" si="92">LOWER(A1041)</f>
        <v>marshadow</v>
      </c>
      <c r="C1041" s="20" t="str">
        <f t="shared" ref="C1041:C1046" si="93">(IMAGE("https://play.pokemonshowdown.com/sprites/gen5/"&amp;B1041&amp;".png", 3))</f>
        <v/>
      </c>
    </row>
    <row r="1042" ht="45.0" customHeight="1">
      <c r="A1042" s="21" t="s">
        <v>1773</v>
      </c>
      <c r="B1042" s="19" t="str">
        <f t="shared" si="92"/>
        <v>poipole</v>
      </c>
      <c r="C1042" s="20" t="str">
        <f t="shared" si="93"/>
        <v/>
      </c>
    </row>
    <row r="1043" ht="45.0" customHeight="1">
      <c r="A1043" s="21" t="s">
        <v>1775</v>
      </c>
      <c r="B1043" s="19" t="str">
        <f t="shared" si="92"/>
        <v>naganadel</v>
      </c>
      <c r="C1043" s="20" t="str">
        <f t="shared" si="93"/>
        <v/>
      </c>
    </row>
    <row r="1044" ht="45.0" customHeight="1">
      <c r="A1044" s="21" t="s">
        <v>1776</v>
      </c>
      <c r="B1044" s="19" t="str">
        <f t="shared" si="92"/>
        <v>stakataka</v>
      </c>
      <c r="C1044" s="20" t="str">
        <f t="shared" si="93"/>
        <v/>
      </c>
    </row>
    <row r="1045" ht="45.0" customHeight="1">
      <c r="A1045" s="21" t="s">
        <v>1777</v>
      </c>
      <c r="B1045" s="19" t="str">
        <f t="shared" si="92"/>
        <v>blacephalon</v>
      </c>
      <c r="C1045" s="20" t="str">
        <f t="shared" si="93"/>
        <v/>
      </c>
    </row>
    <row r="1046" ht="45.0" customHeight="1">
      <c r="A1046" s="21" t="s">
        <v>1778</v>
      </c>
      <c r="B1046" s="19" t="str">
        <f t="shared" si="92"/>
        <v>zeraora</v>
      </c>
      <c r="C1046" s="20" t="str">
        <f t="shared" si="93"/>
        <v/>
      </c>
    </row>
    <row r="1047" ht="45.0" customHeight="1">
      <c r="A1047" s="19" t="s">
        <v>1779</v>
      </c>
      <c r="B1047" s="19" t="s">
        <v>1780</v>
      </c>
      <c r="C1047" s="20" t="str">
        <f>(IMAGE("https://pokedoku-space.nyc3.cdn.digitaloceanspaces.com/resources/pokemon/10319.png", 3))</f>
        <v/>
      </c>
    </row>
    <row r="1048" ht="45.0" customHeight="1">
      <c r="A1048" s="21" t="s">
        <v>1784</v>
      </c>
      <c r="B1048" s="19" t="str">
        <f t="shared" ref="B1048:B1100" si="94">LOWER(A1048)</f>
        <v>meltan</v>
      </c>
      <c r="C1048" s="20" t="str">
        <f t="shared" ref="C1048:C1127" si="95">(IMAGE("https://play.pokemonshowdown.com/sprites/gen5/"&amp;B1048&amp;".png", 3))</f>
        <v/>
      </c>
    </row>
    <row r="1049" ht="45.0" customHeight="1">
      <c r="A1049" s="21" t="s">
        <v>1786</v>
      </c>
      <c r="B1049" s="19" t="str">
        <f t="shared" si="94"/>
        <v>melmetal</v>
      </c>
      <c r="C1049" s="20" t="str">
        <f t="shared" si="95"/>
        <v/>
      </c>
    </row>
    <row r="1050" ht="45.0" customHeight="1">
      <c r="A1050" s="19" t="s">
        <v>1790</v>
      </c>
      <c r="B1050" s="19" t="str">
        <f t="shared" si="94"/>
        <v>melmetal-gmax</v>
      </c>
      <c r="C1050" s="20" t="str">
        <f t="shared" si="95"/>
        <v/>
      </c>
    </row>
    <row r="1051" ht="45.0" customHeight="1">
      <c r="A1051" s="21" t="s">
        <v>1792</v>
      </c>
      <c r="B1051" s="19" t="str">
        <f t="shared" si="94"/>
        <v>grookey</v>
      </c>
      <c r="C1051" s="20" t="str">
        <f t="shared" si="95"/>
        <v/>
      </c>
    </row>
    <row r="1052" ht="45.0" customHeight="1">
      <c r="A1052" s="21" t="s">
        <v>1794</v>
      </c>
      <c r="B1052" s="19" t="str">
        <f t="shared" si="94"/>
        <v>thwackey</v>
      </c>
      <c r="C1052" s="20" t="str">
        <f t="shared" si="95"/>
        <v/>
      </c>
    </row>
    <row r="1053" ht="45.0" customHeight="1">
      <c r="A1053" s="21" t="s">
        <v>1795</v>
      </c>
      <c r="B1053" s="19" t="str">
        <f t="shared" si="94"/>
        <v>rillaboom</v>
      </c>
      <c r="C1053" s="20" t="str">
        <f t="shared" si="95"/>
        <v/>
      </c>
    </row>
    <row r="1054" ht="45.0" customHeight="1">
      <c r="A1054" s="21" t="s">
        <v>1797</v>
      </c>
      <c r="B1054" s="19" t="str">
        <f t="shared" si="94"/>
        <v>rillaboom-gmax</v>
      </c>
      <c r="C1054" s="20" t="str">
        <f t="shared" si="95"/>
        <v/>
      </c>
    </row>
    <row r="1055" ht="45.0" customHeight="1">
      <c r="A1055" s="21" t="s">
        <v>1800</v>
      </c>
      <c r="B1055" s="19" t="str">
        <f t="shared" si="94"/>
        <v>scorbunny</v>
      </c>
      <c r="C1055" s="20" t="str">
        <f t="shared" si="95"/>
        <v/>
      </c>
    </row>
    <row r="1056" ht="45.0" customHeight="1">
      <c r="A1056" s="21" t="s">
        <v>1802</v>
      </c>
      <c r="B1056" s="19" t="str">
        <f t="shared" si="94"/>
        <v>raboot</v>
      </c>
      <c r="C1056" s="20" t="str">
        <f t="shared" si="95"/>
        <v/>
      </c>
    </row>
    <row r="1057" ht="45.0" customHeight="1">
      <c r="A1057" s="21" t="s">
        <v>888</v>
      </c>
      <c r="B1057" s="19" t="str">
        <f t="shared" si="94"/>
        <v>cinderace</v>
      </c>
      <c r="C1057" s="20" t="str">
        <f t="shared" si="95"/>
        <v/>
      </c>
    </row>
    <row r="1058" ht="45.0" customHeight="1">
      <c r="A1058" s="21" t="s">
        <v>1803</v>
      </c>
      <c r="B1058" s="19" t="str">
        <f t="shared" si="94"/>
        <v>cinderace-gmax</v>
      </c>
      <c r="C1058" s="20" t="str">
        <f t="shared" si="95"/>
        <v/>
      </c>
    </row>
    <row r="1059" ht="45.0" customHeight="1">
      <c r="A1059" s="21" t="s">
        <v>1804</v>
      </c>
      <c r="B1059" s="19" t="str">
        <f t="shared" si="94"/>
        <v>sobble</v>
      </c>
      <c r="C1059" s="20" t="str">
        <f t="shared" si="95"/>
        <v/>
      </c>
    </row>
    <row r="1060" ht="45.0" customHeight="1">
      <c r="A1060" s="21" t="s">
        <v>1805</v>
      </c>
      <c r="B1060" s="19" t="str">
        <f t="shared" si="94"/>
        <v>drizzile</v>
      </c>
      <c r="C1060" s="20" t="str">
        <f t="shared" si="95"/>
        <v/>
      </c>
    </row>
    <row r="1061" ht="45.0" customHeight="1">
      <c r="A1061" s="21" t="s">
        <v>1806</v>
      </c>
      <c r="B1061" s="19" t="str">
        <f t="shared" si="94"/>
        <v>inteleon</v>
      </c>
      <c r="C1061" s="20" t="str">
        <f t="shared" si="95"/>
        <v/>
      </c>
    </row>
    <row r="1062" ht="45.0" customHeight="1">
      <c r="A1062" s="21" t="s">
        <v>1807</v>
      </c>
      <c r="B1062" s="19" t="str">
        <f t="shared" si="94"/>
        <v>inteleon-gmax</v>
      </c>
      <c r="C1062" s="20" t="str">
        <f t="shared" si="95"/>
        <v/>
      </c>
    </row>
    <row r="1063" ht="45.0" customHeight="1">
      <c r="A1063" s="21" t="s">
        <v>1808</v>
      </c>
      <c r="B1063" s="19" t="str">
        <f t="shared" si="94"/>
        <v>skwovet</v>
      </c>
      <c r="C1063" s="20" t="str">
        <f t="shared" si="95"/>
        <v/>
      </c>
    </row>
    <row r="1064" ht="45.0" customHeight="1">
      <c r="A1064" s="21" t="s">
        <v>1809</v>
      </c>
      <c r="B1064" s="19" t="str">
        <f t="shared" si="94"/>
        <v>greedent</v>
      </c>
      <c r="C1064" s="20" t="str">
        <f t="shared" si="95"/>
        <v/>
      </c>
    </row>
    <row r="1065" ht="45.0" customHeight="1">
      <c r="A1065" s="21" t="s">
        <v>1810</v>
      </c>
      <c r="B1065" s="19" t="str">
        <f t="shared" si="94"/>
        <v>rookidee</v>
      </c>
      <c r="C1065" s="20" t="str">
        <f t="shared" si="95"/>
        <v/>
      </c>
    </row>
    <row r="1066" ht="45.0" customHeight="1">
      <c r="A1066" s="21" t="s">
        <v>1811</v>
      </c>
      <c r="B1066" s="19" t="str">
        <f t="shared" si="94"/>
        <v>corvisquire</v>
      </c>
      <c r="C1066" s="20" t="str">
        <f t="shared" si="95"/>
        <v/>
      </c>
    </row>
    <row r="1067" ht="45.0" customHeight="1">
      <c r="A1067" s="21" t="s">
        <v>1812</v>
      </c>
      <c r="B1067" s="19" t="str">
        <f t="shared" si="94"/>
        <v>corviknight</v>
      </c>
      <c r="C1067" s="20" t="str">
        <f t="shared" si="95"/>
        <v/>
      </c>
    </row>
    <row r="1068" ht="45.0" customHeight="1">
      <c r="A1068" s="21" t="s">
        <v>1813</v>
      </c>
      <c r="B1068" s="19" t="str">
        <f t="shared" si="94"/>
        <v>corviknight-gmax</v>
      </c>
      <c r="C1068" s="20" t="str">
        <f t="shared" si="95"/>
        <v/>
      </c>
    </row>
    <row r="1069" ht="45.0" customHeight="1">
      <c r="A1069" s="21" t="s">
        <v>1814</v>
      </c>
      <c r="B1069" s="19" t="str">
        <f t="shared" si="94"/>
        <v>blipbug</v>
      </c>
      <c r="C1069" s="20" t="str">
        <f t="shared" si="95"/>
        <v/>
      </c>
    </row>
    <row r="1070" ht="45.0" customHeight="1">
      <c r="A1070" s="21" t="s">
        <v>1815</v>
      </c>
      <c r="B1070" s="19" t="str">
        <f t="shared" si="94"/>
        <v>dottler</v>
      </c>
      <c r="C1070" s="20" t="str">
        <f t="shared" si="95"/>
        <v/>
      </c>
    </row>
    <row r="1071" ht="45.0" customHeight="1">
      <c r="A1071" s="21" t="s">
        <v>1816</v>
      </c>
      <c r="B1071" s="19" t="str">
        <f t="shared" si="94"/>
        <v>orbeetle</v>
      </c>
      <c r="C1071" s="20" t="str">
        <f t="shared" si="95"/>
        <v/>
      </c>
    </row>
    <row r="1072" ht="45.0" customHeight="1">
      <c r="A1072" s="21" t="s">
        <v>1817</v>
      </c>
      <c r="B1072" s="19" t="str">
        <f t="shared" si="94"/>
        <v>orbeetle-gmax</v>
      </c>
      <c r="C1072" s="20" t="str">
        <f t="shared" si="95"/>
        <v/>
      </c>
    </row>
    <row r="1073" ht="45.0" customHeight="1">
      <c r="A1073" s="21" t="s">
        <v>1818</v>
      </c>
      <c r="B1073" s="19" t="str">
        <f t="shared" si="94"/>
        <v>nickit</v>
      </c>
      <c r="C1073" s="20" t="str">
        <f t="shared" si="95"/>
        <v/>
      </c>
    </row>
    <row r="1074" ht="45.0" customHeight="1">
      <c r="A1074" s="21" t="s">
        <v>1819</v>
      </c>
      <c r="B1074" s="19" t="str">
        <f t="shared" si="94"/>
        <v>thievul</v>
      </c>
      <c r="C1074" s="20" t="str">
        <f t="shared" si="95"/>
        <v/>
      </c>
    </row>
    <row r="1075" ht="45.0" customHeight="1">
      <c r="A1075" s="21" t="s">
        <v>1820</v>
      </c>
      <c r="B1075" s="19" t="str">
        <f t="shared" si="94"/>
        <v>gossifleur</v>
      </c>
      <c r="C1075" s="20" t="str">
        <f t="shared" si="95"/>
        <v/>
      </c>
    </row>
    <row r="1076" ht="45.0" customHeight="1">
      <c r="A1076" s="21" t="s">
        <v>1821</v>
      </c>
      <c r="B1076" s="19" t="str">
        <f t="shared" si="94"/>
        <v>eldegoss</v>
      </c>
      <c r="C1076" s="20" t="str">
        <f t="shared" si="95"/>
        <v/>
      </c>
    </row>
    <row r="1077" ht="45.0" customHeight="1">
      <c r="A1077" s="21" t="s">
        <v>1822</v>
      </c>
      <c r="B1077" s="19" t="str">
        <f t="shared" si="94"/>
        <v>wooloo</v>
      </c>
      <c r="C1077" s="20" t="str">
        <f t="shared" si="95"/>
        <v/>
      </c>
    </row>
    <row r="1078" ht="45.0" customHeight="1">
      <c r="A1078" s="21" t="s">
        <v>1823</v>
      </c>
      <c r="B1078" s="19" t="str">
        <f t="shared" si="94"/>
        <v>dubwool</v>
      </c>
      <c r="C1078" s="20" t="str">
        <f t="shared" si="95"/>
        <v/>
      </c>
    </row>
    <row r="1079" ht="45.0" customHeight="1">
      <c r="A1079" s="21" t="s">
        <v>1824</v>
      </c>
      <c r="B1079" s="19" t="str">
        <f t="shared" si="94"/>
        <v>chewtle</v>
      </c>
      <c r="C1079" s="20" t="str">
        <f t="shared" si="95"/>
        <v/>
      </c>
    </row>
    <row r="1080" ht="45.0" customHeight="1">
      <c r="A1080" s="21" t="s">
        <v>1825</v>
      </c>
      <c r="B1080" s="19" t="str">
        <f t="shared" si="94"/>
        <v>drednaw</v>
      </c>
      <c r="C1080" s="20" t="str">
        <f t="shared" si="95"/>
        <v/>
      </c>
    </row>
    <row r="1081" ht="45.0" customHeight="1">
      <c r="A1081" s="21" t="s">
        <v>1826</v>
      </c>
      <c r="B1081" s="19" t="str">
        <f t="shared" si="94"/>
        <v>drednaw-gmax</v>
      </c>
      <c r="C1081" s="20" t="str">
        <f t="shared" si="95"/>
        <v/>
      </c>
    </row>
    <row r="1082" ht="45.0" customHeight="1">
      <c r="A1082" s="21" t="s">
        <v>1827</v>
      </c>
      <c r="B1082" s="19" t="str">
        <f t="shared" si="94"/>
        <v>yamper</v>
      </c>
      <c r="C1082" s="20" t="str">
        <f t="shared" si="95"/>
        <v/>
      </c>
    </row>
    <row r="1083" ht="45.0" customHeight="1">
      <c r="A1083" s="21" t="s">
        <v>1828</v>
      </c>
      <c r="B1083" s="19" t="str">
        <f t="shared" si="94"/>
        <v>boltund</v>
      </c>
      <c r="C1083" s="20" t="str">
        <f t="shared" si="95"/>
        <v/>
      </c>
    </row>
    <row r="1084" ht="45.0" customHeight="1">
      <c r="A1084" s="21" t="s">
        <v>1829</v>
      </c>
      <c r="B1084" s="19" t="str">
        <f t="shared" si="94"/>
        <v>rolycoly</v>
      </c>
      <c r="C1084" s="20" t="str">
        <f t="shared" si="95"/>
        <v/>
      </c>
    </row>
    <row r="1085" ht="45.0" customHeight="1">
      <c r="A1085" s="21" t="s">
        <v>1830</v>
      </c>
      <c r="B1085" s="19" t="str">
        <f t="shared" si="94"/>
        <v>carkol</v>
      </c>
      <c r="C1085" s="20" t="str">
        <f t="shared" si="95"/>
        <v/>
      </c>
    </row>
    <row r="1086" ht="45.0" customHeight="1">
      <c r="A1086" s="21" t="s">
        <v>1831</v>
      </c>
      <c r="B1086" s="19" t="str">
        <f t="shared" si="94"/>
        <v>coalossal</v>
      </c>
      <c r="C1086" s="20" t="str">
        <f t="shared" si="95"/>
        <v/>
      </c>
    </row>
    <row r="1087" ht="45.0" customHeight="1">
      <c r="A1087" s="21" t="s">
        <v>1832</v>
      </c>
      <c r="B1087" s="19" t="str">
        <f t="shared" si="94"/>
        <v>coalossal-gmax</v>
      </c>
      <c r="C1087" s="20" t="str">
        <f t="shared" si="95"/>
        <v/>
      </c>
    </row>
    <row r="1088" ht="45.0" customHeight="1">
      <c r="A1088" s="21" t="s">
        <v>1833</v>
      </c>
      <c r="B1088" s="19" t="str">
        <f t="shared" si="94"/>
        <v>applin</v>
      </c>
      <c r="C1088" s="20" t="str">
        <f t="shared" si="95"/>
        <v/>
      </c>
    </row>
    <row r="1089" ht="45.0" customHeight="1">
      <c r="A1089" s="21" t="s">
        <v>1516</v>
      </c>
      <c r="B1089" s="19" t="str">
        <f t="shared" si="94"/>
        <v>flapple</v>
      </c>
      <c r="C1089" s="20" t="str">
        <f t="shared" si="95"/>
        <v/>
      </c>
    </row>
    <row r="1090" ht="45.0" customHeight="1">
      <c r="A1090" s="21" t="s">
        <v>1834</v>
      </c>
      <c r="B1090" s="19" t="str">
        <f t="shared" si="94"/>
        <v>flapple-gmax</v>
      </c>
      <c r="C1090" s="20" t="str">
        <f t="shared" si="95"/>
        <v/>
      </c>
    </row>
    <row r="1091" ht="45.0" customHeight="1">
      <c r="A1091" s="21" t="s">
        <v>1835</v>
      </c>
      <c r="B1091" s="19" t="str">
        <f t="shared" si="94"/>
        <v>appletun</v>
      </c>
      <c r="C1091" s="20" t="str">
        <f t="shared" si="95"/>
        <v/>
      </c>
    </row>
    <row r="1092" ht="45.0" customHeight="1">
      <c r="A1092" s="21" t="s">
        <v>1837</v>
      </c>
      <c r="B1092" s="19" t="str">
        <f t="shared" si="94"/>
        <v>appletun-gmax</v>
      </c>
      <c r="C1092" s="20" t="str">
        <f t="shared" si="95"/>
        <v/>
      </c>
    </row>
    <row r="1093" ht="45.0" customHeight="1">
      <c r="A1093" s="21" t="s">
        <v>1838</v>
      </c>
      <c r="B1093" s="19" t="str">
        <f t="shared" si="94"/>
        <v>silicobra</v>
      </c>
      <c r="C1093" s="20" t="str">
        <f t="shared" si="95"/>
        <v/>
      </c>
    </row>
    <row r="1094" ht="45.0" customHeight="1">
      <c r="A1094" s="21" t="s">
        <v>1839</v>
      </c>
      <c r="B1094" s="19" t="str">
        <f t="shared" si="94"/>
        <v>sandaconda</v>
      </c>
      <c r="C1094" s="20" t="str">
        <f t="shared" si="95"/>
        <v/>
      </c>
    </row>
    <row r="1095" ht="45.0" customHeight="1">
      <c r="A1095" s="21" t="s">
        <v>1841</v>
      </c>
      <c r="B1095" s="19" t="str">
        <f t="shared" si="94"/>
        <v>sandaconda-gmax</v>
      </c>
      <c r="C1095" s="20" t="str">
        <f t="shared" si="95"/>
        <v/>
      </c>
    </row>
    <row r="1096" ht="45.0" customHeight="1">
      <c r="A1096" s="21" t="s">
        <v>1842</v>
      </c>
      <c r="B1096" s="19" t="str">
        <f t="shared" si="94"/>
        <v>cramorant</v>
      </c>
      <c r="C1096" s="20" t="str">
        <f t="shared" si="95"/>
        <v/>
      </c>
    </row>
    <row r="1097" ht="45.0" customHeight="1">
      <c r="A1097" s="21" t="s">
        <v>1845</v>
      </c>
      <c r="B1097" s="19" t="str">
        <f t="shared" si="94"/>
        <v>arrokuda</v>
      </c>
      <c r="C1097" s="20" t="str">
        <f t="shared" si="95"/>
        <v/>
      </c>
    </row>
    <row r="1098" ht="45.0" customHeight="1">
      <c r="A1098" s="21" t="s">
        <v>1847</v>
      </c>
      <c r="B1098" s="19" t="str">
        <f t="shared" si="94"/>
        <v>barraskewda</v>
      </c>
      <c r="C1098" s="20" t="str">
        <f t="shared" si="95"/>
        <v/>
      </c>
    </row>
    <row r="1099" ht="45.0" customHeight="1">
      <c r="A1099" s="21" t="s">
        <v>1850</v>
      </c>
      <c r="B1099" s="19" t="str">
        <f t="shared" si="94"/>
        <v>toxel</v>
      </c>
      <c r="C1099" s="20" t="str">
        <f t="shared" si="95"/>
        <v/>
      </c>
    </row>
    <row r="1100" ht="45.0" customHeight="1">
      <c r="A1100" s="21" t="s">
        <v>1851</v>
      </c>
      <c r="B1100" s="19" t="str">
        <f t="shared" si="94"/>
        <v>toxtricity</v>
      </c>
      <c r="C1100" s="20" t="str">
        <f t="shared" si="95"/>
        <v/>
      </c>
    </row>
    <row r="1101" ht="45.0" customHeight="1">
      <c r="A1101" s="19" t="s">
        <v>1852</v>
      </c>
      <c r="B1101" s="19" t="s">
        <v>1854</v>
      </c>
      <c r="C1101" s="20" t="str">
        <f t="shared" si="95"/>
        <v/>
      </c>
    </row>
    <row r="1102" ht="45.0" customHeight="1">
      <c r="A1102" s="21" t="s">
        <v>1855</v>
      </c>
      <c r="B1102" s="19" t="str">
        <f t="shared" ref="B1102:B1120" si="96">LOWER(A1102)</f>
        <v>toxtricity-gmax</v>
      </c>
      <c r="C1102" s="20" t="str">
        <f t="shared" si="95"/>
        <v/>
      </c>
    </row>
    <row r="1103" ht="45.0" customHeight="1">
      <c r="A1103" s="21" t="s">
        <v>1856</v>
      </c>
      <c r="B1103" s="19" t="str">
        <f t="shared" si="96"/>
        <v>sizzlipede</v>
      </c>
      <c r="C1103" s="20" t="str">
        <f t="shared" si="95"/>
        <v/>
      </c>
    </row>
    <row r="1104" ht="45.0" customHeight="1">
      <c r="A1104" s="21" t="s">
        <v>1857</v>
      </c>
      <c r="B1104" s="19" t="str">
        <f t="shared" si="96"/>
        <v>centiskorch</v>
      </c>
      <c r="C1104" s="20" t="str">
        <f t="shared" si="95"/>
        <v/>
      </c>
    </row>
    <row r="1105" ht="45.0" customHeight="1">
      <c r="A1105" s="21" t="s">
        <v>1858</v>
      </c>
      <c r="B1105" s="19" t="str">
        <f t="shared" si="96"/>
        <v>centiskorch-gmax</v>
      </c>
      <c r="C1105" s="20" t="str">
        <f t="shared" si="95"/>
        <v/>
      </c>
    </row>
    <row r="1106" ht="45.0" customHeight="1">
      <c r="A1106" s="21" t="s">
        <v>1859</v>
      </c>
      <c r="B1106" s="19" t="str">
        <f t="shared" si="96"/>
        <v>clobbopus</v>
      </c>
      <c r="C1106" s="20" t="str">
        <f t="shared" si="95"/>
        <v/>
      </c>
    </row>
    <row r="1107" ht="45.0" customHeight="1">
      <c r="A1107" s="21" t="s">
        <v>1861</v>
      </c>
      <c r="B1107" s="19" t="str">
        <f t="shared" si="96"/>
        <v>grapploct</v>
      </c>
      <c r="C1107" s="20" t="str">
        <f t="shared" si="95"/>
        <v/>
      </c>
    </row>
    <row r="1108" ht="45.0" customHeight="1">
      <c r="A1108" s="21" t="s">
        <v>1862</v>
      </c>
      <c r="B1108" s="19" t="str">
        <f t="shared" si="96"/>
        <v>sinistea</v>
      </c>
      <c r="C1108" s="20" t="str">
        <f t="shared" si="95"/>
        <v/>
      </c>
    </row>
    <row r="1109" ht="45.0" customHeight="1">
      <c r="A1109" s="21" t="s">
        <v>1514</v>
      </c>
      <c r="B1109" s="19" t="str">
        <f t="shared" si="96"/>
        <v>polteageist</v>
      </c>
      <c r="C1109" s="20" t="str">
        <f t="shared" si="95"/>
        <v/>
      </c>
    </row>
    <row r="1110" ht="45.0" customHeight="1">
      <c r="A1110" s="21" t="s">
        <v>1863</v>
      </c>
      <c r="B1110" s="19" t="str">
        <f t="shared" si="96"/>
        <v>hatenna</v>
      </c>
      <c r="C1110" s="20" t="str">
        <f t="shared" si="95"/>
        <v/>
      </c>
    </row>
    <row r="1111" ht="45.0" customHeight="1">
      <c r="A1111" s="21" t="s">
        <v>1867</v>
      </c>
      <c r="B1111" s="19" t="str">
        <f t="shared" si="96"/>
        <v>hattrem</v>
      </c>
      <c r="C1111" s="20" t="str">
        <f t="shared" si="95"/>
        <v/>
      </c>
    </row>
    <row r="1112" ht="45.0" customHeight="1">
      <c r="A1112" s="21" t="s">
        <v>1836</v>
      </c>
      <c r="B1112" s="19" t="str">
        <f t="shared" si="96"/>
        <v>hatterene</v>
      </c>
      <c r="C1112" s="20" t="str">
        <f t="shared" si="95"/>
        <v/>
      </c>
    </row>
    <row r="1113" ht="45.0" customHeight="1">
      <c r="A1113" s="21" t="s">
        <v>1869</v>
      </c>
      <c r="B1113" s="19" t="str">
        <f t="shared" si="96"/>
        <v>hatterene-gmax</v>
      </c>
      <c r="C1113" s="20" t="str">
        <f t="shared" si="95"/>
        <v/>
      </c>
    </row>
    <row r="1114" ht="45.0" customHeight="1">
      <c r="A1114" s="21" t="s">
        <v>1872</v>
      </c>
      <c r="B1114" s="19" t="str">
        <f t="shared" si="96"/>
        <v>impidimp</v>
      </c>
      <c r="C1114" s="20" t="str">
        <f t="shared" si="95"/>
        <v/>
      </c>
    </row>
    <row r="1115" ht="45.0" customHeight="1">
      <c r="A1115" s="21" t="s">
        <v>1875</v>
      </c>
      <c r="B1115" s="19" t="str">
        <f t="shared" si="96"/>
        <v>morgrem</v>
      </c>
      <c r="C1115" s="20" t="str">
        <f t="shared" si="95"/>
        <v/>
      </c>
    </row>
    <row r="1116" ht="45.0" customHeight="1">
      <c r="A1116" s="21" t="s">
        <v>1876</v>
      </c>
      <c r="B1116" s="19" t="str">
        <f t="shared" si="96"/>
        <v>grimmsnarl</v>
      </c>
      <c r="C1116" s="20" t="str">
        <f t="shared" si="95"/>
        <v/>
      </c>
    </row>
    <row r="1117" ht="45.0" customHeight="1">
      <c r="A1117" s="21" t="s">
        <v>1877</v>
      </c>
      <c r="B1117" s="19" t="str">
        <f t="shared" si="96"/>
        <v>grimmsnarl-gmax</v>
      </c>
      <c r="C1117" s="20" t="str">
        <f t="shared" si="95"/>
        <v/>
      </c>
    </row>
    <row r="1118" ht="45.0" customHeight="1">
      <c r="A1118" s="21" t="s">
        <v>1879</v>
      </c>
      <c r="B1118" s="19" t="str">
        <f t="shared" si="96"/>
        <v>obstagoon</v>
      </c>
      <c r="C1118" s="20" t="str">
        <f t="shared" si="95"/>
        <v/>
      </c>
    </row>
    <row r="1119" ht="45.0" customHeight="1">
      <c r="A1119" s="45" t="s">
        <v>1880</v>
      </c>
      <c r="B1119" s="19" t="str">
        <f t="shared" si="96"/>
        <v>perrserker</v>
      </c>
      <c r="C1119" s="20" t="str">
        <f t="shared" si="95"/>
        <v/>
      </c>
    </row>
    <row r="1120" ht="45.0" customHeight="1">
      <c r="A1120" s="45" t="s">
        <v>1882</v>
      </c>
      <c r="B1120" s="19" t="str">
        <f t="shared" si="96"/>
        <v>cursola</v>
      </c>
      <c r="C1120" s="20" t="str">
        <f t="shared" si="95"/>
        <v/>
      </c>
    </row>
    <row r="1121" ht="45.0" customHeight="1">
      <c r="A1121" s="46" t="s">
        <v>1883</v>
      </c>
      <c r="B1121" s="19" t="s">
        <v>1884</v>
      </c>
      <c r="C1121" s="20" t="str">
        <f t="shared" si="95"/>
        <v/>
      </c>
    </row>
    <row r="1122" ht="45.0" customHeight="1">
      <c r="A1122" s="45" t="s">
        <v>1885</v>
      </c>
      <c r="B1122" s="19" t="s">
        <v>1886</v>
      </c>
      <c r="C1122" s="20" t="str">
        <f t="shared" si="95"/>
        <v/>
      </c>
    </row>
    <row r="1123" ht="45.0" customHeight="1">
      <c r="A1123" s="45" t="s">
        <v>1887</v>
      </c>
      <c r="B1123" s="19" t="str">
        <f t="shared" ref="B1123:B1127" si="97">LOWER(A1123)</f>
        <v>runerigus</v>
      </c>
      <c r="C1123" s="20" t="str">
        <f t="shared" si="95"/>
        <v/>
      </c>
    </row>
    <row r="1124" ht="45.0" customHeight="1">
      <c r="A1124" s="45" t="s">
        <v>1889</v>
      </c>
      <c r="B1124" s="19" t="str">
        <f t="shared" si="97"/>
        <v>milcery</v>
      </c>
      <c r="C1124" s="20" t="str">
        <f t="shared" si="95"/>
        <v/>
      </c>
    </row>
    <row r="1125" ht="45.0" customHeight="1">
      <c r="A1125" s="45" t="s">
        <v>1515</v>
      </c>
      <c r="B1125" s="19" t="str">
        <f t="shared" si="97"/>
        <v>alcremie</v>
      </c>
      <c r="C1125" s="20" t="str">
        <f t="shared" si="95"/>
        <v/>
      </c>
    </row>
    <row r="1126" ht="45.0" customHeight="1">
      <c r="A1126" s="45" t="s">
        <v>1890</v>
      </c>
      <c r="B1126" s="19" t="str">
        <f t="shared" si="97"/>
        <v>alcremie-gmax</v>
      </c>
      <c r="C1126" s="20" t="str">
        <f t="shared" si="95"/>
        <v/>
      </c>
    </row>
    <row r="1127" ht="45.0" customHeight="1">
      <c r="A1127" s="45" t="s">
        <v>1892</v>
      </c>
      <c r="B1127" s="19" t="str">
        <f t="shared" si="97"/>
        <v>falinks</v>
      </c>
      <c r="C1127" s="20" t="str">
        <f t="shared" si="95"/>
        <v/>
      </c>
    </row>
    <row r="1128" ht="45.0" customHeight="1">
      <c r="A1128" s="19" t="s">
        <v>1894</v>
      </c>
      <c r="B1128" s="19" t="s">
        <v>1895</v>
      </c>
      <c r="C1128" s="20" t="str">
        <f>(IMAGE("https://pokedoku-space.nyc3.cdn.digitaloceanspaces.com/resources/pokemon/10303.png", 3))</f>
        <v/>
      </c>
    </row>
    <row r="1129" ht="45.0" customHeight="1">
      <c r="A1129" s="45" t="s">
        <v>532</v>
      </c>
      <c r="B1129" s="19" t="str">
        <f t="shared" ref="B1129:B1150" si="98">LOWER(A1129)</f>
        <v>pincurchin</v>
      </c>
      <c r="C1129" s="20" t="str">
        <f t="shared" ref="C1129:C1165" si="99">(IMAGE("https://play.pokemonshowdown.com/sprites/gen5/"&amp;B1129&amp;".png", 3))</f>
        <v/>
      </c>
    </row>
    <row r="1130" ht="45.0" customHeight="1">
      <c r="A1130" s="45" t="s">
        <v>1898</v>
      </c>
      <c r="B1130" s="19" t="str">
        <f t="shared" si="98"/>
        <v>snom</v>
      </c>
      <c r="C1130" s="20" t="str">
        <f t="shared" si="99"/>
        <v/>
      </c>
    </row>
    <row r="1131" ht="45.0" customHeight="1">
      <c r="A1131" s="45" t="s">
        <v>1899</v>
      </c>
      <c r="B1131" s="19" t="str">
        <f t="shared" si="98"/>
        <v>frosmoth</v>
      </c>
      <c r="C1131" s="20" t="str">
        <f t="shared" si="99"/>
        <v/>
      </c>
    </row>
    <row r="1132" ht="45.0" customHeight="1">
      <c r="A1132" s="45" t="s">
        <v>1900</v>
      </c>
      <c r="B1132" s="19" t="str">
        <f t="shared" si="98"/>
        <v>stonjourner</v>
      </c>
      <c r="C1132" s="20" t="str">
        <f t="shared" si="99"/>
        <v/>
      </c>
    </row>
    <row r="1133" ht="45.0" customHeight="1">
      <c r="A1133" s="45" t="s">
        <v>1901</v>
      </c>
      <c r="B1133" s="19" t="str">
        <f t="shared" si="98"/>
        <v>eiscue</v>
      </c>
      <c r="C1133" s="20" t="str">
        <f t="shared" si="99"/>
        <v/>
      </c>
    </row>
    <row r="1134" ht="45.0" customHeight="1">
      <c r="A1134" s="45" t="s">
        <v>1902</v>
      </c>
      <c r="B1134" s="19" t="str">
        <f t="shared" si="98"/>
        <v>eiscue-noice</v>
      </c>
      <c r="C1134" s="20" t="str">
        <f t="shared" si="99"/>
        <v/>
      </c>
    </row>
    <row r="1135" ht="45.0" customHeight="1">
      <c r="A1135" s="45" t="s">
        <v>1903</v>
      </c>
      <c r="B1135" s="19" t="str">
        <f t="shared" si="98"/>
        <v>indeedee</v>
      </c>
      <c r="C1135" s="20" t="str">
        <f t="shared" si="99"/>
        <v/>
      </c>
    </row>
    <row r="1136" ht="45.0" customHeight="1">
      <c r="A1136" s="19" t="s">
        <v>1904</v>
      </c>
      <c r="B1136" s="19" t="str">
        <f t="shared" si="98"/>
        <v>indeedee-f</v>
      </c>
      <c r="C1136" s="20" t="str">
        <f t="shared" si="99"/>
        <v/>
      </c>
    </row>
    <row r="1137" ht="45.0" customHeight="1">
      <c r="A1137" s="45" t="s">
        <v>1905</v>
      </c>
      <c r="B1137" s="19" t="str">
        <f t="shared" si="98"/>
        <v>morpeko</v>
      </c>
      <c r="C1137" s="20" t="str">
        <f t="shared" si="99"/>
        <v/>
      </c>
    </row>
    <row r="1138" ht="45.0" customHeight="1">
      <c r="A1138" s="45" t="s">
        <v>1906</v>
      </c>
      <c r="B1138" s="19" t="str">
        <f t="shared" si="98"/>
        <v>cufant</v>
      </c>
      <c r="C1138" s="20" t="str">
        <f t="shared" si="99"/>
        <v/>
      </c>
    </row>
    <row r="1139" ht="45.0" customHeight="1">
      <c r="A1139" s="45" t="s">
        <v>1907</v>
      </c>
      <c r="B1139" s="19" t="str">
        <f t="shared" si="98"/>
        <v>copperajah</v>
      </c>
      <c r="C1139" s="20" t="str">
        <f t="shared" si="99"/>
        <v/>
      </c>
    </row>
    <row r="1140" ht="45.0" customHeight="1">
      <c r="A1140" s="45" t="s">
        <v>1908</v>
      </c>
      <c r="B1140" s="19" t="str">
        <f t="shared" si="98"/>
        <v>copperajah-gmax</v>
      </c>
      <c r="C1140" s="20" t="str">
        <f t="shared" si="99"/>
        <v/>
      </c>
    </row>
    <row r="1141" ht="45.0" customHeight="1">
      <c r="A1141" s="45" t="s">
        <v>1909</v>
      </c>
      <c r="B1141" s="19" t="str">
        <f t="shared" si="98"/>
        <v>dracozolt</v>
      </c>
      <c r="C1141" s="20" t="str">
        <f t="shared" si="99"/>
        <v/>
      </c>
    </row>
    <row r="1142" ht="45.0" customHeight="1">
      <c r="A1142" s="45" t="s">
        <v>1910</v>
      </c>
      <c r="B1142" s="19" t="str">
        <f t="shared" si="98"/>
        <v>arctozolt</v>
      </c>
      <c r="C1142" s="20" t="str">
        <f t="shared" si="99"/>
        <v/>
      </c>
    </row>
    <row r="1143" ht="45.0" customHeight="1">
      <c r="A1143" s="45" t="s">
        <v>1911</v>
      </c>
      <c r="B1143" s="19" t="str">
        <f t="shared" si="98"/>
        <v>dracovish</v>
      </c>
      <c r="C1143" s="20" t="str">
        <f t="shared" si="99"/>
        <v/>
      </c>
    </row>
    <row r="1144" ht="45.0" customHeight="1">
      <c r="A1144" s="45" t="s">
        <v>1621</v>
      </c>
      <c r="B1144" s="19" t="str">
        <f t="shared" si="98"/>
        <v>arctovish</v>
      </c>
      <c r="C1144" s="20" t="str">
        <f t="shared" si="99"/>
        <v/>
      </c>
    </row>
    <row r="1145" ht="45.0" customHeight="1">
      <c r="A1145" s="45" t="s">
        <v>1912</v>
      </c>
      <c r="B1145" s="19" t="str">
        <f t="shared" si="98"/>
        <v>duraludon</v>
      </c>
      <c r="C1145" s="20" t="str">
        <f t="shared" si="99"/>
        <v/>
      </c>
    </row>
    <row r="1146" ht="45.0" customHeight="1">
      <c r="A1146" s="45" t="s">
        <v>1913</v>
      </c>
      <c r="B1146" s="19" t="str">
        <f t="shared" si="98"/>
        <v>duraludon-gmax</v>
      </c>
      <c r="C1146" s="20" t="str">
        <f t="shared" si="99"/>
        <v/>
      </c>
    </row>
    <row r="1147" ht="45.0" customHeight="1">
      <c r="A1147" s="45" t="s">
        <v>1914</v>
      </c>
      <c r="B1147" s="19" t="str">
        <f t="shared" si="98"/>
        <v>dreepy</v>
      </c>
      <c r="C1147" s="20" t="str">
        <f t="shared" si="99"/>
        <v/>
      </c>
    </row>
    <row r="1148" ht="45.0" customHeight="1">
      <c r="A1148" s="45" t="s">
        <v>1915</v>
      </c>
      <c r="B1148" s="19" t="str">
        <f t="shared" si="98"/>
        <v>drakloak</v>
      </c>
      <c r="C1148" s="20" t="str">
        <f t="shared" si="99"/>
        <v/>
      </c>
    </row>
    <row r="1149" ht="45.0" customHeight="1">
      <c r="A1149" s="45" t="s">
        <v>1916</v>
      </c>
      <c r="B1149" s="19" t="str">
        <f t="shared" si="98"/>
        <v>dragapult</v>
      </c>
      <c r="C1149" s="20" t="str">
        <f t="shared" si="99"/>
        <v/>
      </c>
    </row>
    <row r="1150" ht="45.0" customHeight="1">
      <c r="A1150" s="45" t="s">
        <v>1917</v>
      </c>
      <c r="B1150" s="19" t="str">
        <f t="shared" si="98"/>
        <v>zacian</v>
      </c>
      <c r="C1150" s="20" t="str">
        <f t="shared" si="99"/>
        <v/>
      </c>
    </row>
    <row r="1151" ht="45.0" customHeight="1">
      <c r="A1151" s="19" t="s">
        <v>1918</v>
      </c>
      <c r="B1151" s="19" t="s">
        <v>1919</v>
      </c>
      <c r="C1151" s="20" t="str">
        <f t="shared" si="99"/>
        <v/>
      </c>
    </row>
    <row r="1152" ht="45.0" customHeight="1">
      <c r="A1152" s="45" t="s">
        <v>1920</v>
      </c>
      <c r="B1152" s="19" t="str">
        <f>LOWER(A1152)</f>
        <v>zamazenta</v>
      </c>
      <c r="C1152" s="20" t="str">
        <f t="shared" si="99"/>
        <v/>
      </c>
    </row>
    <row r="1153" ht="45.0" customHeight="1">
      <c r="A1153" s="19" t="s">
        <v>1921</v>
      </c>
      <c r="B1153" s="19" t="s">
        <v>1922</v>
      </c>
      <c r="C1153" s="20" t="str">
        <f t="shared" si="99"/>
        <v/>
      </c>
    </row>
    <row r="1154" ht="45.0" customHeight="1">
      <c r="A1154" s="45" t="s">
        <v>1923</v>
      </c>
      <c r="B1154" s="19" t="str">
        <f>LOWER(A1154)</f>
        <v>eternatus</v>
      </c>
      <c r="C1154" s="20" t="str">
        <f t="shared" si="99"/>
        <v/>
      </c>
    </row>
    <row r="1155" ht="45.0" customHeight="1">
      <c r="A1155" s="19" t="s">
        <v>1925</v>
      </c>
      <c r="B1155" s="19" t="s">
        <v>1927</v>
      </c>
      <c r="C1155" s="20" t="str">
        <f t="shared" si="99"/>
        <v/>
      </c>
    </row>
    <row r="1156" ht="45.0" customHeight="1">
      <c r="A1156" s="45" t="s">
        <v>1625</v>
      </c>
      <c r="B1156" s="19" t="str">
        <f>LOWER(A1156)</f>
        <v>kubfu</v>
      </c>
      <c r="C1156" s="20" t="str">
        <f t="shared" si="99"/>
        <v/>
      </c>
    </row>
    <row r="1157" ht="45.0" customHeight="1">
      <c r="A1157" s="19" t="s">
        <v>1930</v>
      </c>
      <c r="B1157" s="19" t="s">
        <v>1931</v>
      </c>
      <c r="C1157" s="20" t="str">
        <f t="shared" si="99"/>
        <v/>
      </c>
    </row>
    <row r="1158" ht="45.0" customHeight="1">
      <c r="A1158" s="19" t="s">
        <v>1932</v>
      </c>
      <c r="B1158" s="19" t="s">
        <v>1933</v>
      </c>
      <c r="C1158" s="20" t="str">
        <f t="shared" si="99"/>
        <v/>
      </c>
    </row>
    <row r="1159" ht="45.0" customHeight="1">
      <c r="A1159" s="19" t="s">
        <v>1936</v>
      </c>
      <c r="B1159" s="19" t="s">
        <v>1938</v>
      </c>
      <c r="C1159" s="20" t="str">
        <f t="shared" si="99"/>
        <v/>
      </c>
    </row>
    <row r="1160" ht="45.0" customHeight="1">
      <c r="A1160" s="19" t="s">
        <v>1939</v>
      </c>
      <c r="B1160" s="19" t="s">
        <v>1940</v>
      </c>
      <c r="C1160" s="20" t="str">
        <f t="shared" si="99"/>
        <v/>
      </c>
    </row>
    <row r="1161" ht="45.0" customHeight="1">
      <c r="A1161" s="45" t="s">
        <v>1943</v>
      </c>
      <c r="B1161" s="19" t="str">
        <f t="shared" ref="B1161:B1171" si="100">LOWER(A1161)</f>
        <v>zarude</v>
      </c>
      <c r="C1161" s="20" t="str">
        <f t="shared" si="99"/>
        <v/>
      </c>
    </row>
    <row r="1162" ht="45.0" customHeight="1">
      <c r="A1162" s="43" t="s">
        <v>1944</v>
      </c>
      <c r="B1162" s="19" t="str">
        <f t="shared" si="100"/>
        <v>regieleki</v>
      </c>
      <c r="C1162" s="20" t="str">
        <f t="shared" si="99"/>
        <v/>
      </c>
    </row>
    <row r="1163" ht="45.0" customHeight="1">
      <c r="A1163" s="43" t="s">
        <v>1946</v>
      </c>
      <c r="B1163" s="19" t="str">
        <f t="shared" si="100"/>
        <v>regidrago</v>
      </c>
      <c r="C1163" s="20" t="str">
        <f t="shared" si="99"/>
        <v/>
      </c>
    </row>
    <row r="1164" ht="45.0" customHeight="1">
      <c r="A1164" s="43" t="s">
        <v>1947</v>
      </c>
      <c r="B1164" s="19" t="str">
        <f t="shared" si="100"/>
        <v>glastrier</v>
      </c>
      <c r="C1164" s="20" t="str">
        <f t="shared" si="99"/>
        <v/>
      </c>
    </row>
    <row r="1165" ht="45.0" customHeight="1">
      <c r="A1165" s="43" t="s">
        <v>1948</v>
      </c>
      <c r="B1165" s="19" t="str">
        <f t="shared" si="100"/>
        <v>spectrier</v>
      </c>
      <c r="C1165" s="20" t="str">
        <f t="shared" si="99"/>
        <v/>
      </c>
    </row>
    <row r="1166" ht="45.0" customHeight="1">
      <c r="A1166" s="43" t="s">
        <v>1623</v>
      </c>
      <c r="B1166" s="19" t="str">
        <f t="shared" si="100"/>
        <v>calyrex</v>
      </c>
      <c r="C1166" s="20" t="str">
        <f>(IMAGE("https://play.pokemonshowdown.com/sprites/gen5/"&amp;B1166&amp;".png", 1))</f>
        <v/>
      </c>
    </row>
    <row r="1167" ht="45.0" customHeight="1">
      <c r="A1167" s="43" t="s">
        <v>1951</v>
      </c>
      <c r="B1167" s="19" t="str">
        <f t="shared" si="100"/>
        <v>calyrex-ice</v>
      </c>
      <c r="C1167" s="20" t="str">
        <f t="shared" ref="C1167:C1171" si="101">(IMAGE("https://play.pokemonshowdown.com/sprites/gen5/"&amp;B1167&amp;".png", 3))</f>
        <v/>
      </c>
    </row>
    <row r="1168" ht="45.0" customHeight="1">
      <c r="A1168" s="43" t="s">
        <v>1957</v>
      </c>
      <c r="B1168" s="19" t="str">
        <f t="shared" si="100"/>
        <v>calyrex-shadow</v>
      </c>
      <c r="C1168" s="20" t="str">
        <f t="shared" si="101"/>
        <v/>
      </c>
    </row>
    <row r="1169" ht="45.0" customHeight="1">
      <c r="A1169" s="43" t="s">
        <v>1019</v>
      </c>
      <c r="B1169" s="19" t="str">
        <f t="shared" si="100"/>
        <v>wyrdeer</v>
      </c>
      <c r="C1169" s="20" t="str">
        <f t="shared" si="101"/>
        <v/>
      </c>
    </row>
    <row r="1170" ht="45.0" customHeight="1">
      <c r="A1170" s="43" t="s">
        <v>340</v>
      </c>
      <c r="B1170" s="19" t="str">
        <f t="shared" si="100"/>
        <v>kleavor</v>
      </c>
      <c r="C1170" s="20" t="str">
        <f t="shared" si="101"/>
        <v/>
      </c>
    </row>
    <row r="1171" ht="45.0" customHeight="1">
      <c r="A1171" s="43" t="s">
        <v>1961</v>
      </c>
      <c r="B1171" s="19" t="str">
        <f t="shared" si="100"/>
        <v>ursaluna</v>
      </c>
      <c r="C1171" s="20" t="str">
        <f t="shared" si="101"/>
        <v/>
      </c>
    </row>
    <row r="1172" ht="45.0" customHeight="1">
      <c r="A1172" s="43" t="s">
        <v>1963</v>
      </c>
      <c r="B1172" s="19" t="s">
        <v>1964</v>
      </c>
      <c r="C1172" s="20" t="str">
        <f>(IMAGE("https://pokedoku-space.nyc3.cdn.digitaloceanspaces.com/resources/pokemon/10272.png", 3))</f>
        <v/>
      </c>
    </row>
    <row r="1173" ht="45.0" customHeight="1">
      <c r="A1173" s="43" t="s">
        <v>1965</v>
      </c>
      <c r="B1173" s="19" t="str">
        <f t="shared" ref="B1173:B1177" si="102">LOWER(A1173)</f>
        <v>basculegion</v>
      </c>
      <c r="C1173" s="20" t="str">
        <f t="shared" ref="C1173:C1180" si="103">(IMAGE("https://play.pokemonshowdown.com/sprites/gen5/"&amp;B1173&amp;".png", 3))</f>
        <v/>
      </c>
    </row>
    <row r="1174" ht="45.0" customHeight="1">
      <c r="A1174" s="43" t="s">
        <v>1966</v>
      </c>
      <c r="B1174" s="19" t="str">
        <f t="shared" si="102"/>
        <v>basculegion-f</v>
      </c>
      <c r="C1174" s="20" t="str">
        <f t="shared" si="103"/>
        <v/>
      </c>
    </row>
    <row r="1175" ht="45.0" customHeight="1">
      <c r="A1175" s="43" t="s">
        <v>1967</v>
      </c>
      <c r="B1175" s="19" t="str">
        <f t="shared" si="102"/>
        <v>sneasler</v>
      </c>
      <c r="C1175" s="20" t="str">
        <f t="shared" si="103"/>
        <v/>
      </c>
    </row>
    <row r="1176" ht="45.0" customHeight="1">
      <c r="A1176" s="43" t="s">
        <v>1968</v>
      </c>
      <c r="B1176" s="19" t="str">
        <f t="shared" si="102"/>
        <v>overqwil</v>
      </c>
      <c r="C1176" s="20" t="str">
        <f t="shared" si="103"/>
        <v/>
      </c>
    </row>
    <row r="1177" ht="45.0" customHeight="1">
      <c r="A1177" s="43" t="s">
        <v>1969</v>
      </c>
      <c r="B1177" s="19" t="str">
        <f t="shared" si="102"/>
        <v>enamorus</v>
      </c>
      <c r="C1177" s="20" t="str">
        <f t="shared" si="103"/>
        <v/>
      </c>
    </row>
    <row r="1178" ht="45.0" customHeight="1">
      <c r="A1178" s="43" t="s">
        <v>1970</v>
      </c>
      <c r="B1178" s="19" t="s">
        <v>1971</v>
      </c>
      <c r="C1178" s="20" t="str">
        <f t="shared" si="103"/>
        <v/>
      </c>
    </row>
    <row r="1179" ht="45.0" customHeight="1">
      <c r="A1179" s="43" t="s">
        <v>1972</v>
      </c>
      <c r="B1179" s="19" t="s">
        <v>1973</v>
      </c>
      <c r="C1179" s="20" t="str">
        <f t="shared" si="103"/>
        <v/>
      </c>
    </row>
    <row r="1180" ht="45.0" customHeight="1">
      <c r="A1180" s="43" t="s">
        <v>1974</v>
      </c>
      <c r="B1180" s="19" t="s">
        <v>1975</v>
      </c>
      <c r="C1180" s="20" t="str">
        <f t="shared" si="103"/>
        <v/>
      </c>
    </row>
    <row r="1181" ht="45.0" customHeight="1">
      <c r="A1181" s="43" t="s">
        <v>1142</v>
      </c>
      <c r="B1181" s="19" t="s">
        <v>1976</v>
      </c>
      <c r="C1181" s="20" t="str">
        <f>(IMAGE("https://play.pokemonshowdown.com/sprites/gen5/"&amp;B1181&amp;".png", 1))</f>
        <v/>
      </c>
    </row>
    <row r="1182" ht="45.0" customHeight="1">
      <c r="A1182" s="43" t="s">
        <v>1977</v>
      </c>
      <c r="B1182" s="19" t="s">
        <v>1978</v>
      </c>
      <c r="C1182" s="20" t="str">
        <f t="shared" ref="C1182:C1186" si="104">(IMAGE("https://play.pokemonshowdown.com/sprites/gen5/"&amp;B1182&amp;".png", 3))</f>
        <v/>
      </c>
    </row>
    <row r="1183" ht="45.0" customHeight="1">
      <c r="A1183" s="43" t="s">
        <v>1979</v>
      </c>
      <c r="B1183" s="19" t="s">
        <v>1980</v>
      </c>
      <c r="C1183" s="20" t="str">
        <f t="shared" si="104"/>
        <v/>
      </c>
    </row>
    <row r="1184" ht="45.0" customHeight="1">
      <c r="A1184" s="43" t="s">
        <v>1981</v>
      </c>
      <c r="B1184" s="19" t="s">
        <v>1982</v>
      </c>
      <c r="C1184" s="20" t="str">
        <f t="shared" si="104"/>
        <v/>
      </c>
    </row>
    <row r="1185" ht="45.0" customHeight="1">
      <c r="A1185" s="43" t="s">
        <v>1983</v>
      </c>
      <c r="B1185" s="19" t="s">
        <v>1984</v>
      </c>
      <c r="C1185" s="20" t="str">
        <f t="shared" si="104"/>
        <v/>
      </c>
    </row>
    <row r="1186" ht="45.0" customHeight="1">
      <c r="A1186" s="43" t="s">
        <v>1985</v>
      </c>
      <c r="B1186" s="19" t="s">
        <v>1986</v>
      </c>
      <c r="C1186" s="20" t="str">
        <f t="shared" si="104"/>
        <v/>
      </c>
    </row>
    <row r="1187" ht="45.0" customHeight="1">
      <c r="A1187" s="43" t="s">
        <v>1987</v>
      </c>
      <c r="B1187" s="19" t="s">
        <v>1988</v>
      </c>
      <c r="C1187" s="20" t="str">
        <f>(IMAGE("https://pokedoku-space.nyc3.cdn.digitaloceanspaces.com/resources/pokemon/914.png", 3))</f>
        <v/>
      </c>
    </row>
    <row r="1188" ht="45.0" customHeight="1">
      <c r="A1188" s="43" t="s">
        <v>1989</v>
      </c>
      <c r="B1188" s="19" t="s">
        <v>1990</v>
      </c>
      <c r="C1188" s="20" t="str">
        <f>(IMAGE("https://pokedoku-space.nyc3.cdn.digitaloceanspaces.com/resources/pokemon/915.png", 3))</f>
        <v/>
      </c>
    </row>
    <row r="1189" ht="45.0" customHeight="1">
      <c r="A1189" s="43" t="s">
        <v>1041</v>
      </c>
      <c r="B1189" s="19" t="s">
        <v>1991</v>
      </c>
      <c r="C1189" s="20" t="str">
        <f>(IMAGE("https://pokedoku-space.nyc3.cdn.digitaloceanspaces.com/resources/pokemon/916.png", 3))</f>
        <v/>
      </c>
    </row>
    <row r="1190" ht="48.0" customHeight="1">
      <c r="A1190" s="43" t="s">
        <v>1992</v>
      </c>
      <c r="B1190" s="19" t="s">
        <v>1993</v>
      </c>
      <c r="C1190" s="20" t="str">
        <f>(IMAGE("https://pokedoku-space.nyc3.cdn.digitaloceanspaces.com/resources/pokemon/10254.png", 3))</f>
        <v/>
      </c>
    </row>
    <row r="1191" ht="45.0" customHeight="1">
      <c r="A1191" s="43" t="s">
        <v>1994</v>
      </c>
      <c r="B1191" s="19" t="s">
        <v>1995</v>
      </c>
      <c r="C1191" s="20" t="str">
        <f>(IMAGE("https://pokedoku-space.nyc3.cdn.digitaloceanspaces.com/resources/pokemon/917.png", 3))</f>
        <v/>
      </c>
    </row>
    <row r="1192" ht="45.0" customHeight="1">
      <c r="A1192" s="43" t="s">
        <v>1141</v>
      </c>
      <c r="B1192" s="19" t="s">
        <v>1997</v>
      </c>
      <c r="C1192" s="20" t="str">
        <f>(IMAGE("https://pokedoku-space.nyc3.cdn.digitaloceanspaces.com/resources/pokemon/918.png", 3))</f>
        <v/>
      </c>
    </row>
    <row r="1193" ht="45.0" customHeight="1">
      <c r="A1193" s="43" t="s">
        <v>2000</v>
      </c>
      <c r="B1193" s="19" t="s">
        <v>2001</v>
      </c>
      <c r="C1193" s="20" t="str">
        <f>(IMAGE("https://pokedoku-space.nyc3.cdn.digitaloceanspaces.com/resources/pokemon/919.png", 3))</f>
        <v/>
      </c>
    </row>
    <row r="1194" ht="45.0" customHeight="1">
      <c r="A1194" s="43" t="s">
        <v>2003</v>
      </c>
      <c r="B1194" s="19" t="s">
        <v>2004</v>
      </c>
      <c r="C1194" s="20" t="str">
        <f>(IMAGE("https://pokedoku-space.nyc3.cdn.digitaloceanspaces.com/resources/pokemon/920.png", 3))</f>
        <v/>
      </c>
    </row>
    <row r="1195" ht="45.0" customHeight="1">
      <c r="A1195" s="43" t="s">
        <v>2006</v>
      </c>
      <c r="B1195" s="19" t="s">
        <v>2007</v>
      </c>
      <c r="C1195" s="20" t="str">
        <f>(IMAGE("https://play.pokemonshowdown.com/sprites/gen5/"&amp;B1195&amp;".png", 3))</f>
        <v/>
      </c>
    </row>
    <row r="1196" ht="45.0" customHeight="1">
      <c r="A1196" s="43" t="s">
        <v>2008</v>
      </c>
      <c r="B1196" s="19" t="s">
        <v>2009</v>
      </c>
      <c r="C1196" s="20" t="str">
        <f>(IMAGE("https://pokedoku-space.nyc3.cdn.digitaloceanspaces.com/resources/pokemon/922.png", 3))</f>
        <v/>
      </c>
    </row>
    <row r="1197" ht="45.0" customHeight="1">
      <c r="A1197" s="43" t="s">
        <v>2010</v>
      </c>
      <c r="B1197" s="19" t="s">
        <v>2011</v>
      </c>
      <c r="C1197" s="20" t="str">
        <f>(IMAGE("https://pokedoku-space.nyc3.cdn.digitaloceanspaces.com/resources/pokemon/923.png", 3))</f>
        <v/>
      </c>
    </row>
    <row r="1198" ht="45.0" customHeight="1">
      <c r="A1198" s="43" t="s">
        <v>2012</v>
      </c>
      <c r="B1198" s="19" t="s">
        <v>2013</v>
      </c>
      <c r="C1198" s="20" t="str">
        <f t="shared" ref="C1198:C1199" si="105">(IMAGE("https://play.pokemonshowdown.com/sprites/gen5/"&amp;B1198&amp;".png", 3))</f>
        <v/>
      </c>
    </row>
    <row r="1199" ht="45.0" customHeight="1">
      <c r="A1199" s="43" t="s">
        <v>2014</v>
      </c>
      <c r="B1199" s="19" t="s">
        <v>2015</v>
      </c>
      <c r="C1199" s="20" t="str">
        <f t="shared" si="105"/>
        <v/>
      </c>
    </row>
    <row r="1200" ht="45.0" customHeight="1">
      <c r="A1200" s="43" t="s">
        <v>2018</v>
      </c>
      <c r="B1200" s="19" t="s">
        <v>2019</v>
      </c>
      <c r="C1200" s="20" t="str">
        <f>(IMAGE("https://pokedoku-space.nyc3.cdn.digitaloceanspaces.com/resources/pokemon/926.png", 3))</f>
        <v/>
      </c>
    </row>
    <row r="1201" ht="45.0" customHeight="1">
      <c r="A1201" s="43" t="s">
        <v>769</v>
      </c>
      <c r="B1201" s="19" t="s">
        <v>2021</v>
      </c>
      <c r="C1201" s="20" t="str">
        <f>(IMAGE("https://pokedoku-space.nyc3.cdn.digitaloceanspaces.com/resources/pokemon/927.png", 3))</f>
        <v/>
      </c>
    </row>
    <row r="1202" ht="45.0" customHeight="1">
      <c r="A1202" s="43" t="s">
        <v>2023</v>
      </c>
      <c r="B1202" s="19" t="s">
        <v>2024</v>
      </c>
      <c r="C1202" s="20" t="str">
        <f>(IMAGE("https://pokedoku-space.nyc3.cdn.digitaloceanspaces.com/resources/pokemon/928.png", 3))</f>
        <v/>
      </c>
    </row>
    <row r="1203" ht="45.0" customHeight="1">
      <c r="A1203" s="43" t="s">
        <v>2027</v>
      </c>
      <c r="B1203" s="19" t="s">
        <v>2028</v>
      </c>
      <c r="C1203" s="20" t="str">
        <f>(IMAGE("https://pokedoku-space.nyc3.cdn.digitaloceanspaces.com/resources/pokemon/929.png", 3))</f>
        <v/>
      </c>
    </row>
    <row r="1204" ht="45.0" customHeight="1">
      <c r="A1204" s="43" t="s">
        <v>1237</v>
      </c>
      <c r="B1204" s="19" t="s">
        <v>2029</v>
      </c>
      <c r="C1204" s="20" t="str">
        <f>(IMAGE("https://pokedoku-space.nyc3.cdn.digitaloceanspaces.com/resources/pokemon/930.png", 3))</f>
        <v/>
      </c>
    </row>
    <row r="1205" ht="45.0" customHeight="1">
      <c r="A1205" s="43" t="s">
        <v>2030</v>
      </c>
      <c r="B1205" s="19" t="s">
        <v>2031</v>
      </c>
      <c r="C1205" s="20" t="str">
        <f>(IMAGE("https://pokedoku-space.nyc3.cdn.digitaloceanspaces.com/resources/pokemon/931.png", 3))</f>
        <v/>
      </c>
    </row>
    <row r="1206" ht="45.0" customHeight="1">
      <c r="A1206" s="43" t="s">
        <v>2038</v>
      </c>
      <c r="B1206" s="19" t="s">
        <v>2039</v>
      </c>
      <c r="C1206" s="20" t="str">
        <f>(IMAGE("https://pokedoku-space.nyc3.cdn.digitaloceanspaces.com/resources/pokemon/932.png", 3))</f>
        <v/>
      </c>
    </row>
    <row r="1207" ht="45.0" customHeight="1">
      <c r="A1207" s="43" t="s">
        <v>2043</v>
      </c>
      <c r="B1207" s="19" t="s">
        <v>2044</v>
      </c>
      <c r="C1207" s="20" t="str">
        <f>(IMAGE("https://pokedoku-space.nyc3.cdn.digitaloceanspaces.com/resources/pokemon/933.png", 3))</f>
        <v/>
      </c>
    </row>
    <row r="1208" ht="45.0" customHeight="1">
      <c r="A1208" s="43" t="s">
        <v>2046</v>
      </c>
      <c r="B1208" s="19" t="s">
        <v>2048</v>
      </c>
      <c r="C1208" s="20" t="str">
        <f>(IMAGE("https://pokedoku-space.nyc3.cdn.digitaloceanspaces.com/resources/pokemon/934.png", 3))</f>
        <v/>
      </c>
    </row>
    <row r="1209" ht="45.0" customHeight="1">
      <c r="A1209" s="43" t="s">
        <v>2051</v>
      </c>
      <c r="B1209" s="19" t="s">
        <v>2053</v>
      </c>
      <c r="C1209" s="20" t="str">
        <f>(IMAGE("https://pokedoku-space.nyc3.cdn.digitaloceanspaces.com/resources/pokemon/935.png", 3))</f>
        <v/>
      </c>
    </row>
    <row r="1210" ht="45.0" customHeight="1">
      <c r="A1210" s="43" t="s">
        <v>2054</v>
      </c>
      <c r="B1210" s="19" t="s">
        <v>2055</v>
      </c>
      <c r="C1210" s="20" t="str">
        <f>(IMAGE("https://pokedoku-space.nyc3.cdn.digitaloceanspaces.com/resources/pokemon/936.png", 3))</f>
        <v/>
      </c>
    </row>
    <row r="1211" ht="45.0" customHeight="1">
      <c r="A1211" s="43" t="s">
        <v>2056</v>
      </c>
      <c r="B1211" s="19" t="s">
        <v>2057</v>
      </c>
      <c r="C1211" s="20" t="str">
        <f>(IMAGE("https://pokedoku-space.nyc3.cdn.digitaloceanspaces.com/resources/pokemon/937.png", 3))</f>
        <v/>
      </c>
    </row>
    <row r="1212" ht="45.0" customHeight="1">
      <c r="A1212" s="43" t="s">
        <v>2058</v>
      </c>
      <c r="B1212" s="19" t="s">
        <v>2059</v>
      </c>
      <c r="C1212" s="20" t="str">
        <f>(IMAGE("https://play.pokemonshowdown.com/sprites/gen5/"&amp;B1212&amp;".png", 3))</f>
        <v/>
      </c>
    </row>
    <row r="1213" ht="45.0" customHeight="1">
      <c r="A1213" s="43" t="s">
        <v>886</v>
      </c>
      <c r="B1213" s="19" t="s">
        <v>2060</v>
      </c>
      <c r="C1213" s="20" t="str">
        <f>(IMAGE("https://pokedoku-space.nyc3.cdn.digitaloceanspaces.com/resources/pokemon/939.png", 3))</f>
        <v/>
      </c>
    </row>
    <row r="1214" ht="45.0" customHeight="1">
      <c r="A1214" s="43" t="s">
        <v>2061</v>
      </c>
      <c r="B1214" s="19" t="s">
        <v>2062</v>
      </c>
      <c r="C1214" s="20" t="str">
        <f>(IMAGE("https://pokedoku-space.nyc3.cdn.digitaloceanspaces.com/resources/pokemon/940.png", 3))</f>
        <v/>
      </c>
    </row>
    <row r="1215" ht="45.0" customHeight="1">
      <c r="A1215" s="43" t="s">
        <v>2063</v>
      </c>
      <c r="B1215" s="19" t="s">
        <v>2064</v>
      </c>
      <c r="C1215" s="20" t="str">
        <f t="shared" ref="C1215:C1217" si="106">(IMAGE("https://play.pokemonshowdown.com/sprites/gen5/"&amp;B1215&amp;".png", 3))</f>
        <v/>
      </c>
    </row>
    <row r="1216" ht="45.0" customHeight="1">
      <c r="A1216" s="43" t="s">
        <v>2065</v>
      </c>
      <c r="B1216" s="19" t="s">
        <v>2066</v>
      </c>
      <c r="C1216" s="20" t="str">
        <f t="shared" si="106"/>
        <v/>
      </c>
    </row>
    <row r="1217" ht="45.0" customHeight="1">
      <c r="A1217" s="43" t="s">
        <v>2067</v>
      </c>
      <c r="B1217" s="19" t="s">
        <v>2068</v>
      </c>
      <c r="C1217" s="20" t="str">
        <f t="shared" si="106"/>
        <v/>
      </c>
    </row>
    <row r="1218" ht="45.0" customHeight="1">
      <c r="A1218" s="43" t="s">
        <v>2069</v>
      </c>
      <c r="B1218" s="19" t="s">
        <v>2070</v>
      </c>
      <c r="C1218" s="20" t="str">
        <f>(IMAGE("https://pokedoku-space.nyc3.cdn.digitaloceanspaces.com/resources/pokemon/944.png", 3))</f>
        <v/>
      </c>
    </row>
    <row r="1219" ht="45.0" customHeight="1">
      <c r="A1219" s="43" t="s">
        <v>2071</v>
      </c>
      <c r="B1219" s="19" t="s">
        <v>2072</v>
      </c>
      <c r="C1219" s="20" t="str">
        <f>(IMAGE("https://pokedoku-space.nyc3.cdn.digitaloceanspaces.com/resources/pokemon/945.png", 3))</f>
        <v/>
      </c>
    </row>
    <row r="1220" ht="45.0" customHeight="1">
      <c r="A1220" s="43" t="s">
        <v>2073</v>
      </c>
      <c r="B1220" s="19" t="s">
        <v>2074</v>
      </c>
      <c r="C1220" s="20" t="str">
        <f>(IMAGE("https://pokedoku-space.nyc3.cdn.digitaloceanspaces.com/resources/pokemon/946.png", 3))</f>
        <v/>
      </c>
    </row>
    <row r="1221" ht="45.0" customHeight="1">
      <c r="A1221" s="43" t="s">
        <v>2075</v>
      </c>
      <c r="B1221" s="19" t="s">
        <v>2076</v>
      </c>
      <c r="C1221" s="20" t="str">
        <f>(IMAGE("https://pokedoku-space.nyc3.cdn.digitaloceanspaces.com/resources/pokemon/947.png", 3))</f>
        <v/>
      </c>
    </row>
    <row r="1222" ht="45.0" customHeight="1">
      <c r="A1222" s="43" t="s">
        <v>2077</v>
      </c>
      <c r="B1222" s="19" t="s">
        <v>2078</v>
      </c>
      <c r="C1222" s="20" t="str">
        <f>(IMAGE("https://pokedoku-space.nyc3.cdn.digitaloceanspaces.com/resources/pokemon/948.png", 3))</f>
        <v/>
      </c>
    </row>
    <row r="1223" ht="45.0" customHeight="1">
      <c r="A1223" s="43" t="s">
        <v>1860</v>
      </c>
      <c r="B1223" s="19" t="s">
        <v>2079</v>
      </c>
      <c r="C1223" s="20" t="str">
        <f>(IMAGE("https://pokedoku-space.nyc3.cdn.digitaloceanspaces.com/resources/pokemon/949.png", 3))</f>
        <v/>
      </c>
    </row>
    <row r="1224" ht="45.0" customHeight="1">
      <c r="A1224" s="43" t="s">
        <v>2080</v>
      </c>
      <c r="B1224" s="19" t="s">
        <v>2081</v>
      </c>
      <c r="C1224" s="20" t="str">
        <f>(IMAGE("https://pokedoku-space.nyc3.cdn.digitaloceanspaces.com/resources/pokemon/950.png", 3))</f>
        <v/>
      </c>
    </row>
    <row r="1225" ht="45.0" customHeight="1">
      <c r="A1225" s="43" t="s">
        <v>2082</v>
      </c>
      <c r="B1225" s="19" t="s">
        <v>2083</v>
      </c>
      <c r="C1225" s="20" t="str">
        <f>(IMAGE("https://pokedoku-space.nyc3.cdn.digitaloceanspaces.com/resources/pokemon/951.png", 3))</f>
        <v/>
      </c>
    </row>
    <row r="1226" ht="45.0" customHeight="1">
      <c r="A1226" s="43" t="s">
        <v>2084</v>
      </c>
      <c r="B1226" s="19" t="s">
        <v>2085</v>
      </c>
      <c r="C1226" s="20" t="str">
        <f>(IMAGE("https://pokedoku-space.nyc3.cdn.digitaloceanspaces.com/resources/pokemon/952.png", 3))</f>
        <v/>
      </c>
    </row>
    <row r="1227" ht="45.0" customHeight="1">
      <c r="A1227" s="43" t="s">
        <v>2086</v>
      </c>
      <c r="B1227" s="19" t="s">
        <v>2087</v>
      </c>
      <c r="C1227" s="20" t="str">
        <f>(IMAGE("https://i.postimg.cc/kMc4T1Z1/scovillainmega-by-kingofthe-x-roads-dl2pppz-(1).png", 3))</f>
        <v/>
      </c>
    </row>
    <row r="1228" ht="45.0" customHeight="1">
      <c r="A1228" s="43" t="s">
        <v>2088</v>
      </c>
      <c r="B1228" s="19" t="s">
        <v>2089</v>
      </c>
      <c r="C1228" s="20" t="str">
        <f>(IMAGE("https://pokedoku-space.nyc3.cdn.digitaloceanspaces.com/resources/pokemon/953.png", 3))</f>
        <v/>
      </c>
    </row>
    <row r="1229" ht="45.0" customHeight="1">
      <c r="A1229" s="43" t="s">
        <v>2091</v>
      </c>
      <c r="B1229" s="19" t="s">
        <v>2092</v>
      </c>
      <c r="C1229" s="20" t="str">
        <f>(IMAGE("https://pokedoku-space.nyc3.cdn.digitaloceanspaces.com/resources/pokemon/954.png", 3))</f>
        <v/>
      </c>
    </row>
    <row r="1230" ht="45.0" customHeight="1">
      <c r="A1230" s="43" t="s">
        <v>2097</v>
      </c>
      <c r="B1230" s="19" t="s">
        <v>2098</v>
      </c>
      <c r="C1230" s="20" t="str">
        <f>(IMAGE("https://pokedoku-space.nyc3.cdn.digitaloceanspaces.com/resources/pokemon/955.png", 3))</f>
        <v/>
      </c>
    </row>
    <row r="1231" ht="45.0" customHeight="1">
      <c r="A1231" s="43" t="s">
        <v>2102</v>
      </c>
      <c r="B1231" s="19" t="s">
        <v>2105</v>
      </c>
      <c r="C1231" s="20" t="str">
        <f>(IMAGE("https://pokedoku-space.nyc3.cdn.digitaloceanspaces.com/resources/pokemon/956.png", 3))</f>
        <v/>
      </c>
    </row>
    <row r="1232" ht="45.0" customHeight="1">
      <c r="A1232" s="43" t="s">
        <v>2107</v>
      </c>
      <c r="B1232" s="19" t="s">
        <v>2108</v>
      </c>
      <c r="C1232" s="20" t="str">
        <f>(IMAGE("https://pokedoku-space.nyc3.cdn.digitaloceanspaces.com/resources/pokemon/957.png", 3))</f>
        <v/>
      </c>
    </row>
    <row r="1233" ht="45.0" customHeight="1">
      <c r="A1233" s="43" t="s">
        <v>2112</v>
      </c>
      <c r="B1233" s="19" t="s">
        <v>2113</v>
      </c>
      <c r="C1233" s="20" t="str">
        <f>(IMAGE("https://pokedoku-space.nyc3.cdn.digitaloceanspaces.com/resources/pokemon/958.png", 3))</f>
        <v/>
      </c>
    </row>
    <row r="1234" ht="45.0" customHeight="1">
      <c r="A1234" s="43" t="s">
        <v>2118</v>
      </c>
      <c r="B1234" s="19" t="s">
        <v>2119</v>
      </c>
      <c r="C1234" s="20" t="str">
        <f>(IMAGE("https://pokedoku-space.nyc3.cdn.digitaloceanspaces.com/resources/pokemon/959.png", 3))</f>
        <v/>
      </c>
    </row>
    <row r="1235" ht="45.0" customHeight="1">
      <c r="A1235" s="43" t="s">
        <v>2123</v>
      </c>
      <c r="B1235" s="19" t="s">
        <v>2124</v>
      </c>
      <c r="C1235" s="20" t="str">
        <f>(IMAGE("https://pokedoku-space.nyc3.cdn.digitaloceanspaces.com/resources/pokemon/960.png", 3))</f>
        <v/>
      </c>
    </row>
    <row r="1236" ht="45.0" customHeight="1">
      <c r="A1236" s="43" t="s">
        <v>403</v>
      </c>
      <c r="B1236" s="19" t="s">
        <v>2126</v>
      </c>
      <c r="C1236" s="20" t="str">
        <f>(IMAGE("https://pokedoku-space.nyc3.cdn.digitaloceanspaces.com/resources/pokemon/961.png", 3))</f>
        <v/>
      </c>
    </row>
    <row r="1237" ht="45.0" customHeight="1">
      <c r="A1237" s="43" t="s">
        <v>1320</v>
      </c>
      <c r="B1237" s="19" t="s">
        <v>2127</v>
      </c>
      <c r="C1237" s="20" t="str">
        <f>(IMAGE("https://play.pokemonshowdown.com/sprites/gen5/"&amp;B1237&amp;".png", 3))</f>
        <v/>
      </c>
    </row>
    <row r="1238" ht="45.0" customHeight="1">
      <c r="A1238" s="43" t="s">
        <v>2128</v>
      </c>
      <c r="B1238" s="19" t="s">
        <v>2129</v>
      </c>
      <c r="C1238" s="20" t="str">
        <f>(IMAGE("https://pokedoku-space.nyc3.cdn.digitaloceanspaces.com/resources/pokemon/963.png", 3))</f>
        <v/>
      </c>
    </row>
    <row r="1239" ht="45.0" customHeight="1">
      <c r="A1239" s="43" t="s">
        <v>2130</v>
      </c>
      <c r="B1239" s="19" t="s">
        <v>2131</v>
      </c>
      <c r="C1239" s="20" t="str">
        <f>(IMAGE("https://pokedoku-space.nyc3.cdn.digitaloceanspaces.com/resources/pokemon/964.png", 3))</f>
        <v/>
      </c>
    </row>
    <row r="1240" ht="45.0" customHeight="1">
      <c r="A1240" s="43" t="s">
        <v>2132</v>
      </c>
      <c r="B1240" s="19" t="s">
        <v>2133</v>
      </c>
      <c r="C1240" s="20" t="str">
        <f>(IMAGE("https://play.pokemonshowdown.com/sprites/gen5/"&amp;B1240&amp;".png", 3))</f>
        <v/>
      </c>
    </row>
    <row r="1241" ht="45.0" customHeight="1">
      <c r="A1241" s="43" t="s">
        <v>2134</v>
      </c>
      <c r="B1241" s="19" t="s">
        <v>2135</v>
      </c>
      <c r="C1241" s="20" t="str">
        <f>(IMAGE("https://pokedoku-space.nyc3.cdn.digitaloceanspaces.com/resources/pokemon/965.png", 3))</f>
        <v/>
      </c>
    </row>
    <row r="1242" ht="45.0" customHeight="1">
      <c r="A1242" s="43" t="s">
        <v>2136</v>
      </c>
      <c r="B1242" s="19" t="s">
        <v>2137</v>
      </c>
      <c r="C1242" s="20" t="str">
        <f>(IMAGE("https://pokedoku-space.nyc3.cdn.digitaloceanspaces.com/resources/pokemon/966.png", 3))</f>
        <v/>
      </c>
    </row>
    <row r="1243" ht="45.0" customHeight="1">
      <c r="A1243" s="43" t="s">
        <v>2138</v>
      </c>
      <c r="B1243" s="19" t="s">
        <v>2139</v>
      </c>
      <c r="C1243" s="20" t="str">
        <f>(IMAGE("https://pokedoku-space.nyc3.cdn.digitaloceanspaces.com/resources/pokemon/967.png", 3))</f>
        <v/>
      </c>
    </row>
    <row r="1244" ht="45.0" customHeight="1">
      <c r="A1244" s="43" t="s">
        <v>1322</v>
      </c>
      <c r="B1244" s="19" t="s">
        <v>2140</v>
      </c>
      <c r="C1244" s="20" t="str">
        <f>(IMAGE("https://pokedoku-space.nyc3.cdn.digitaloceanspaces.com/resources/pokemon/968.png", 3))</f>
        <v/>
      </c>
    </row>
    <row r="1245" ht="45.0" customHeight="1">
      <c r="A1245" s="43" t="s">
        <v>2141</v>
      </c>
      <c r="B1245" s="19" t="s">
        <v>2142</v>
      </c>
      <c r="C1245" s="20" t="str">
        <f>(IMAGE("https://play.pokemonshowdown.com/sprites/gen5/"&amp;B1245&amp;".png", 3))</f>
        <v/>
      </c>
    </row>
    <row r="1246" ht="45.0" customHeight="1">
      <c r="A1246" s="43" t="s">
        <v>2143</v>
      </c>
      <c r="B1246" s="19" t="s">
        <v>2144</v>
      </c>
      <c r="C1246" s="20" t="str">
        <f>(IMAGE("https://pokedoku-space.nyc3.cdn.digitaloceanspaces.com/resources/pokemon/970.png", 3))</f>
        <v/>
      </c>
    </row>
    <row r="1247" ht="45.0" customHeight="1">
      <c r="A1247" s="43" t="s">
        <v>2145</v>
      </c>
      <c r="B1247" s="19" t="s">
        <v>2146</v>
      </c>
      <c r="C1247" s="20" t="str">
        <f>(IMAGE("https://i.postimg.cc/MKLzLhYz/glimmoramega-by-kingofthe-x-roads-dl3swy1.png", 3))</f>
        <v/>
      </c>
    </row>
    <row r="1248" ht="45.0" customHeight="1">
      <c r="A1248" s="43" t="s">
        <v>2147</v>
      </c>
      <c r="B1248" s="19" t="s">
        <v>2148</v>
      </c>
      <c r="C1248" s="20" t="str">
        <f>(IMAGE("https://pokedoku-space.nyc3.cdn.digitaloceanspaces.com/resources/pokemon/971.png", 3))</f>
        <v/>
      </c>
    </row>
    <row r="1249" ht="45.0" customHeight="1">
      <c r="A1249" s="43" t="s">
        <v>2149</v>
      </c>
      <c r="B1249" s="19" t="s">
        <v>2150</v>
      </c>
      <c r="C1249" s="20" t="str">
        <f>(IMAGE("https://pokedoku-space.nyc3.cdn.digitaloceanspaces.com/resources/pokemon/972.png", 3))</f>
        <v/>
      </c>
    </row>
    <row r="1250" ht="45.0" customHeight="1">
      <c r="A1250" s="43" t="s">
        <v>2151</v>
      </c>
      <c r="B1250" s="19" t="s">
        <v>2152</v>
      </c>
      <c r="C1250" s="20" t="str">
        <f>(IMAGE("https://pokedoku-space.nyc3.cdn.digitaloceanspaces.com/resources/pokemon/973.png", 3))</f>
        <v/>
      </c>
    </row>
    <row r="1251" ht="45.0" customHeight="1">
      <c r="A1251" s="43" t="s">
        <v>2153</v>
      </c>
      <c r="B1251" s="19" t="s">
        <v>2154</v>
      </c>
      <c r="C1251" s="20" t="str">
        <f>(IMAGE("https://pokedoku-space.nyc3.cdn.digitaloceanspaces.com/resources/pokemon/974.png", 3))</f>
        <v/>
      </c>
    </row>
    <row r="1252" ht="45.0" customHeight="1">
      <c r="A1252" s="43" t="s">
        <v>2155</v>
      </c>
      <c r="B1252" s="19" t="s">
        <v>2156</v>
      </c>
      <c r="C1252" s="20" t="str">
        <f>(IMAGE("https://play.pokemonshowdown.com/sprites/gen5/"&amp;B1252&amp;".png", 3))</f>
        <v/>
      </c>
    </row>
    <row r="1253" ht="45.0" customHeight="1">
      <c r="A1253" s="43" t="s">
        <v>670</v>
      </c>
      <c r="B1253" s="19" t="s">
        <v>2157</v>
      </c>
      <c r="C1253" s="20" t="str">
        <f>(IMAGE("https://pokedoku-space.nyc3.cdn.digitaloceanspaces.com/resources/pokemon/976.png", 3))</f>
        <v/>
      </c>
    </row>
    <row r="1254" ht="45.0" customHeight="1">
      <c r="A1254" s="43" t="s">
        <v>2158</v>
      </c>
      <c r="B1254" s="19" t="s">
        <v>2159</v>
      </c>
      <c r="C1254" s="20" t="str">
        <f t="shared" ref="C1254:C1257" si="107">(IMAGE("https://play.pokemonshowdown.com/sprites/gen5/"&amp;B1254&amp;".png", 3))</f>
        <v/>
      </c>
    </row>
    <row r="1255" ht="45.0" customHeight="1">
      <c r="A1255" s="43" t="s">
        <v>2160</v>
      </c>
      <c r="B1255" s="19" t="s">
        <v>2161</v>
      </c>
      <c r="C1255" s="20" t="str">
        <f t="shared" si="107"/>
        <v/>
      </c>
    </row>
    <row r="1256" ht="45.0" customHeight="1">
      <c r="A1256" s="43" t="s">
        <v>2162</v>
      </c>
      <c r="B1256" s="19" t="s">
        <v>2163</v>
      </c>
      <c r="C1256" s="20" t="str">
        <f t="shared" si="107"/>
        <v/>
      </c>
    </row>
    <row r="1257" ht="45.0" customHeight="1">
      <c r="A1257" s="43" t="s">
        <v>2164</v>
      </c>
      <c r="B1257" s="19" t="s">
        <v>2165</v>
      </c>
      <c r="C1257" s="20" t="str">
        <f t="shared" si="107"/>
        <v/>
      </c>
    </row>
    <row r="1258" ht="45.0" customHeight="1">
      <c r="A1258" s="43" t="s">
        <v>2166</v>
      </c>
      <c r="B1258" s="19" t="s">
        <v>2167</v>
      </c>
      <c r="C1258" s="20" t="str">
        <f>(IMAGE("https://pokedoku-space.nyc3.cdn.digitaloceanspaces.com/resources/pokemon/10322.png", 3))</f>
        <v/>
      </c>
    </row>
    <row r="1259" ht="45.0" customHeight="1">
      <c r="A1259" s="43" t="s">
        <v>2169</v>
      </c>
      <c r="B1259" s="19" t="s">
        <v>2170</v>
      </c>
      <c r="C1259" s="20" t="str">
        <f>(IMAGE("https://play.pokemonshowdown.com/sprites/gen5/"&amp;B1255&amp;".png", 3))</f>
        <v/>
      </c>
    </row>
    <row r="1260" ht="45.0" customHeight="1">
      <c r="A1260" s="43" t="s">
        <v>2173</v>
      </c>
      <c r="B1260" s="19" t="s">
        <v>2174</v>
      </c>
      <c r="C1260" s="20" t="str">
        <f>(IMAGE("https://play.pokemonshowdown.com/sprites/gen5/"&amp;B1255&amp;".png", 3))</f>
        <v/>
      </c>
    </row>
    <row r="1261" ht="45.0" customHeight="1">
      <c r="A1261" s="43" t="s">
        <v>2176</v>
      </c>
      <c r="B1261" s="19" t="s">
        <v>2177</v>
      </c>
      <c r="C1261" s="20" t="str">
        <f t="shared" ref="C1261:C1262" si="108">(IMAGE("https://play.pokemonshowdown.com/sprites/gen5/"&amp;B1261&amp;".png", 3))</f>
        <v/>
      </c>
    </row>
    <row r="1262" ht="45.0" customHeight="1">
      <c r="A1262" s="43" t="s">
        <v>1239</v>
      </c>
      <c r="B1262" s="19" t="s">
        <v>2179</v>
      </c>
      <c r="C1262" s="20" t="str">
        <f t="shared" si="108"/>
        <v/>
      </c>
    </row>
    <row r="1263" ht="45.0" customHeight="1">
      <c r="A1263" s="43" t="s">
        <v>2180</v>
      </c>
      <c r="B1263" s="19" t="s">
        <v>2181</v>
      </c>
      <c r="C1263" s="20" t="str">
        <f>(IMAGE("https://pokedoku-space.nyc3.cdn.digitaloceanspaces.com/resources/pokemon/981.png", 3))</f>
        <v/>
      </c>
    </row>
    <row r="1264" ht="45.0" customHeight="1">
      <c r="A1264" s="43" t="s">
        <v>2182</v>
      </c>
      <c r="B1264" s="19" t="s">
        <v>2183</v>
      </c>
      <c r="C1264" s="20" t="str">
        <f t="shared" ref="C1264:C1265" si="109">(IMAGE("https://play.pokemonshowdown.com/sprites/gen5/"&amp;B1264&amp;".png", 3))</f>
        <v/>
      </c>
    </row>
    <row r="1265" ht="45.0" customHeight="1">
      <c r="A1265" s="43" t="s">
        <v>2184</v>
      </c>
      <c r="B1265" s="19" t="s">
        <v>2185</v>
      </c>
      <c r="C1265" s="20" t="str">
        <f t="shared" si="109"/>
        <v/>
      </c>
    </row>
    <row r="1266" ht="45.0" customHeight="1">
      <c r="A1266" s="43" t="s">
        <v>2186</v>
      </c>
      <c r="B1266" s="19" t="s">
        <v>2187</v>
      </c>
      <c r="C1266" s="20" t="str">
        <f>(IMAGE("https://pokedoku-space.nyc3.cdn.digitaloceanspaces.com/resources/pokemon/984.png", 3))</f>
        <v/>
      </c>
    </row>
    <row r="1267" ht="45.0" customHeight="1">
      <c r="A1267" s="43" t="s">
        <v>2188</v>
      </c>
      <c r="B1267" s="19" t="s">
        <v>2189</v>
      </c>
      <c r="C1267" s="20" t="str">
        <f>(IMAGE("https://pokedoku-space.nyc3.cdn.digitaloceanspaces.com/resources/pokemon/985.png", 3))</f>
        <v/>
      </c>
    </row>
    <row r="1268" ht="45.0" customHeight="1">
      <c r="A1268" s="43" t="s">
        <v>2190</v>
      </c>
      <c r="B1268" s="19" t="s">
        <v>2191</v>
      </c>
      <c r="C1268" s="20" t="str">
        <f>(IMAGE("https://pokedoku-space.nyc3.cdn.digitaloceanspaces.com/resources/pokemon/986.png", 3))</f>
        <v/>
      </c>
    </row>
    <row r="1269" ht="45.0" customHeight="1">
      <c r="A1269" s="43" t="s">
        <v>2192</v>
      </c>
      <c r="B1269" s="19" t="s">
        <v>2193</v>
      </c>
      <c r="C1269" s="20" t="str">
        <f>(IMAGE("https://pokedoku-space.nyc3.cdn.digitaloceanspaces.com/resources/pokemon/987.png", 3))</f>
        <v/>
      </c>
    </row>
    <row r="1270" ht="45.0" customHeight="1">
      <c r="A1270" s="43" t="s">
        <v>2194</v>
      </c>
      <c r="B1270" s="19" t="s">
        <v>2195</v>
      </c>
      <c r="C1270" s="20" t="str">
        <f>(IMAGE("https://pokedoku-space.nyc3.cdn.digitaloceanspaces.com/resources/pokemon/988.png", 3))</f>
        <v/>
      </c>
    </row>
    <row r="1271" ht="45.0" customHeight="1">
      <c r="A1271" s="43" t="s">
        <v>2196</v>
      </c>
      <c r="B1271" s="19" t="s">
        <v>2197</v>
      </c>
      <c r="C1271" s="20" t="str">
        <f>(IMAGE("https://pokedoku-space.nyc3.cdn.digitaloceanspaces.com/resources/pokemon/989.png", 3))</f>
        <v/>
      </c>
    </row>
    <row r="1272" ht="45.0" customHeight="1">
      <c r="A1272" s="43" t="s">
        <v>2200</v>
      </c>
      <c r="B1272" s="19" t="s">
        <v>2201</v>
      </c>
      <c r="C1272" s="20" t="str">
        <f>(IMAGE("https://pokedoku-space.nyc3.cdn.digitaloceanspaces.com/resources/pokemon/990.png", 3))</f>
        <v/>
      </c>
    </row>
    <row r="1273" ht="45.0" customHeight="1">
      <c r="A1273" s="43" t="s">
        <v>2204</v>
      </c>
      <c r="B1273" s="19" t="s">
        <v>2207</v>
      </c>
      <c r="C1273" s="20" t="str">
        <f t="shared" ref="C1273:C1274" si="110">(IMAGE("https://play.pokemonshowdown.com/sprites/gen5/"&amp;B1273&amp;".png", 3))</f>
        <v/>
      </c>
    </row>
    <row r="1274" ht="45.0" customHeight="1">
      <c r="A1274" s="43" t="s">
        <v>2209</v>
      </c>
      <c r="B1274" s="19" t="s">
        <v>2210</v>
      </c>
      <c r="C1274" s="20" t="str">
        <f t="shared" si="110"/>
        <v/>
      </c>
    </row>
    <row r="1275" ht="45.0" customHeight="1">
      <c r="A1275" s="43" t="s">
        <v>2211</v>
      </c>
      <c r="B1275" s="19" t="s">
        <v>2212</v>
      </c>
      <c r="C1275" s="20" t="str">
        <f>(IMAGE("https://pokedoku-space.nyc3.cdn.digitaloceanspaces.com/resources/pokemon/993.png", 3))</f>
        <v/>
      </c>
    </row>
    <row r="1276" ht="45.0" customHeight="1">
      <c r="A1276" s="43" t="s">
        <v>2218</v>
      </c>
      <c r="B1276" s="19" t="s">
        <v>2219</v>
      </c>
      <c r="C1276" s="20" t="str">
        <f>(IMAGE("https://pokedoku-space.nyc3.cdn.digitaloceanspaces.com/resources/pokemon/994.png", 3))</f>
        <v/>
      </c>
    </row>
    <row r="1277" ht="45.0" customHeight="1">
      <c r="A1277" s="43" t="s">
        <v>2222</v>
      </c>
      <c r="B1277" s="19" t="s">
        <v>2223</v>
      </c>
      <c r="C1277" s="20" t="str">
        <f t="shared" ref="C1277:C1278" si="111">(IMAGE("https://play.pokemonshowdown.com/sprites/gen5/"&amp;B1277&amp;".png", 3))</f>
        <v/>
      </c>
    </row>
    <row r="1278" ht="45.0" customHeight="1">
      <c r="A1278" s="43" t="s">
        <v>2226</v>
      </c>
      <c r="B1278" s="19" t="s">
        <v>2227</v>
      </c>
      <c r="C1278" s="20" t="str">
        <f t="shared" si="111"/>
        <v/>
      </c>
    </row>
    <row r="1279" ht="45.0" customHeight="1">
      <c r="A1279" s="43" t="s">
        <v>2228</v>
      </c>
      <c r="B1279" s="19" t="s">
        <v>2229</v>
      </c>
      <c r="C1279" s="20" t="str">
        <f>(IMAGE("https://pokedoku-space.nyc3.cdn.digitaloceanspaces.com/resources/pokemon/997.png", 3))</f>
        <v/>
      </c>
    </row>
    <row r="1280" ht="45.0" customHeight="1">
      <c r="A1280" s="43" t="s">
        <v>2230</v>
      </c>
      <c r="B1280" s="19" t="s">
        <v>2231</v>
      </c>
      <c r="C1280" s="20" t="str">
        <f>(IMAGE("https://pokedoku-space.nyc3.cdn.digitaloceanspaces.com/resources/pokemon/998.png", 3))</f>
        <v/>
      </c>
    </row>
    <row r="1281" ht="45.0" customHeight="1">
      <c r="A1281" s="43" t="s">
        <v>2232</v>
      </c>
      <c r="B1281" s="19" t="s">
        <v>2233</v>
      </c>
      <c r="C1281" s="20" t="str">
        <f>(IMAGE("https://pokedoku-space.nyc3.cdn.digitaloceanspaces.com/resources/pokemon/10325.png", 3))</f>
        <v/>
      </c>
    </row>
    <row r="1282" ht="45.0" customHeight="1">
      <c r="A1282" s="43" t="s">
        <v>2234</v>
      </c>
      <c r="B1282" s="19" t="s">
        <v>2235</v>
      </c>
      <c r="C1282" s="20" t="str">
        <f t="shared" ref="C1282:C1284" si="112">(IMAGE("https://play.pokemonshowdown.com/sprites/gen5/"&amp;B1282&amp;".png", 3))</f>
        <v/>
      </c>
    </row>
    <row r="1283" ht="45.0" customHeight="1">
      <c r="A1283" s="43" t="s">
        <v>2236</v>
      </c>
      <c r="B1283" s="19" t="s">
        <v>2237</v>
      </c>
      <c r="C1283" s="20" t="str">
        <f t="shared" si="112"/>
        <v/>
      </c>
    </row>
    <row r="1284" ht="45.0" customHeight="1">
      <c r="A1284" s="43" t="s">
        <v>2238</v>
      </c>
      <c r="B1284" s="19" t="s">
        <v>2239</v>
      </c>
      <c r="C1284" s="20" t="str">
        <f t="shared" si="112"/>
        <v/>
      </c>
    </row>
    <row r="1285" ht="45.0" customHeight="1">
      <c r="A1285" s="43" t="s">
        <v>2240</v>
      </c>
      <c r="B1285" s="19" t="s">
        <v>2241</v>
      </c>
      <c r="C1285" s="20" t="str">
        <f>(IMAGE("https://pokedoku-space.nyc3.cdn.digitaloceanspaces.com/resources/pokemon/1002.png", 3))</f>
        <v/>
      </c>
    </row>
    <row r="1286" ht="45.0" customHeight="1">
      <c r="A1286" s="43" t="s">
        <v>2242</v>
      </c>
      <c r="B1286" s="19" t="s">
        <v>2243</v>
      </c>
      <c r="C1286" s="20" t="str">
        <f>(IMAGE("https://pokedoku-space.nyc3.cdn.digitaloceanspaces.com/resources/pokemon/1003.png", 3))</f>
        <v/>
      </c>
    </row>
    <row r="1287" ht="45.0" customHeight="1">
      <c r="A1287" s="43" t="s">
        <v>2244</v>
      </c>
      <c r="B1287" s="19" t="s">
        <v>2245</v>
      </c>
      <c r="C1287" s="20" t="str">
        <f>(IMAGE("https://pokedoku-space.nyc3.cdn.digitaloceanspaces.com/resources/pokemon/1004.png", 3))</f>
        <v/>
      </c>
    </row>
    <row r="1288" ht="45.0" customHeight="1">
      <c r="A1288" s="43" t="s">
        <v>2246</v>
      </c>
      <c r="B1288" s="19" t="s">
        <v>2247</v>
      </c>
      <c r="C1288" s="20" t="str">
        <f>(IMAGE("https://pokedoku-space.nyc3.cdn.digitaloceanspaces.com/resources/pokemon/1005.png", 3))</f>
        <v/>
      </c>
    </row>
    <row r="1289" ht="45.0" customHeight="1">
      <c r="A1289" s="43" t="s">
        <v>2248</v>
      </c>
      <c r="B1289" s="19" t="s">
        <v>2249</v>
      </c>
      <c r="C1289" s="20" t="str">
        <f t="shared" ref="C1289:C1291" si="113">(IMAGE("https://play.pokemonshowdown.com/sprites/gen5/"&amp;B1289&amp;".png", 3))</f>
        <v/>
      </c>
    </row>
    <row r="1290" ht="45.0" customHeight="1">
      <c r="A1290" s="43" t="s">
        <v>2250</v>
      </c>
      <c r="B1290" s="19" t="s">
        <v>2251</v>
      </c>
      <c r="C1290" s="20" t="str">
        <f t="shared" si="113"/>
        <v/>
      </c>
    </row>
    <row r="1291" ht="45.0" customHeight="1">
      <c r="A1291" s="43" t="s">
        <v>2252</v>
      </c>
      <c r="B1291" s="19" t="s">
        <v>2253</v>
      </c>
      <c r="C1291" s="20" t="str">
        <f t="shared" si="113"/>
        <v/>
      </c>
    </row>
    <row r="1292" ht="45.0" customHeight="1">
      <c r="A1292" s="43" t="s">
        <v>2254</v>
      </c>
      <c r="B1292" s="19" t="s">
        <v>2255</v>
      </c>
      <c r="C1292" s="20" t="str">
        <f>(IMAGE("https://pokedoku-space.nyc3.cdn.digitaloceanspaces.com/resources/pokemon/1009.png", 3))</f>
        <v/>
      </c>
    </row>
    <row r="1293" ht="45.0" customHeight="1">
      <c r="A1293" s="43" t="s">
        <v>2256</v>
      </c>
      <c r="B1293" s="19" t="s">
        <v>2257</v>
      </c>
      <c r="C1293" s="20" t="str">
        <f>(IMAGE("https://play.pokemonshowdown.com/sprites/gen5/"&amp;B1293&amp;".png", 3))</f>
        <v/>
      </c>
    </row>
    <row r="1294" ht="45.0" customHeight="1">
      <c r="A1294" s="43" t="s">
        <v>1702</v>
      </c>
      <c r="B1294" s="19" t="s">
        <v>2258</v>
      </c>
      <c r="C1294" s="20" t="str">
        <f>(IMAGE("https://pokedoku-space.nyc3.cdn.digitaloceanspaces.com/resources/pokemon/1011.png", 3))</f>
        <v/>
      </c>
    </row>
    <row r="1295" ht="45.0" customHeight="1">
      <c r="A1295" s="43" t="s">
        <v>2259</v>
      </c>
      <c r="B1295" s="19" t="s">
        <v>2260</v>
      </c>
      <c r="C1295" s="20" t="str">
        <f>(IMAGE("https://pokedoku-space.nyc3.cdn.digitaloceanspaces.com/resources/pokemon/1012.png", 1))</f>
        <v/>
      </c>
    </row>
    <row r="1296" ht="45.0" customHeight="1">
      <c r="A1296" s="43" t="s">
        <v>2263</v>
      </c>
      <c r="B1296" s="19" t="s">
        <v>2264</v>
      </c>
      <c r="C1296" s="20" t="str">
        <f>(IMAGE("https://pokedoku-space.nyc3.cdn.digitaloceanspaces.com/resources/pokemon/1013.png", 3))</f>
        <v/>
      </c>
    </row>
    <row r="1297" ht="45.0" customHeight="1">
      <c r="A1297" s="43" t="s">
        <v>2265</v>
      </c>
      <c r="B1297" s="19" t="s">
        <v>2266</v>
      </c>
      <c r="C1297" s="20" t="str">
        <f>(IMAGE("https://pokedoku-space.nyc3.cdn.digitaloceanspaces.com/resources/pokemon/1014.png", 3))</f>
        <v/>
      </c>
    </row>
    <row r="1298" ht="45.0" customHeight="1">
      <c r="A1298" s="43" t="s">
        <v>2269</v>
      </c>
      <c r="B1298" s="19" t="s">
        <v>2270</v>
      </c>
      <c r="C1298" s="20" t="str">
        <f>(IMAGE("https://pokedoku-space.nyc3.cdn.digitaloceanspaces.com/resources/pokemon/1015.png", 3))</f>
        <v/>
      </c>
    </row>
    <row r="1299" ht="45.0" customHeight="1">
      <c r="A1299" s="43" t="s">
        <v>2272</v>
      </c>
      <c r="B1299" s="19" t="s">
        <v>2273</v>
      </c>
      <c r="C1299" s="20" t="str">
        <f>(IMAGE("https://pokedoku-space.nyc3.cdn.digitaloceanspaces.com/resources/pokemon/1016.png", 3))</f>
        <v/>
      </c>
    </row>
    <row r="1300" ht="45.0" customHeight="1">
      <c r="A1300" s="43" t="s">
        <v>2274</v>
      </c>
      <c r="B1300" s="19" t="s">
        <v>2275</v>
      </c>
      <c r="C1300" s="20" t="str">
        <f>(IMAGE("https://pokedoku-space.nyc3.cdn.digitaloceanspaces.com/resources/pokemon/1017.png", 3))</f>
        <v/>
      </c>
    </row>
    <row r="1301" ht="45.0" customHeight="1">
      <c r="A1301" s="43" t="s">
        <v>2277</v>
      </c>
      <c r="B1301" s="19" t="s">
        <v>2278</v>
      </c>
      <c r="C1301" s="20" t="str">
        <f>(IMAGE("https://pokedoku-space.nyc3.cdn.digitaloceanspaces.com/resources/pokemon/10273.png", 3))</f>
        <v/>
      </c>
    </row>
    <row r="1302" ht="45.0" customHeight="1">
      <c r="A1302" s="43" t="s">
        <v>2280</v>
      </c>
      <c r="B1302" s="19" t="s">
        <v>2281</v>
      </c>
      <c r="C1302" s="20" t="str">
        <f>(IMAGE("https://pokedoku-space.nyc3.cdn.digitaloceanspaces.com/resources/pokemon/10274.png", 3))</f>
        <v/>
      </c>
    </row>
    <row r="1303" ht="45.0" customHeight="1">
      <c r="A1303" s="43" t="s">
        <v>2282</v>
      </c>
      <c r="B1303" s="19" t="s">
        <v>2283</v>
      </c>
      <c r="C1303" s="20" t="str">
        <f>(IMAGE("https://pokedoku-space.nyc3.cdn.digitaloceanspaces.com/resources/pokemon/10275.png", 3))</f>
        <v/>
      </c>
    </row>
    <row r="1304" ht="45.0" customHeight="1">
      <c r="A1304" s="43" t="s">
        <v>2284</v>
      </c>
      <c r="B1304" s="19" t="s">
        <v>2285</v>
      </c>
      <c r="C1304" s="20" t="str">
        <f t="shared" ref="C1304:C1306" si="114">(IMAGE("https://play.pokemonshowdown.com/sprites/gen5/"&amp;B1304&amp;".png", 3))</f>
        <v/>
      </c>
    </row>
    <row r="1305" ht="45.0" customHeight="1">
      <c r="A1305" s="43" t="s">
        <v>2286</v>
      </c>
      <c r="B1305" s="19" t="s">
        <v>2287</v>
      </c>
      <c r="C1305" s="20" t="str">
        <f t="shared" si="114"/>
        <v/>
      </c>
    </row>
    <row r="1306" ht="45.0" customHeight="1">
      <c r="A1306" s="43" t="s">
        <v>2288</v>
      </c>
      <c r="B1306" s="19" t="s">
        <v>2289</v>
      </c>
      <c r="C1306" s="20" t="str">
        <f t="shared" si="114"/>
        <v/>
      </c>
    </row>
    <row r="1307" ht="45.0" customHeight="1">
      <c r="A1307" s="43" t="s">
        <v>2290</v>
      </c>
      <c r="B1307" s="19" t="s">
        <v>2291</v>
      </c>
      <c r="C1307" s="20" t="str">
        <f>(IMAGE("https://pokedoku-space.nyc3.cdn.digitaloceanspaces.com/resources/pokemon/1021.png", 3))</f>
        <v/>
      </c>
    </row>
    <row r="1308" ht="45.0" customHeight="1">
      <c r="A1308" s="43" t="s">
        <v>2292</v>
      </c>
      <c r="B1308" s="19" t="s">
        <v>2293</v>
      </c>
      <c r="C1308" s="20" t="str">
        <f>(IMAGE("https://pokedoku-space.nyc3.cdn.digitaloceanspaces.com/resources/pokemon/1022.png", 1))</f>
        <v/>
      </c>
    </row>
    <row r="1309" ht="45.0" customHeight="1">
      <c r="A1309" s="43" t="s">
        <v>2294</v>
      </c>
      <c r="B1309" s="19" t="s">
        <v>2295</v>
      </c>
      <c r="C1309" s="20" t="str">
        <f>(IMAGE("https://pokedoku-space.nyc3.cdn.digitaloceanspaces.com/resources/pokemon/1023.png", 3))</f>
        <v/>
      </c>
    </row>
    <row r="1310" ht="45.0" customHeight="1">
      <c r="A1310" s="43" t="s">
        <v>2296</v>
      </c>
      <c r="B1310" s="19" t="s">
        <v>2297</v>
      </c>
      <c r="C1310" s="20" t="str">
        <f t="shared" ref="C1310:C1313" si="115">(IMAGE("https://play.pokemonshowdown.com/sprites/gen5/"&amp;B1310&amp;".png", 3))</f>
        <v/>
      </c>
    </row>
    <row r="1311" ht="45.0" customHeight="1">
      <c r="A1311" s="43" t="s">
        <v>2299</v>
      </c>
      <c r="B1311" s="19" t="s">
        <v>2300</v>
      </c>
      <c r="C1311" s="20" t="str">
        <f t="shared" si="115"/>
        <v/>
      </c>
    </row>
    <row r="1312" ht="45.0" customHeight="1">
      <c r="A1312" s="43" t="s">
        <v>2301</v>
      </c>
      <c r="B1312" s="19" t="s">
        <v>2302</v>
      </c>
      <c r="C1312" s="20" t="str">
        <f t="shared" si="115"/>
        <v/>
      </c>
    </row>
    <row r="1313" ht="45.0" customHeight="1">
      <c r="A1313" s="43" t="s">
        <v>2303</v>
      </c>
      <c r="B1313" s="19" t="s">
        <v>2304</v>
      </c>
      <c r="C1313" s="20" t="str">
        <f t="shared" si="115"/>
        <v/>
      </c>
    </row>
    <row r="1314" ht="45.0" customHeight="1">
      <c r="A1314" s="43"/>
      <c r="B1314" s="19"/>
      <c r="C1314" s="20"/>
    </row>
    <row r="1315" ht="45.0" customHeight="1">
      <c r="A1315" s="43"/>
      <c r="B1315" s="19"/>
      <c r="C1315" s="20"/>
    </row>
    <row r="1316" ht="45.0" customHeight="1">
      <c r="A1316" s="43"/>
      <c r="B1316" s="19"/>
      <c r="C1316" s="20"/>
    </row>
    <row r="1317" ht="45.0" customHeight="1">
      <c r="A1317" s="43"/>
      <c r="B1317" s="19"/>
      <c r="C1317" s="20"/>
    </row>
    <row r="1318" ht="45.0" customHeight="1">
      <c r="A1318" s="43"/>
      <c r="B1318" s="19"/>
      <c r="C1318" s="20"/>
    </row>
    <row r="1319" ht="45.0" customHeight="1">
      <c r="A1319" s="43"/>
      <c r="B1319" s="19"/>
      <c r="C1319" s="20"/>
    </row>
    <row r="1320" ht="45.0" customHeight="1">
      <c r="A1320" s="43"/>
      <c r="B1320" s="19"/>
      <c r="C1320" s="20"/>
    </row>
    <row r="1321" ht="45.0" customHeight="1">
      <c r="A1321" s="43"/>
      <c r="B1321" s="19"/>
      <c r="C1321" s="20"/>
    </row>
    <row r="1322" ht="45.0" customHeight="1">
      <c r="A1322" s="43"/>
      <c r="B1322" s="19"/>
      <c r="C1322" s="20"/>
    </row>
    <row r="1323" ht="45.0" customHeight="1">
      <c r="A1323" s="43"/>
      <c r="B1323" s="19"/>
      <c r="C1323" s="20"/>
    </row>
    <row r="1324" ht="45.0" customHeight="1">
      <c r="A1324" s="43"/>
      <c r="B1324" s="19"/>
      <c r="C1324" s="20"/>
    </row>
    <row r="1325" ht="45.0" customHeight="1">
      <c r="A1325" s="43"/>
      <c r="B1325" s="19"/>
      <c r="C1325" s="20"/>
    </row>
    <row r="1326" ht="45.0" customHeight="1">
      <c r="A1326" s="43"/>
      <c r="B1326" s="19"/>
      <c r="C1326" s="20"/>
    </row>
    <row r="1327" ht="45.0" customHeight="1">
      <c r="A1327" s="43"/>
      <c r="B1327" s="19"/>
      <c r="C1327" s="20"/>
    </row>
    <row r="1328" ht="45.0" customHeight="1">
      <c r="A1328" s="43"/>
      <c r="B1328" s="19"/>
      <c r="C1328" s="20"/>
    </row>
    <row r="1329" ht="45.0" customHeight="1">
      <c r="A1329" s="43"/>
      <c r="B1329" s="19"/>
      <c r="C1329" s="20"/>
    </row>
    <row r="1330" ht="45.0" customHeight="1">
      <c r="A1330" s="43"/>
      <c r="B1330" s="19"/>
      <c r="C1330" s="20"/>
    </row>
    <row r="1331" ht="45.0" customHeight="1">
      <c r="A1331" s="43"/>
      <c r="B1331" s="19"/>
      <c r="C1331" s="20"/>
    </row>
    <row r="1332" ht="45.0" customHeight="1">
      <c r="A1332" s="43"/>
      <c r="B1332" s="19"/>
      <c r="C1332" s="20"/>
    </row>
    <row r="1333" ht="45.0" customHeight="1">
      <c r="A1333" s="43"/>
      <c r="B1333" s="19"/>
      <c r="C1333" s="20"/>
    </row>
    <row r="1334" ht="45.0" customHeight="1">
      <c r="A1334" s="43"/>
      <c r="B1334" s="19"/>
      <c r="C1334" s="20"/>
    </row>
    <row r="1335" ht="45.0" customHeight="1">
      <c r="A1335" s="43"/>
      <c r="B1335" s="19"/>
      <c r="C1335" s="20"/>
    </row>
    <row r="1336" ht="45.0" customHeight="1">
      <c r="A1336" s="43"/>
      <c r="B1336" s="19"/>
      <c r="C1336" s="20"/>
    </row>
    <row r="1337" ht="45.0" customHeight="1">
      <c r="A1337" s="43"/>
      <c r="B1337" s="19"/>
      <c r="C1337" s="20"/>
    </row>
    <row r="1338" ht="45.0" customHeight="1">
      <c r="A1338" s="43"/>
      <c r="B1338" s="19"/>
      <c r="C1338" s="20"/>
    </row>
    <row r="1339" ht="45.0" customHeight="1">
      <c r="A1339" s="43"/>
      <c r="B1339" s="19"/>
      <c r="C1339" s="20"/>
    </row>
    <row r="1340" ht="45.0" customHeight="1">
      <c r="A1340" s="43"/>
      <c r="B1340" s="19"/>
      <c r="C1340" s="20"/>
    </row>
    <row r="1341" ht="45.0" customHeight="1">
      <c r="A1341" s="43"/>
      <c r="B1341" s="19"/>
      <c r="C1341" s="20"/>
    </row>
    <row r="1342" ht="45.0" customHeight="1">
      <c r="A1342" s="43"/>
      <c r="B1342" s="19"/>
      <c r="C1342" s="20"/>
    </row>
    <row r="1343" ht="45.0" customHeight="1">
      <c r="A1343" s="43"/>
      <c r="B1343" s="19"/>
      <c r="C1343" s="20"/>
    </row>
    <row r="1344" ht="45.0" customHeight="1">
      <c r="A1344" s="43"/>
      <c r="B1344" s="19"/>
      <c r="C1344" s="20"/>
    </row>
    <row r="1345" ht="45.0" customHeight="1">
      <c r="A1345" s="43"/>
      <c r="B1345" s="19"/>
      <c r="C1345" s="20"/>
    </row>
    <row r="1346" ht="45.0" customHeight="1">
      <c r="A1346" s="43"/>
      <c r="B1346" s="19"/>
      <c r="C1346" s="20"/>
    </row>
    <row r="1347" ht="45.0" customHeight="1">
      <c r="A1347" s="43"/>
      <c r="B1347" s="19"/>
      <c r="C1347" s="20"/>
    </row>
    <row r="1348" ht="45.0" customHeight="1">
      <c r="A1348" s="43"/>
      <c r="B1348" s="19"/>
      <c r="C1348" s="20"/>
    </row>
    <row r="1349" ht="45.0" customHeight="1">
      <c r="A1349" s="43"/>
      <c r="B1349" s="19"/>
      <c r="C1349" s="20"/>
    </row>
    <row r="1350" ht="45.0" customHeight="1">
      <c r="A1350" s="43"/>
      <c r="B1350" s="19"/>
      <c r="C1350" s="20"/>
    </row>
    <row r="1351" ht="45.0" customHeight="1">
      <c r="A1351" s="43"/>
      <c r="B1351" s="19"/>
      <c r="C1351" s="20"/>
    </row>
    <row r="1352" ht="45.0" customHeight="1">
      <c r="A1352" s="43"/>
      <c r="B1352" s="19"/>
      <c r="C1352" s="20"/>
    </row>
    <row r="1353" ht="45.0" customHeight="1">
      <c r="A1353" s="43"/>
      <c r="B1353" s="19"/>
      <c r="C1353" s="20"/>
    </row>
    <row r="1354" ht="45.0" customHeight="1">
      <c r="A1354" s="43"/>
      <c r="B1354" s="19"/>
      <c r="C1354" s="20"/>
    </row>
    <row r="1355" ht="45.0" customHeight="1">
      <c r="A1355" s="43"/>
      <c r="B1355" s="19"/>
      <c r="C1355" s="20"/>
    </row>
    <row r="1356" ht="45.0" customHeight="1">
      <c r="A1356" s="43"/>
      <c r="B1356" s="19"/>
      <c r="C1356" s="20"/>
    </row>
    <row r="1357" ht="45.0" customHeight="1">
      <c r="A1357" s="43"/>
      <c r="B1357" s="19"/>
      <c r="C1357" s="20"/>
    </row>
    <row r="1358" ht="45.0" customHeight="1">
      <c r="A1358" s="43"/>
      <c r="B1358" s="19"/>
      <c r="C1358" s="20"/>
    </row>
    <row r="1359" ht="45.0" customHeight="1">
      <c r="A1359" s="43"/>
      <c r="B1359" s="19"/>
      <c r="C1359" s="20"/>
    </row>
    <row r="1360" ht="45.0" customHeight="1">
      <c r="A1360" s="43"/>
      <c r="B1360" s="19"/>
      <c r="C1360" s="20"/>
    </row>
    <row r="1361" ht="45.0" customHeight="1">
      <c r="A1361" s="43"/>
      <c r="B1361" s="19"/>
      <c r="C1361" s="20"/>
    </row>
    <row r="1362" ht="45.0" customHeight="1">
      <c r="A1362" s="43"/>
      <c r="B1362" s="19"/>
      <c r="C1362" s="20"/>
    </row>
    <row r="1363" ht="45.0" customHeight="1">
      <c r="A1363" s="43"/>
      <c r="B1363" s="19"/>
      <c r="C1363" s="20"/>
    </row>
    <row r="1364" ht="45.0" customHeight="1">
      <c r="A1364" s="43"/>
      <c r="B1364" s="19"/>
      <c r="C1364" s="20"/>
    </row>
    <row r="1365" ht="45.0" customHeight="1">
      <c r="A1365" s="43"/>
      <c r="B1365" s="19"/>
      <c r="C1365" s="20"/>
    </row>
    <row r="1366" ht="45.0" customHeight="1">
      <c r="A1366" s="43"/>
      <c r="B1366" s="19"/>
      <c r="C1366" s="20"/>
    </row>
    <row r="1367" ht="45.0" customHeight="1">
      <c r="A1367" s="43"/>
      <c r="B1367" s="19"/>
      <c r="C1367" s="20"/>
    </row>
    <row r="1368" ht="45.0" customHeight="1">
      <c r="A1368" s="43"/>
      <c r="B1368" s="19"/>
      <c r="C1368" s="20"/>
    </row>
    <row r="1369" ht="45.0" customHeight="1">
      <c r="A1369" s="43"/>
      <c r="B1369" s="19"/>
      <c r="C1369" s="20"/>
    </row>
    <row r="1370" ht="45.0" customHeight="1">
      <c r="A1370" s="43"/>
      <c r="B1370" s="19"/>
      <c r="C1370" s="20"/>
    </row>
    <row r="1371" ht="45.0" customHeight="1">
      <c r="A1371" s="43"/>
      <c r="B1371" s="19"/>
      <c r="C1371" s="20"/>
    </row>
    <row r="1372" ht="45.0" customHeight="1">
      <c r="A1372" s="43"/>
      <c r="B1372" s="19"/>
      <c r="C1372" s="20"/>
    </row>
    <row r="1373" ht="45.0" customHeight="1">
      <c r="A1373" s="43"/>
      <c r="B1373" s="19"/>
      <c r="C1373" s="20"/>
    </row>
    <row r="1374" ht="45.0" customHeight="1">
      <c r="A1374" s="43"/>
      <c r="B1374" s="19"/>
      <c r="C1374" s="20"/>
    </row>
    <row r="1375" ht="45.0" customHeight="1">
      <c r="A1375" s="43"/>
      <c r="B1375" s="19"/>
      <c r="C1375" s="20"/>
    </row>
    <row r="1376" ht="45.0" customHeight="1">
      <c r="A1376" s="43"/>
      <c r="B1376" s="19"/>
      <c r="C1376" s="20"/>
    </row>
    <row r="1377" ht="45.0" customHeight="1">
      <c r="A1377" s="43"/>
      <c r="B1377" s="19"/>
      <c r="C1377" s="20"/>
    </row>
    <row r="1378" ht="45.0" customHeight="1">
      <c r="A1378" s="43"/>
      <c r="B1378" s="19"/>
      <c r="C1378" s="20"/>
    </row>
    <row r="1379" ht="45.0" customHeight="1">
      <c r="A1379" s="43"/>
      <c r="B1379" s="19"/>
      <c r="C1379" s="20"/>
    </row>
    <row r="1380" ht="45.0" customHeight="1">
      <c r="A1380" s="43"/>
      <c r="B1380" s="19"/>
      <c r="C1380" s="20"/>
    </row>
    <row r="1381" ht="45.0" customHeight="1">
      <c r="A1381" s="43"/>
      <c r="B1381" s="19"/>
      <c r="C1381" s="20"/>
    </row>
    <row r="1382" ht="45.0" customHeight="1">
      <c r="A1382" s="43"/>
      <c r="B1382" s="19"/>
      <c r="C1382" s="20"/>
    </row>
    <row r="1383" ht="45.0" customHeight="1">
      <c r="A1383" s="43"/>
      <c r="B1383" s="19"/>
      <c r="C1383" s="20"/>
    </row>
    <row r="1384" ht="45.0" customHeight="1">
      <c r="A1384" s="43"/>
      <c r="B1384" s="19"/>
      <c r="C1384" s="20"/>
    </row>
    <row r="1385" ht="45.0" customHeight="1">
      <c r="A1385" s="43"/>
      <c r="B1385" s="19"/>
      <c r="C1385" s="20"/>
    </row>
    <row r="1386" ht="45.0" customHeight="1">
      <c r="A1386" s="43"/>
      <c r="B1386" s="19"/>
      <c r="C1386" s="20"/>
    </row>
    <row r="1387" ht="45.0" customHeight="1">
      <c r="A1387" s="43"/>
      <c r="B1387" s="19"/>
      <c r="C1387" s="20"/>
    </row>
    <row r="1388" ht="45.0" customHeight="1">
      <c r="A1388" s="43"/>
      <c r="B1388" s="19"/>
      <c r="C1388" s="20"/>
    </row>
    <row r="1389" ht="45.0" customHeight="1">
      <c r="A1389" s="43"/>
      <c r="B1389" s="19"/>
      <c r="C1389" s="20"/>
    </row>
    <row r="1390" ht="45.0" customHeight="1">
      <c r="A1390" s="43"/>
      <c r="B1390" s="19"/>
      <c r="C1390" s="20"/>
    </row>
    <row r="1391" ht="45.0" customHeight="1">
      <c r="A1391" s="43"/>
      <c r="B1391" s="19"/>
      <c r="C1391" s="20"/>
    </row>
    <row r="1392" ht="45.0" customHeight="1">
      <c r="A1392" s="43"/>
      <c r="B1392" s="19"/>
      <c r="C1392" s="20"/>
    </row>
    <row r="1393" ht="45.0" customHeight="1">
      <c r="A1393" s="43"/>
      <c r="B1393" s="19"/>
      <c r="C1393" s="20"/>
    </row>
    <row r="1394" ht="45.0" customHeight="1">
      <c r="A1394" s="43"/>
      <c r="B1394" s="19"/>
      <c r="C1394" s="20"/>
    </row>
    <row r="1395" ht="45.0" customHeight="1">
      <c r="A1395" s="43"/>
      <c r="B1395" s="19"/>
      <c r="C1395" s="20"/>
    </row>
    <row r="1396" ht="45.0" customHeight="1">
      <c r="A1396" s="43"/>
      <c r="B1396" s="19"/>
      <c r="C1396" s="20"/>
    </row>
    <row r="1397" ht="45.0" customHeight="1">
      <c r="A1397" s="43"/>
      <c r="B1397" s="19"/>
      <c r="C1397" s="20"/>
    </row>
    <row r="1398" ht="45.0" customHeight="1">
      <c r="A1398" s="43"/>
      <c r="B1398" s="19"/>
      <c r="C1398" s="20"/>
    </row>
    <row r="1399" ht="45.0" customHeight="1">
      <c r="A1399" s="43"/>
      <c r="B1399" s="19"/>
      <c r="C1399" s="20"/>
    </row>
    <row r="1400" ht="45.0" customHeight="1">
      <c r="A1400" s="43"/>
      <c r="B1400" s="19"/>
      <c r="C1400" s="20"/>
    </row>
    <row r="1401" ht="45.0" customHeight="1">
      <c r="A1401" s="43"/>
      <c r="B1401" s="19"/>
      <c r="C1401" s="20"/>
    </row>
    <row r="1402" ht="45.0" customHeight="1">
      <c r="A1402" s="43"/>
      <c r="B1402" s="19"/>
      <c r="C1402" s="20"/>
    </row>
    <row r="1403" ht="45.0" customHeight="1">
      <c r="A1403" s="43"/>
      <c r="B1403" s="19"/>
      <c r="C1403" s="20"/>
    </row>
    <row r="1404" ht="45.0" customHeight="1">
      <c r="A1404" s="43"/>
      <c r="B1404" s="19"/>
      <c r="C1404" s="20"/>
    </row>
    <row r="1405" ht="45.0" customHeight="1">
      <c r="A1405" s="43"/>
      <c r="B1405" s="19"/>
      <c r="C1405" s="20"/>
    </row>
    <row r="1406" ht="45.0" customHeight="1">
      <c r="A1406" s="43"/>
      <c r="B1406" s="19"/>
      <c r="C1406" s="20"/>
    </row>
    <row r="1407" ht="45.0" customHeight="1">
      <c r="A1407" s="43"/>
      <c r="B1407" s="19"/>
      <c r="C1407" s="20"/>
    </row>
    <row r="1408" ht="45.0" customHeight="1">
      <c r="A1408" s="43"/>
      <c r="B1408" s="19"/>
      <c r="C1408" s="20"/>
    </row>
    <row r="1409" ht="45.0" customHeight="1">
      <c r="A1409" s="43"/>
      <c r="B1409" s="19"/>
      <c r="C1409" s="20"/>
    </row>
    <row r="1410" ht="45.0" customHeight="1">
      <c r="A1410" s="43"/>
      <c r="B1410" s="19"/>
      <c r="C1410" s="20"/>
    </row>
    <row r="1411" ht="45.0" customHeight="1">
      <c r="A1411" s="43"/>
      <c r="B1411" s="19"/>
      <c r="C1411" s="20"/>
    </row>
    <row r="1412" ht="45.0" customHeight="1">
      <c r="A1412" s="43"/>
      <c r="B1412" s="19"/>
      <c r="C1412" s="20"/>
    </row>
    <row r="1413" ht="45.0" customHeight="1">
      <c r="A1413" s="43"/>
      <c r="B1413" s="19"/>
      <c r="C1413" s="20"/>
    </row>
    <row r="1414" ht="45.0" customHeight="1">
      <c r="A1414" s="43"/>
      <c r="B1414" s="19"/>
      <c r="C1414" s="20"/>
    </row>
    <row r="1415" ht="45.0" customHeight="1">
      <c r="A1415" s="43"/>
      <c r="B1415" s="19"/>
      <c r="C1415" s="20"/>
    </row>
    <row r="1416" ht="45.0" customHeight="1">
      <c r="A1416" s="43"/>
      <c r="B1416" s="19"/>
      <c r="C1416" s="20"/>
    </row>
    <row r="1417" ht="45.0" customHeight="1">
      <c r="A1417" s="43"/>
      <c r="B1417" s="19"/>
      <c r="C1417" s="20"/>
    </row>
    <row r="1418" ht="45.0" customHeight="1">
      <c r="A1418" s="43"/>
      <c r="B1418" s="19"/>
      <c r="C1418" s="20"/>
    </row>
    <row r="1419" ht="45.0" customHeight="1">
      <c r="A1419" s="43"/>
      <c r="B1419" s="19"/>
      <c r="C1419" s="20"/>
    </row>
    <row r="1420" ht="45.0" customHeight="1">
      <c r="A1420" s="43"/>
      <c r="B1420" s="19"/>
      <c r="C1420" s="20"/>
    </row>
    <row r="1421" ht="45.0" customHeight="1">
      <c r="A1421" s="43"/>
      <c r="B1421" s="19"/>
      <c r="C1421" s="20"/>
    </row>
    <row r="1422" ht="45.0" customHeight="1">
      <c r="A1422" s="43"/>
      <c r="B1422" s="19"/>
      <c r="C1422" s="20"/>
    </row>
    <row r="1423" ht="45.0" customHeight="1">
      <c r="A1423" s="43"/>
      <c r="B1423" s="19"/>
      <c r="C1423" s="20"/>
    </row>
    <row r="1424" ht="45.0" customHeight="1">
      <c r="A1424" s="43"/>
      <c r="B1424" s="19"/>
      <c r="C1424" s="20"/>
    </row>
    <row r="1425" ht="45.0" customHeight="1">
      <c r="A1425" s="43"/>
      <c r="B1425" s="19"/>
      <c r="C1425" s="20"/>
    </row>
    <row r="1426" ht="45.0" customHeight="1">
      <c r="A1426" s="43"/>
      <c r="B1426" s="19"/>
      <c r="C1426" s="20"/>
    </row>
    <row r="1427" ht="45.0" customHeight="1">
      <c r="A1427" s="43"/>
      <c r="B1427" s="19"/>
      <c r="C1427" s="20"/>
    </row>
    <row r="1428" ht="45.0" customHeight="1">
      <c r="A1428" s="43"/>
      <c r="B1428" s="19"/>
      <c r="C1428" s="20"/>
    </row>
    <row r="1429" ht="45.0" customHeight="1">
      <c r="A1429" s="43"/>
      <c r="B1429" s="19"/>
      <c r="C1429" s="20"/>
    </row>
    <row r="1430" ht="45.0" customHeight="1">
      <c r="A1430" s="43"/>
      <c r="B1430" s="19"/>
      <c r="C1430" s="20"/>
    </row>
    <row r="1431" ht="45.0" customHeight="1">
      <c r="A1431" s="43"/>
      <c r="B1431" s="19"/>
      <c r="C1431" s="20"/>
    </row>
    <row r="1432" ht="45.0" customHeight="1">
      <c r="A1432" s="43"/>
      <c r="B1432" s="19"/>
      <c r="C1432" s="20"/>
    </row>
    <row r="1433" ht="45.0" customHeight="1">
      <c r="A1433" s="43"/>
      <c r="B1433" s="19"/>
      <c r="C1433" s="20"/>
    </row>
    <row r="1434" ht="45.0" customHeight="1">
      <c r="A1434" s="43"/>
      <c r="B1434" s="19"/>
      <c r="C1434" s="20"/>
    </row>
    <row r="1435" ht="45.0" customHeight="1">
      <c r="A1435" s="43"/>
      <c r="B1435" s="19"/>
      <c r="C1435" s="20"/>
    </row>
    <row r="1436" ht="45.0" customHeight="1">
      <c r="A1436" s="43"/>
      <c r="B1436" s="19"/>
      <c r="C1436" s="20"/>
    </row>
    <row r="1437" ht="45.0" customHeight="1">
      <c r="A1437" s="43"/>
      <c r="B1437" s="19"/>
      <c r="C1437" s="20"/>
    </row>
    <row r="1438" ht="45.0" customHeight="1">
      <c r="A1438" s="43"/>
      <c r="B1438" s="19"/>
      <c r="C1438" s="20"/>
    </row>
    <row r="1439" ht="45.0" customHeight="1">
      <c r="A1439" s="43"/>
      <c r="B1439" s="19"/>
      <c r="C1439" s="20"/>
    </row>
    <row r="1440" ht="45.0" customHeight="1">
      <c r="A1440" s="43"/>
      <c r="B1440" s="19"/>
      <c r="C1440" s="20"/>
    </row>
    <row r="1441" ht="45.0" customHeight="1">
      <c r="A1441" s="43"/>
      <c r="B1441" s="19"/>
      <c r="C1441" s="20"/>
    </row>
    <row r="1442" ht="45.0" customHeight="1">
      <c r="A1442" s="43"/>
      <c r="B1442" s="19"/>
      <c r="C1442" s="20"/>
    </row>
    <row r="1443" ht="45.0" customHeight="1">
      <c r="A1443" s="43"/>
      <c r="B1443" s="19"/>
      <c r="C1443" s="20"/>
    </row>
    <row r="1444" ht="45.0" customHeight="1">
      <c r="A1444" s="43"/>
      <c r="B1444" s="19"/>
      <c r="C1444" s="20"/>
    </row>
    <row r="1445" ht="45.0" customHeight="1">
      <c r="A1445" s="43"/>
      <c r="B1445" s="19"/>
      <c r="C1445" s="20"/>
    </row>
    <row r="1446" ht="45.0" customHeight="1">
      <c r="A1446" s="43"/>
      <c r="B1446" s="19"/>
      <c r="C1446" s="20"/>
    </row>
    <row r="1447" ht="45.0" customHeight="1">
      <c r="A1447" s="43"/>
      <c r="B1447" s="19"/>
      <c r="C1447" s="20"/>
    </row>
    <row r="1448" ht="45.0" customHeight="1">
      <c r="A1448" s="43"/>
      <c r="B1448" s="19"/>
      <c r="C1448" s="20"/>
    </row>
    <row r="1449" ht="45.0" customHeight="1">
      <c r="A1449" s="43"/>
      <c r="B1449" s="19"/>
      <c r="C1449" s="20"/>
    </row>
    <row r="1450" ht="45.0" customHeight="1">
      <c r="A1450" s="43"/>
      <c r="B1450" s="19"/>
      <c r="C1450" s="20"/>
    </row>
    <row r="1451" ht="45.0" customHeight="1">
      <c r="A1451" s="43"/>
      <c r="B1451" s="19"/>
      <c r="C1451" s="20"/>
    </row>
    <row r="1452" ht="45.0" customHeight="1">
      <c r="A1452" s="43"/>
      <c r="B1452" s="19"/>
      <c r="C1452" s="20"/>
    </row>
    <row r="1453" ht="45.0" customHeight="1">
      <c r="A1453" s="43"/>
      <c r="B1453" s="19"/>
      <c r="C1453" s="20"/>
    </row>
    <row r="1454" ht="45.0" customHeight="1">
      <c r="A1454" s="43"/>
      <c r="B1454" s="19"/>
      <c r="C1454" s="20"/>
    </row>
    <row r="1455" ht="45.0" customHeight="1">
      <c r="A1455" s="43"/>
      <c r="B1455" s="19"/>
      <c r="C1455" s="20"/>
    </row>
    <row r="1456" ht="45.0" customHeight="1">
      <c r="A1456" s="43"/>
      <c r="B1456" s="19"/>
      <c r="C1456" s="20"/>
    </row>
    <row r="1457" ht="45.0" customHeight="1">
      <c r="A1457" s="43"/>
      <c r="B1457" s="19"/>
      <c r="C1457" s="20"/>
    </row>
    <row r="1458" ht="45.0" customHeight="1">
      <c r="A1458" s="43"/>
      <c r="B1458" s="19"/>
      <c r="C1458" s="20"/>
    </row>
    <row r="1459" ht="45.0" customHeight="1">
      <c r="A1459" s="43"/>
      <c r="B1459" s="19"/>
      <c r="C1459" s="20"/>
    </row>
    <row r="1460" ht="45.0" customHeight="1">
      <c r="A1460" s="43"/>
      <c r="B1460" s="19"/>
      <c r="C1460" s="20"/>
    </row>
    <row r="1461" ht="45.0" customHeight="1">
      <c r="A1461" s="43"/>
      <c r="B1461" s="19"/>
      <c r="C1461" s="20"/>
    </row>
    <row r="1462" ht="45.0" customHeight="1">
      <c r="A1462" s="43"/>
      <c r="B1462" s="19"/>
      <c r="C1462" s="20"/>
    </row>
    <row r="1463" ht="45.0" customHeight="1">
      <c r="A1463" s="43"/>
      <c r="B1463" s="19"/>
      <c r="C1463" s="20"/>
    </row>
    <row r="1464" ht="45.0" customHeight="1">
      <c r="A1464" s="43"/>
      <c r="B1464" s="19"/>
      <c r="C1464" s="20"/>
    </row>
    <row r="1465" ht="45.0" customHeight="1">
      <c r="A1465" s="43"/>
      <c r="B1465" s="19"/>
      <c r="C1465" s="20"/>
    </row>
    <row r="1466" ht="45.0" customHeight="1">
      <c r="A1466" s="43"/>
      <c r="B1466" s="19"/>
      <c r="C1466" s="20"/>
    </row>
    <row r="1467" ht="45.0" customHeight="1">
      <c r="A1467" s="43"/>
      <c r="B1467" s="19"/>
      <c r="C1467" s="20"/>
    </row>
    <row r="1468" ht="45.0" customHeight="1">
      <c r="A1468" s="43"/>
      <c r="B1468" s="19"/>
      <c r="C1468" s="20"/>
    </row>
    <row r="1469" ht="45.0" customHeight="1">
      <c r="A1469" s="43"/>
      <c r="B1469" s="19"/>
      <c r="C1469" s="20"/>
    </row>
    <row r="1470" ht="45.0" customHeight="1">
      <c r="A1470" s="43"/>
      <c r="B1470" s="19"/>
      <c r="C1470" s="20"/>
    </row>
    <row r="1471" ht="45.0" customHeight="1">
      <c r="A1471" s="43"/>
      <c r="B1471" s="19"/>
      <c r="C1471" s="20"/>
    </row>
    <row r="1472" ht="45.0" customHeight="1">
      <c r="A1472" s="43"/>
      <c r="B1472" s="19"/>
      <c r="C1472" s="20"/>
    </row>
    <row r="1473" ht="45.0" customHeight="1">
      <c r="A1473" s="43"/>
      <c r="B1473" s="19"/>
      <c r="C1473" s="20"/>
    </row>
    <row r="1474" ht="45.0" customHeight="1">
      <c r="A1474" s="43"/>
      <c r="B1474" s="19"/>
      <c r="C1474" s="20"/>
    </row>
    <row r="1475" ht="45.0" customHeight="1">
      <c r="A1475" s="43"/>
      <c r="B1475" s="19"/>
      <c r="C1475" s="20"/>
    </row>
    <row r="1476" ht="45.0" customHeight="1">
      <c r="A1476" s="43"/>
      <c r="B1476" s="19"/>
      <c r="C1476" s="20"/>
    </row>
    <row r="1477" ht="45.0" customHeight="1">
      <c r="A1477" s="43"/>
      <c r="B1477" s="19"/>
      <c r="C1477" s="20"/>
    </row>
    <row r="1478" ht="45.0" customHeight="1">
      <c r="A1478" s="43"/>
      <c r="B1478" s="19"/>
      <c r="C1478" s="20"/>
    </row>
    <row r="1479" ht="45.0" customHeight="1">
      <c r="A1479" s="43"/>
      <c r="B1479" s="19"/>
      <c r="C1479" s="20"/>
    </row>
    <row r="1480" ht="45.0" customHeight="1">
      <c r="A1480" s="43"/>
      <c r="B1480" s="19"/>
      <c r="C1480" s="20"/>
    </row>
    <row r="1481" ht="45.0" customHeight="1">
      <c r="A1481" s="43"/>
      <c r="B1481" s="19"/>
      <c r="C1481" s="20"/>
    </row>
    <row r="1482" ht="45.0" customHeight="1">
      <c r="A1482" s="43"/>
      <c r="B1482" s="19"/>
      <c r="C1482" s="20"/>
    </row>
    <row r="1483" ht="45.0" customHeight="1">
      <c r="A1483" s="43"/>
      <c r="B1483" s="19"/>
      <c r="C1483" s="20"/>
    </row>
    <row r="1484" ht="45.0" customHeight="1">
      <c r="A1484" s="43"/>
      <c r="B1484" s="19"/>
      <c r="C1484" s="20"/>
    </row>
    <row r="1485" ht="45.0" customHeight="1">
      <c r="A1485" s="43"/>
      <c r="B1485" s="19"/>
      <c r="C1485" s="20"/>
    </row>
    <row r="1486" ht="45.0" customHeight="1">
      <c r="A1486" s="43"/>
      <c r="B1486" s="19"/>
      <c r="C1486" s="20"/>
    </row>
    <row r="1487" ht="45.0" customHeight="1">
      <c r="A1487" s="43"/>
      <c r="B1487" s="19"/>
      <c r="C1487" s="20"/>
    </row>
    <row r="1488" ht="45.0" customHeight="1">
      <c r="A1488" s="43"/>
      <c r="B1488" s="19"/>
      <c r="C1488" s="20"/>
    </row>
    <row r="1489" ht="45.0" customHeight="1">
      <c r="A1489" s="43"/>
      <c r="B1489" s="19"/>
      <c r="C1489" s="20"/>
    </row>
    <row r="1490" ht="45.0" customHeight="1">
      <c r="A1490" s="43"/>
      <c r="B1490" s="19"/>
      <c r="C1490" s="20"/>
    </row>
    <row r="1491" ht="45.0" customHeight="1">
      <c r="A1491" s="43"/>
      <c r="B1491" s="19"/>
      <c r="C1491" s="20"/>
    </row>
    <row r="1492" ht="45.0" customHeight="1">
      <c r="A1492" s="43"/>
      <c r="B1492" s="19"/>
      <c r="C1492" s="20"/>
    </row>
    <row r="1493" ht="45.0" customHeight="1">
      <c r="A1493" s="43"/>
      <c r="B1493" s="19"/>
      <c r="C1493" s="20"/>
    </row>
    <row r="1494" ht="45.0" customHeight="1">
      <c r="A1494" s="43"/>
      <c r="B1494" s="19"/>
      <c r="C1494" s="20"/>
    </row>
    <row r="1495" ht="45.0" customHeight="1">
      <c r="A1495" s="43"/>
      <c r="B1495" s="19"/>
      <c r="C1495" s="20"/>
    </row>
    <row r="1496" ht="45.0" customHeight="1">
      <c r="A1496" s="43"/>
      <c r="B1496" s="19"/>
      <c r="C1496" s="20"/>
    </row>
    <row r="1497" ht="45.0" customHeight="1">
      <c r="A1497" s="43"/>
      <c r="B1497" s="19"/>
      <c r="C1497" s="20"/>
    </row>
    <row r="1498" ht="45.0" customHeight="1">
      <c r="A1498" s="43"/>
      <c r="B1498" s="19"/>
      <c r="C1498" s="20"/>
    </row>
    <row r="1499" ht="45.0" customHeight="1">
      <c r="A1499" s="43"/>
      <c r="B1499" s="19"/>
      <c r="C1499" s="20"/>
    </row>
    <row r="1500" ht="45.0" customHeight="1">
      <c r="A1500" s="43"/>
      <c r="B1500" s="19"/>
      <c r="C1500" s="20"/>
    </row>
    <row r="1501" ht="45.0" customHeight="1">
      <c r="A1501" s="43"/>
      <c r="B1501" s="19"/>
      <c r="C1501" s="20"/>
    </row>
    <row r="1502" ht="45.0" customHeight="1">
      <c r="A1502" s="43"/>
      <c r="B1502" s="19"/>
      <c r="C1502" s="20"/>
    </row>
    <row r="1503" ht="45.0" customHeight="1">
      <c r="A1503" s="43"/>
      <c r="B1503" s="19"/>
      <c r="C1503" s="20"/>
    </row>
    <row r="1504" ht="45.0" customHeight="1">
      <c r="A1504" s="43"/>
      <c r="B1504" s="19"/>
      <c r="C1504" s="20"/>
    </row>
    <row r="1505" ht="45.0" customHeight="1">
      <c r="A1505" s="43"/>
      <c r="B1505" s="19"/>
      <c r="C1505" s="20"/>
    </row>
    <row r="1506" ht="45.0" customHeight="1">
      <c r="A1506" s="43"/>
      <c r="B1506" s="19"/>
      <c r="C1506" s="20"/>
    </row>
    <row r="1507" ht="45.0" customHeight="1">
      <c r="A1507" s="43"/>
      <c r="B1507" s="19"/>
      <c r="C1507" s="20"/>
    </row>
    <row r="1508" ht="45.0" customHeight="1">
      <c r="A1508" s="43"/>
      <c r="B1508" s="19"/>
      <c r="C1508" s="20"/>
    </row>
    <row r="1509" ht="45.0" customHeight="1">
      <c r="A1509" s="43"/>
      <c r="B1509" s="19"/>
      <c r="C1509" s="20"/>
    </row>
    <row r="1510" ht="45.0" customHeight="1">
      <c r="A1510" s="43"/>
      <c r="B1510" s="19"/>
      <c r="C1510" s="20"/>
    </row>
    <row r="1511" ht="45.0" customHeight="1">
      <c r="A1511" s="43"/>
      <c r="B1511" s="19"/>
      <c r="C1511" s="20"/>
    </row>
    <row r="1512" ht="45.0" customHeight="1">
      <c r="A1512" s="43"/>
      <c r="B1512" s="19"/>
      <c r="C1512" s="20"/>
    </row>
    <row r="1513" ht="45.0" customHeight="1">
      <c r="A1513" s="43"/>
      <c r="B1513" s="19"/>
      <c r="C1513" s="20"/>
    </row>
    <row r="1514" ht="45.0" customHeight="1">
      <c r="A1514" s="43"/>
      <c r="B1514" s="19"/>
      <c r="C1514" s="20"/>
    </row>
    <row r="1515" ht="45.0" customHeight="1">
      <c r="A1515" s="43"/>
      <c r="B1515" s="19"/>
      <c r="C1515" s="20"/>
    </row>
    <row r="1516" ht="45.0" customHeight="1">
      <c r="A1516" s="43"/>
      <c r="B1516" s="19"/>
      <c r="C1516" s="20"/>
    </row>
    <row r="1517" ht="45.0" customHeight="1">
      <c r="A1517" s="43"/>
      <c r="B1517" s="19"/>
      <c r="C1517" s="20"/>
    </row>
    <row r="1518" ht="45.0" customHeight="1">
      <c r="A1518" s="43"/>
      <c r="B1518" s="19"/>
      <c r="C1518" s="20"/>
    </row>
    <row r="1519" ht="45.0" customHeight="1">
      <c r="A1519" s="43"/>
      <c r="B1519" s="19"/>
      <c r="C1519" s="20"/>
    </row>
    <row r="1520" ht="45.0" customHeight="1">
      <c r="A1520" s="43"/>
      <c r="B1520" s="19"/>
      <c r="C1520" s="20"/>
    </row>
    <row r="1521" ht="45.0" customHeight="1">
      <c r="A1521" s="43"/>
      <c r="B1521" s="19"/>
      <c r="C1521" s="20"/>
    </row>
    <row r="1522" ht="45.0" customHeight="1">
      <c r="A1522" s="43"/>
      <c r="B1522" s="19"/>
      <c r="C1522" s="20"/>
    </row>
    <row r="1523" ht="45.0" customHeight="1">
      <c r="A1523" s="43"/>
      <c r="B1523" s="19"/>
      <c r="C1523" s="20"/>
    </row>
    <row r="1524" ht="45.0" customHeight="1">
      <c r="A1524" s="43"/>
      <c r="B1524" s="19"/>
      <c r="C1524" s="20"/>
    </row>
    <row r="1525" ht="45.0" customHeight="1">
      <c r="A1525" s="43"/>
      <c r="B1525" s="19"/>
      <c r="C1525" s="20"/>
    </row>
    <row r="1526" ht="45.0" customHeight="1">
      <c r="A1526" s="43"/>
      <c r="B1526" s="19"/>
      <c r="C1526" s="20"/>
    </row>
    <row r="1527" ht="45.0" customHeight="1">
      <c r="A1527" s="43"/>
      <c r="B1527" s="19"/>
      <c r="C1527" s="20"/>
    </row>
    <row r="1528" ht="45.0" customHeight="1">
      <c r="A1528" s="43"/>
      <c r="B1528" s="19"/>
      <c r="C1528" s="20"/>
    </row>
    <row r="1529" ht="45.0" customHeight="1">
      <c r="A1529" s="43"/>
      <c r="B1529" s="19"/>
      <c r="C1529" s="20"/>
    </row>
    <row r="1530" ht="45.0" customHeight="1">
      <c r="A1530" s="43"/>
      <c r="B1530" s="19"/>
      <c r="C1530" s="20"/>
    </row>
    <row r="1531" ht="45.0" customHeight="1">
      <c r="A1531" s="43"/>
      <c r="B1531" s="19"/>
      <c r="C1531" s="20"/>
    </row>
    <row r="1532" ht="45.0" customHeight="1">
      <c r="A1532" s="43"/>
      <c r="B1532" s="19"/>
      <c r="C1532" s="20"/>
    </row>
    <row r="1533" ht="45.0" customHeight="1">
      <c r="A1533" s="43"/>
      <c r="B1533" s="19"/>
      <c r="C1533" s="20"/>
    </row>
    <row r="1534" ht="45.0" customHeight="1">
      <c r="A1534" s="43"/>
      <c r="B1534" s="19"/>
      <c r="C1534" s="20"/>
    </row>
    <row r="1535" ht="45.0" customHeight="1">
      <c r="A1535" s="43"/>
      <c r="B1535" s="19"/>
      <c r="C1535" s="20"/>
    </row>
    <row r="1536" ht="45.0" customHeight="1">
      <c r="A1536" s="43"/>
      <c r="B1536" s="19"/>
      <c r="C1536" s="20"/>
    </row>
    <row r="1537" ht="45.0" customHeight="1">
      <c r="A1537" s="43"/>
      <c r="B1537" s="19"/>
      <c r="C1537" s="20"/>
    </row>
    <row r="1538" ht="45.0" customHeight="1">
      <c r="A1538" s="43"/>
      <c r="B1538" s="19"/>
      <c r="C1538" s="20"/>
    </row>
    <row r="1539" ht="45.0" customHeight="1">
      <c r="A1539" s="43"/>
      <c r="B1539" s="19"/>
      <c r="C1539" s="20"/>
    </row>
    <row r="1540" ht="45.0" customHeight="1">
      <c r="A1540" s="43"/>
      <c r="B1540" s="19"/>
      <c r="C1540" s="20"/>
    </row>
    <row r="1541" ht="45.0" customHeight="1">
      <c r="A1541" s="43"/>
      <c r="B1541" s="19"/>
      <c r="C1541" s="20"/>
    </row>
    <row r="1542" ht="45.0" customHeight="1">
      <c r="A1542" s="43"/>
      <c r="B1542" s="19"/>
      <c r="C1542" s="20"/>
    </row>
    <row r="1543" ht="45.0" customHeight="1">
      <c r="A1543" s="43"/>
      <c r="B1543" s="19"/>
      <c r="C1543" s="20"/>
    </row>
    <row r="1544" ht="45.0" customHeight="1">
      <c r="A1544" s="43"/>
      <c r="B1544" s="19"/>
      <c r="C1544" s="20"/>
    </row>
    <row r="1545" ht="45.0" customHeight="1">
      <c r="A1545" s="43"/>
      <c r="B1545" s="19"/>
      <c r="C1545" s="20"/>
    </row>
    <row r="1546" ht="45.0" customHeight="1">
      <c r="A1546" s="43"/>
      <c r="B1546" s="19"/>
      <c r="C1546" s="20"/>
    </row>
    <row r="1547" ht="45.0" customHeight="1">
      <c r="A1547" s="43"/>
      <c r="B1547" s="19"/>
      <c r="C1547" s="20"/>
    </row>
    <row r="1548" ht="45.0" customHeight="1">
      <c r="A1548" s="43"/>
      <c r="B1548" s="19"/>
      <c r="C1548" s="20"/>
    </row>
    <row r="1549" ht="45.0" customHeight="1">
      <c r="A1549" s="43"/>
      <c r="B1549" s="19"/>
      <c r="C1549" s="20"/>
    </row>
    <row r="1550" ht="45.0" customHeight="1">
      <c r="A1550" s="43"/>
      <c r="B1550" s="19"/>
      <c r="C1550" s="20"/>
    </row>
    <row r="1551" ht="45.0" customHeight="1">
      <c r="A1551" s="43"/>
      <c r="B1551" s="19"/>
      <c r="C1551" s="20"/>
    </row>
    <row r="1552" ht="45.0" customHeight="1">
      <c r="A1552" s="43"/>
      <c r="B1552" s="19"/>
      <c r="C1552" s="20"/>
    </row>
    <row r="1553" ht="45.0" customHeight="1">
      <c r="A1553" s="43"/>
      <c r="B1553" s="19"/>
      <c r="C1553" s="20"/>
    </row>
    <row r="1554" ht="45.0" customHeight="1">
      <c r="A1554" s="43"/>
      <c r="B1554" s="19"/>
      <c r="C1554" s="20"/>
    </row>
    <row r="1555" ht="45.0" customHeight="1">
      <c r="A1555" s="43"/>
      <c r="B1555" s="19"/>
      <c r="C1555" s="20"/>
    </row>
    <row r="1556" ht="45.0" customHeight="1">
      <c r="A1556" s="43"/>
      <c r="B1556" s="19"/>
      <c r="C1556" s="20"/>
    </row>
    <row r="1557" ht="45.0" customHeight="1">
      <c r="A1557" s="43"/>
      <c r="B1557" s="19"/>
      <c r="C1557" s="20"/>
    </row>
    <row r="1558" ht="45.0" customHeight="1">
      <c r="A1558" s="43"/>
      <c r="B1558" s="19"/>
      <c r="C1558" s="20"/>
    </row>
    <row r="1559" ht="45.0" customHeight="1">
      <c r="A1559" s="43"/>
      <c r="B1559" s="19"/>
      <c r="C1559" s="20"/>
    </row>
    <row r="1560" ht="45.0" customHeight="1">
      <c r="A1560" s="43"/>
      <c r="B1560" s="19"/>
      <c r="C1560" s="20"/>
    </row>
    <row r="1561" ht="45.0" customHeight="1">
      <c r="A1561" s="43"/>
      <c r="B1561" s="19"/>
      <c r="C1561" s="20"/>
    </row>
    <row r="1562" ht="45.0" customHeight="1">
      <c r="A1562" s="43"/>
      <c r="B1562" s="19"/>
      <c r="C1562" s="20"/>
    </row>
    <row r="1563" ht="45.0" customHeight="1">
      <c r="A1563" s="43"/>
      <c r="B1563" s="19"/>
      <c r="C1563" s="20"/>
    </row>
    <row r="1564" ht="45.0" customHeight="1">
      <c r="A1564" s="43"/>
      <c r="B1564" s="19"/>
      <c r="C1564" s="20"/>
    </row>
    <row r="1565" ht="45.0" customHeight="1">
      <c r="A1565" s="43"/>
      <c r="B1565" s="19"/>
      <c r="C1565" s="20"/>
    </row>
    <row r="1566" ht="45.0" customHeight="1">
      <c r="A1566" s="43"/>
      <c r="B1566" s="19"/>
      <c r="C1566" s="20"/>
    </row>
    <row r="1567" ht="45.0" customHeight="1">
      <c r="A1567" s="43"/>
      <c r="B1567" s="19"/>
      <c r="C1567" s="20"/>
    </row>
    <row r="1568" ht="45.0" customHeight="1">
      <c r="A1568" s="43"/>
      <c r="B1568" s="19"/>
      <c r="C1568" s="20"/>
    </row>
    <row r="1569" ht="45.0" customHeight="1">
      <c r="A1569" s="43"/>
      <c r="B1569" s="19"/>
      <c r="C1569" s="20"/>
    </row>
    <row r="1570" ht="45.0" customHeight="1">
      <c r="A1570" s="43"/>
      <c r="B1570" s="19"/>
      <c r="C1570" s="20"/>
    </row>
    <row r="1571" ht="45.0" customHeight="1">
      <c r="A1571" s="43"/>
      <c r="B1571" s="19"/>
      <c r="C1571" s="20"/>
    </row>
    <row r="1572" ht="45.0" customHeight="1">
      <c r="A1572" s="43"/>
      <c r="B1572" s="19"/>
      <c r="C1572" s="20"/>
    </row>
    <row r="1573" ht="45.0" customHeight="1">
      <c r="A1573" s="43"/>
      <c r="B1573" s="19"/>
      <c r="C1573" s="20"/>
    </row>
    <row r="1574" ht="45.0" customHeight="1">
      <c r="A1574" s="43"/>
      <c r="B1574" s="19"/>
      <c r="C1574" s="20"/>
    </row>
    <row r="1575" ht="45.0" customHeight="1">
      <c r="A1575" s="43"/>
      <c r="B1575" s="19"/>
      <c r="C1575" s="20"/>
    </row>
    <row r="1576" ht="45.0" customHeight="1">
      <c r="A1576" s="43"/>
      <c r="B1576" s="19"/>
      <c r="C1576" s="20"/>
    </row>
    <row r="1577" ht="45.0" customHeight="1">
      <c r="A1577" s="43"/>
      <c r="B1577" s="19"/>
      <c r="C1577" s="20"/>
    </row>
    <row r="1578" ht="45.0" customHeight="1">
      <c r="A1578" s="43"/>
      <c r="B1578" s="19"/>
      <c r="C1578" s="20"/>
    </row>
    <row r="1579" ht="45.0" customHeight="1">
      <c r="A1579" s="43"/>
      <c r="B1579" s="19"/>
      <c r="C1579" s="20"/>
    </row>
    <row r="1580" ht="45.0" customHeight="1">
      <c r="A1580" s="43"/>
      <c r="B1580" s="19"/>
      <c r="C1580" s="20"/>
    </row>
    <row r="1581" ht="45.0" customHeight="1">
      <c r="A1581" s="43"/>
      <c r="B1581" s="19"/>
      <c r="C1581" s="20"/>
    </row>
    <row r="1582" ht="45.0" customHeight="1">
      <c r="A1582" s="43"/>
      <c r="B1582" s="19"/>
      <c r="C1582" s="20"/>
    </row>
    <row r="1583" ht="45.0" customHeight="1">
      <c r="A1583" s="43"/>
      <c r="B1583" s="19"/>
      <c r="C1583" s="20"/>
    </row>
    <row r="1584" ht="45.0" customHeight="1">
      <c r="A1584" s="43"/>
      <c r="B1584" s="19"/>
      <c r="C1584" s="20"/>
    </row>
    <row r="1585" ht="45.0" customHeight="1">
      <c r="A1585" s="43"/>
      <c r="B1585" s="19"/>
      <c r="C1585" s="20"/>
    </row>
    <row r="1586" ht="45.0" customHeight="1">
      <c r="A1586" s="43"/>
      <c r="B1586" s="19"/>
      <c r="C1586" s="20"/>
    </row>
    <row r="1587" ht="45.0" customHeight="1">
      <c r="A1587" s="43"/>
      <c r="B1587" s="19"/>
      <c r="C1587" s="20"/>
    </row>
    <row r="1588" ht="45.0" customHeight="1">
      <c r="A1588" s="43"/>
      <c r="B1588" s="19"/>
      <c r="C1588" s="20"/>
    </row>
    <row r="1589" ht="45.0" customHeight="1">
      <c r="A1589" s="43"/>
      <c r="B1589" s="19"/>
      <c r="C1589" s="20"/>
    </row>
    <row r="1590" ht="45.0" customHeight="1">
      <c r="A1590" s="43"/>
      <c r="B1590" s="19"/>
      <c r="C1590" s="20"/>
    </row>
    <row r="1591" ht="45.0" customHeight="1">
      <c r="A1591" s="43"/>
      <c r="B1591" s="19"/>
      <c r="C1591" s="20"/>
    </row>
    <row r="1592" ht="45.0" customHeight="1">
      <c r="A1592" s="43"/>
      <c r="B1592" s="19"/>
      <c r="C1592" s="20"/>
    </row>
    <row r="1593" ht="45.0" customHeight="1">
      <c r="A1593" s="43"/>
      <c r="B1593" s="19"/>
      <c r="C1593" s="20"/>
    </row>
    <row r="1594" ht="45.0" customHeight="1">
      <c r="A1594" s="43"/>
      <c r="B1594" s="19"/>
      <c r="C1594" s="20"/>
    </row>
    <row r="1595" ht="45.0" customHeight="1">
      <c r="A1595" s="43"/>
      <c r="B1595" s="19"/>
      <c r="C1595" s="20"/>
    </row>
    <row r="1596" ht="45.0" customHeight="1">
      <c r="A1596" s="43"/>
      <c r="B1596" s="19"/>
      <c r="C1596" s="20"/>
    </row>
    <row r="1597" ht="45.0" customHeight="1">
      <c r="A1597" s="43"/>
      <c r="B1597" s="19"/>
      <c r="C1597" s="20"/>
    </row>
    <row r="1598" ht="45.0" customHeight="1">
      <c r="A1598" s="43"/>
      <c r="B1598" s="19"/>
      <c r="C1598" s="20"/>
    </row>
    <row r="1599" ht="45.0" customHeight="1">
      <c r="A1599" s="43"/>
      <c r="B1599" s="19"/>
      <c r="C1599" s="20"/>
    </row>
    <row r="1600" ht="45.0" customHeight="1">
      <c r="A1600" s="43"/>
      <c r="B1600" s="19"/>
      <c r="C1600" s="20"/>
    </row>
    <row r="1601" ht="45.0" customHeight="1">
      <c r="A1601" s="43"/>
      <c r="B1601" s="19"/>
      <c r="C1601" s="20"/>
    </row>
    <row r="1602" ht="45.0" customHeight="1">
      <c r="A1602" s="43"/>
      <c r="B1602" s="19"/>
      <c r="C1602" s="20"/>
    </row>
    <row r="1603" ht="45.0" customHeight="1">
      <c r="A1603" s="43"/>
      <c r="B1603" s="19"/>
      <c r="C1603" s="20"/>
    </row>
    <row r="1604" ht="45.0" customHeight="1">
      <c r="A1604" s="43"/>
      <c r="B1604" s="19"/>
      <c r="C1604" s="20"/>
    </row>
    <row r="1605" ht="45.0" customHeight="1">
      <c r="A1605" s="43"/>
      <c r="B1605" s="19"/>
      <c r="C1605" s="20"/>
    </row>
    <row r="1606" ht="45.0" customHeight="1">
      <c r="A1606" s="43"/>
      <c r="B1606" s="19"/>
      <c r="C1606" s="20"/>
    </row>
    <row r="1607" ht="45.0" customHeight="1">
      <c r="A1607" s="43"/>
      <c r="B1607" s="19"/>
      <c r="C1607" s="20"/>
    </row>
    <row r="1608" ht="45.0" customHeight="1">
      <c r="A1608" s="43"/>
      <c r="B1608" s="19"/>
      <c r="C1608" s="20"/>
    </row>
    <row r="1609" ht="45.0" customHeight="1">
      <c r="A1609" s="43"/>
      <c r="B1609" s="19"/>
      <c r="C1609" s="20"/>
    </row>
    <row r="1610" ht="45.0" customHeight="1">
      <c r="A1610" s="43"/>
      <c r="B1610" s="19"/>
      <c r="C1610" s="20"/>
    </row>
    <row r="1611" ht="45.0" customHeight="1">
      <c r="A1611" s="43"/>
      <c r="B1611" s="19"/>
      <c r="C1611" s="20"/>
    </row>
    <row r="1612" ht="45.0" customHeight="1">
      <c r="A1612" s="43"/>
      <c r="B1612" s="19"/>
      <c r="C1612" s="20"/>
    </row>
    <row r="1613" ht="45.0" customHeight="1">
      <c r="A1613" s="43"/>
      <c r="B1613" s="19"/>
      <c r="C1613" s="20"/>
    </row>
    <row r="1614" ht="45.0" customHeight="1">
      <c r="A1614" s="43"/>
      <c r="B1614" s="19"/>
      <c r="C1614" s="20"/>
    </row>
    <row r="1615" ht="45.0" customHeight="1">
      <c r="A1615" s="43"/>
      <c r="B1615" s="19"/>
      <c r="C1615" s="20"/>
    </row>
    <row r="1616" ht="45.0" customHeight="1">
      <c r="A1616" s="43"/>
      <c r="B1616" s="19"/>
      <c r="C1616" s="20"/>
    </row>
    <row r="1617" ht="45.0" customHeight="1">
      <c r="A1617" s="43"/>
      <c r="B1617" s="19"/>
      <c r="C1617" s="20"/>
    </row>
    <row r="1618" ht="45.0" customHeight="1">
      <c r="A1618" s="43"/>
      <c r="B1618" s="19"/>
      <c r="C1618" s="20"/>
    </row>
    <row r="1619" ht="45.0" customHeight="1">
      <c r="A1619" s="43"/>
      <c r="B1619" s="19"/>
      <c r="C1619" s="20"/>
    </row>
    <row r="1620" ht="45.0" customHeight="1">
      <c r="A1620" s="43"/>
      <c r="B1620" s="19"/>
      <c r="C1620" s="20"/>
    </row>
    <row r="1621" ht="45.0" customHeight="1">
      <c r="A1621" s="43"/>
      <c r="B1621" s="19"/>
      <c r="C1621" s="20"/>
    </row>
    <row r="1622" ht="45.0" customHeight="1">
      <c r="A1622" s="43"/>
      <c r="B1622" s="19"/>
      <c r="C1622" s="20"/>
    </row>
    <row r="1623" ht="45.0" customHeight="1">
      <c r="A1623" s="43"/>
      <c r="B1623" s="19"/>
      <c r="C1623" s="20"/>
    </row>
    <row r="1624" ht="45.0" customHeight="1">
      <c r="A1624" s="43"/>
      <c r="B1624" s="19"/>
      <c r="C1624" s="20"/>
    </row>
    <row r="1625" ht="45.0" customHeight="1">
      <c r="A1625" s="43"/>
      <c r="B1625" s="19"/>
      <c r="C1625" s="20"/>
    </row>
    <row r="1626" ht="45.0" customHeight="1">
      <c r="A1626" s="43"/>
      <c r="B1626" s="19"/>
      <c r="C1626" s="20"/>
    </row>
    <row r="1627" ht="45.0" customHeight="1">
      <c r="A1627" s="43"/>
      <c r="B1627" s="19"/>
      <c r="C1627" s="20"/>
    </row>
    <row r="1628" ht="45.0" customHeight="1">
      <c r="A1628" s="43"/>
      <c r="B1628" s="19"/>
      <c r="C1628" s="20"/>
    </row>
    <row r="1629" ht="45.0" customHeight="1">
      <c r="A1629" s="43"/>
      <c r="B1629" s="19"/>
      <c r="C1629" s="20"/>
    </row>
    <row r="1630" ht="45.0" customHeight="1">
      <c r="A1630" s="43"/>
      <c r="B1630" s="19"/>
      <c r="C1630" s="20"/>
    </row>
    <row r="1631" ht="45.0" customHeight="1">
      <c r="A1631" s="43"/>
      <c r="B1631" s="19"/>
      <c r="C1631" s="20"/>
    </row>
    <row r="1632" ht="45.0" customHeight="1">
      <c r="A1632" s="43"/>
      <c r="B1632" s="19"/>
      <c r="C1632" s="20"/>
    </row>
    <row r="1633" ht="45.0" customHeight="1">
      <c r="A1633" s="43"/>
      <c r="B1633" s="19"/>
      <c r="C1633" s="20"/>
    </row>
    <row r="1634" ht="45.0" customHeight="1">
      <c r="A1634" s="43"/>
      <c r="B1634" s="19"/>
      <c r="C1634" s="20"/>
    </row>
    <row r="1635" ht="45.0" customHeight="1">
      <c r="A1635" s="43"/>
      <c r="B1635" s="19"/>
      <c r="C1635" s="20"/>
    </row>
    <row r="1636" ht="45.0" customHeight="1">
      <c r="A1636" s="43"/>
      <c r="B1636" s="19"/>
      <c r="C1636" s="20"/>
    </row>
    <row r="1637" ht="45.0" customHeight="1">
      <c r="A1637" s="43"/>
      <c r="B1637" s="19"/>
      <c r="C1637" s="20"/>
    </row>
    <row r="1638" ht="45.0" customHeight="1">
      <c r="A1638" s="43"/>
      <c r="B1638" s="19"/>
      <c r="C1638" s="20"/>
    </row>
    <row r="1639" ht="45.0" customHeight="1">
      <c r="A1639" s="43"/>
      <c r="B1639" s="19"/>
      <c r="C1639" s="20"/>
    </row>
    <row r="1640" ht="45.0" customHeight="1">
      <c r="A1640" s="43"/>
      <c r="B1640" s="19"/>
      <c r="C1640" s="20"/>
    </row>
    <row r="1641" ht="45.0" customHeight="1">
      <c r="A1641" s="43"/>
      <c r="B1641" s="19"/>
      <c r="C1641" s="20"/>
    </row>
    <row r="1642" ht="45.0" customHeight="1">
      <c r="A1642" s="43"/>
      <c r="B1642" s="19"/>
      <c r="C1642" s="20"/>
    </row>
    <row r="1643" ht="45.0" customHeight="1">
      <c r="A1643" s="43"/>
      <c r="B1643" s="19"/>
      <c r="C1643" s="20"/>
    </row>
    <row r="1644" ht="45.0" customHeight="1">
      <c r="A1644" s="43"/>
      <c r="B1644" s="19"/>
      <c r="C1644" s="20"/>
    </row>
    <row r="1645" ht="45.0" customHeight="1">
      <c r="A1645" s="43"/>
      <c r="B1645" s="19"/>
      <c r="C1645" s="20"/>
    </row>
    <row r="1646" ht="45.0" customHeight="1">
      <c r="A1646" s="43"/>
      <c r="B1646" s="19"/>
      <c r="C1646" s="20"/>
    </row>
    <row r="1647" ht="45.0" customHeight="1">
      <c r="A1647" s="43"/>
      <c r="B1647" s="19"/>
      <c r="C1647" s="20"/>
    </row>
    <row r="1648" ht="45.0" customHeight="1">
      <c r="A1648" s="43"/>
      <c r="B1648" s="19"/>
      <c r="C1648" s="20"/>
    </row>
    <row r="1649" ht="45.0" customHeight="1">
      <c r="A1649" s="43"/>
      <c r="B1649" s="19"/>
      <c r="C1649" s="20"/>
    </row>
    <row r="1650" ht="45.0" customHeight="1">
      <c r="A1650" s="43"/>
      <c r="B1650" s="19"/>
      <c r="C1650" s="20"/>
    </row>
    <row r="1651" ht="45.0" customHeight="1">
      <c r="A1651" s="43"/>
      <c r="B1651" s="19"/>
      <c r="C1651" s="20"/>
    </row>
    <row r="1652" ht="45.0" customHeight="1">
      <c r="A1652" s="43"/>
      <c r="B1652" s="19"/>
      <c r="C1652" s="20"/>
    </row>
    <row r="1653" ht="45.0" customHeight="1">
      <c r="A1653" s="43"/>
      <c r="B1653" s="19"/>
      <c r="C1653" s="20"/>
    </row>
    <row r="1654" ht="45.0" customHeight="1">
      <c r="A1654" s="43"/>
      <c r="B1654" s="19"/>
      <c r="C1654" s="20"/>
    </row>
    <row r="1655" ht="45.0" customHeight="1">
      <c r="A1655" s="43"/>
      <c r="B1655" s="19"/>
      <c r="C1655" s="20"/>
    </row>
    <row r="1656" ht="45.0" customHeight="1">
      <c r="A1656" s="43"/>
      <c r="B1656" s="19"/>
      <c r="C1656" s="20"/>
    </row>
    <row r="1657" ht="45.0" customHeight="1">
      <c r="A1657" s="43"/>
      <c r="B1657" s="19"/>
      <c r="C1657" s="20"/>
    </row>
    <row r="1658" ht="45.0" customHeight="1">
      <c r="A1658" s="43"/>
      <c r="B1658" s="19"/>
      <c r="C1658" s="20"/>
    </row>
    <row r="1659" ht="45.0" customHeight="1">
      <c r="A1659" s="43"/>
      <c r="B1659" s="19"/>
      <c r="C1659" s="20"/>
    </row>
    <row r="1660" ht="45.0" customHeight="1">
      <c r="A1660" s="43"/>
      <c r="B1660" s="19"/>
      <c r="C1660" s="20"/>
    </row>
    <row r="1661" ht="45.0" customHeight="1">
      <c r="A1661" s="43"/>
      <c r="B1661" s="19"/>
      <c r="C1661" s="20"/>
    </row>
    <row r="1662" ht="45.0" customHeight="1">
      <c r="A1662" s="43"/>
      <c r="B1662" s="19"/>
      <c r="C1662" s="20"/>
    </row>
    <row r="1663" ht="45.0" customHeight="1">
      <c r="A1663" s="43"/>
      <c r="B1663" s="19"/>
      <c r="C1663" s="20"/>
    </row>
    <row r="1664" ht="45.0" customHeight="1">
      <c r="A1664" s="43"/>
      <c r="B1664" s="19"/>
      <c r="C1664" s="20"/>
    </row>
    <row r="1665" ht="45.0" customHeight="1">
      <c r="A1665" s="43"/>
      <c r="B1665" s="19"/>
      <c r="C1665" s="20"/>
    </row>
    <row r="1666" ht="45.0" customHeight="1">
      <c r="A1666" s="43"/>
      <c r="B1666" s="19"/>
      <c r="C1666" s="20"/>
    </row>
    <row r="1667" ht="45.0" customHeight="1">
      <c r="A1667" s="43"/>
      <c r="B1667" s="19"/>
      <c r="C1667" s="20"/>
    </row>
    <row r="1668" ht="45.0" customHeight="1">
      <c r="A1668" s="43"/>
      <c r="B1668" s="19"/>
      <c r="C1668" s="20"/>
    </row>
    <row r="1669" ht="45.0" customHeight="1">
      <c r="A1669" s="43"/>
      <c r="B1669" s="19"/>
      <c r="C1669" s="20"/>
    </row>
    <row r="1670" ht="45.0" customHeight="1">
      <c r="A1670" s="43"/>
      <c r="B1670" s="19"/>
      <c r="C1670" s="20"/>
    </row>
    <row r="1671" ht="45.0" customHeight="1">
      <c r="A1671" s="43"/>
      <c r="B1671" s="19"/>
      <c r="C1671" s="20"/>
    </row>
    <row r="1672" ht="45.0" customHeight="1">
      <c r="A1672" s="43"/>
      <c r="B1672" s="19"/>
      <c r="C1672" s="20"/>
    </row>
    <row r="1673" ht="45.0" customHeight="1">
      <c r="A1673" s="43"/>
      <c r="B1673" s="19"/>
      <c r="C1673" s="20"/>
    </row>
    <row r="1674" ht="45.0" customHeight="1">
      <c r="A1674" s="43"/>
      <c r="B1674" s="19"/>
      <c r="C1674" s="20"/>
    </row>
    <row r="1675" ht="45.0" customHeight="1">
      <c r="A1675" s="43"/>
      <c r="B1675" s="19"/>
      <c r="C1675" s="20"/>
    </row>
    <row r="1676" ht="45.0" customHeight="1">
      <c r="A1676" s="43"/>
      <c r="B1676" s="19"/>
      <c r="C1676" s="20"/>
    </row>
    <row r="1677" ht="45.0" customHeight="1">
      <c r="A1677" s="43"/>
      <c r="B1677" s="19"/>
      <c r="C1677" s="20"/>
    </row>
    <row r="1678" ht="45.0" customHeight="1">
      <c r="A1678" s="43"/>
      <c r="B1678" s="19"/>
      <c r="C1678" s="20"/>
    </row>
    <row r="1679" ht="45.0" customHeight="1">
      <c r="A1679" s="43"/>
      <c r="B1679" s="19"/>
      <c r="C1679" s="20"/>
    </row>
    <row r="1680" ht="45.0" customHeight="1">
      <c r="A1680" s="43"/>
      <c r="B1680" s="19"/>
      <c r="C1680" s="20"/>
    </row>
    <row r="1681" ht="45.0" customHeight="1">
      <c r="A1681" s="43"/>
      <c r="B1681" s="19"/>
      <c r="C1681" s="20"/>
    </row>
    <row r="1682" ht="45.0" customHeight="1">
      <c r="A1682" s="43"/>
      <c r="B1682" s="19"/>
      <c r="C1682" s="20"/>
    </row>
    <row r="1683" ht="45.0" customHeight="1">
      <c r="A1683" s="43"/>
      <c r="B1683" s="19"/>
      <c r="C1683" s="20"/>
    </row>
    <row r="1684" ht="45.0" customHeight="1">
      <c r="A1684" s="43"/>
      <c r="B1684" s="19"/>
      <c r="C1684" s="20"/>
    </row>
    <row r="1685" ht="45.0" customHeight="1">
      <c r="A1685" s="43"/>
      <c r="B1685" s="19"/>
      <c r="C1685" s="20"/>
    </row>
    <row r="1686" ht="45.0" customHeight="1">
      <c r="A1686" s="43"/>
      <c r="B1686" s="19"/>
      <c r="C1686" s="20"/>
    </row>
    <row r="1687" ht="45.0" customHeight="1">
      <c r="A1687" s="43"/>
      <c r="B1687" s="19"/>
      <c r="C1687" s="20"/>
    </row>
    <row r="1688" ht="45.0" customHeight="1">
      <c r="A1688" s="43"/>
      <c r="B1688" s="19"/>
      <c r="C1688" s="20"/>
    </row>
    <row r="1689" ht="45.0" customHeight="1">
      <c r="A1689" s="43"/>
      <c r="B1689" s="19"/>
      <c r="C1689" s="20"/>
    </row>
    <row r="1690" ht="45.0" customHeight="1">
      <c r="A1690" s="43"/>
      <c r="B1690" s="19"/>
      <c r="C1690" s="20"/>
    </row>
    <row r="1691" ht="45.0" customHeight="1">
      <c r="A1691" s="43"/>
      <c r="B1691" s="19"/>
      <c r="C1691" s="20"/>
    </row>
    <row r="1692" ht="45.0" customHeight="1">
      <c r="A1692" s="43"/>
      <c r="B1692" s="19"/>
      <c r="C1692" s="20"/>
    </row>
    <row r="1693" ht="45.0" customHeight="1">
      <c r="A1693" s="43"/>
      <c r="B1693" s="19"/>
      <c r="C1693" s="20"/>
    </row>
    <row r="1694" ht="45.0" customHeight="1">
      <c r="A1694" s="43"/>
      <c r="B1694" s="19"/>
      <c r="C1694" s="20"/>
    </row>
    <row r="1695" ht="45.0" customHeight="1">
      <c r="A1695" s="43"/>
      <c r="B1695" s="19"/>
      <c r="C1695" s="20"/>
    </row>
    <row r="1696" ht="45.0" customHeight="1">
      <c r="A1696" s="43"/>
      <c r="B1696" s="19"/>
      <c r="C1696" s="20"/>
    </row>
    <row r="1697" ht="45.0" customHeight="1">
      <c r="A1697" s="43"/>
      <c r="B1697" s="19"/>
      <c r="C1697" s="20"/>
    </row>
    <row r="1698" ht="45.0" customHeight="1">
      <c r="A1698" s="43"/>
      <c r="B1698" s="19"/>
      <c r="C1698" s="20"/>
    </row>
    <row r="1699" ht="45.0" customHeight="1">
      <c r="A1699" s="43"/>
      <c r="B1699" s="19"/>
      <c r="C1699" s="20"/>
    </row>
    <row r="1700" ht="45.0" customHeight="1">
      <c r="A1700" s="43"/>
      <c r="B1700" s="19"/>
      <c r="C1700" s="20"/>
    </row>
    <row r="1701" ht="45.0" customHeight="1">
      <c r="A1701" s="43"/>
      <c r="B1701" s="19"/>
      <c r="C1701" s="20"/>
    </row>
    <row r="1702" ht="45.0" customHeight="1">
      <c r="A1702" s="43"/>
      <c r="B1702" s="19"/>
      <c r="C1702" s="20"/>
    </row>
    <row r="1703" ht="45.0" customHeight="1">
      <c r="A1703" s="43"/>
      <c r="B1703" s="19"/>
      <c r="C1703" s="20"/>
    </row>
    <row r="1704" ht="45.0" customHeight="1">
      <c r="A1704" s="43"/>
      <c r="B1704" s="19"/>
      <c r="C1704" s="20"/>
    </row>
    <row r="1705" ht="45.0" customHeight="1">
      <c r="A1705" s="43"/>
      <c r="B1705" s="19"/>
      <c r="C1705" s="20"/>
    </row>
    <row r="1706" ht="45.0" customHeight="1">
      <c r="A1706" s="43"/>
      <c r="B1706" s="19"/>
      <c r="C1706" s="20"/>
    </row>
    <row r="1707" ht="45.0" customHeight="1">
      <c r="A1707" s="43"/>
      <c r="B1707" s="19"/>
      <c r="C1707" s="20"/>
    </row>
    <row r="1708" ht="45.0" customHeight="1">
      <c r="A1708" s="43"/>
      <c r="B1708" s="19"/>
      <c r="C1708" s="20"/>
    </row>
    <row r="1709" ht="45.0" customHeight="1">
      <c r="A1709" s="43"/>
      <c r="B1709" s="19"/>
      <c r="C1709" s="20"/>
    </row>
    <row r="1710" ht="45.0" customHeight="1">
      <c r="A1710" s="43"/>
      <c r="B1710" s="19"/>
      <c r="C1710" s="20"/>
    </row>
    <row r="1711" ht="45.0" customHeight="1">
      <c r="A1711" s="43"/>
      <c r="B1711" s="19"/>
      <c r="C1711" s="20"/>
    </row>
    <row r="1712" ht="45.0" customHeight="1">
      <c r="A1712" s="43"/>
      <c r="B1712" s="19"/>
      <c r="C1712" s="20"/>
    </row>
    <row r="1713" ht="45.0" customHeight="1">
      <c r="A1713" s="43"/>
      <c r="B1713" s="19"/>
      <c r="C1713" s="20"/>
    </row>
    <row r="1714" ht="45.0" customHeight="1">
      <c r="A1714" s="43"/>
      <c r="B1714" s="19"/>
      <c r="C1714" s="20"/>
    </row>
    <row r="1715" ht="45.0" customHeight="1">
      <c r="A1715" s="43"/>
      <c r="B1715" s="19"/>
      <c r="C1715" s="20"/>
    </row>
    <row r="1716" ht="45.0" customHeight="1">
      <c r="A1716" s="43"/>
      <c r="B1716" s="19"/>
      <c r="C1716" s="20"/>
    </row>
    <row r="1717" ht="45.0" customHeight="1">
      <c r="A1717" s="43"/>
      <c r="B1717" s="19"/>
      <c r="C1717" s="20"/>
    </row>
    <row r="1718" ht="45.0" customHeight="1">
      <c r="A1718" s="43"/>
      <c r="B1718" s="19"/>
      <c r="C1718" s="20"/>
    </row>
    <row r="1719" ht="45.0" customHeight="1">
      <c r="A1719" s="43"/>
      <c r="B1719" s="19"/>
      <c r="C1719" s="20"/>
    </row>
    <row r="1720" ht="45.0" customHeight="1">
      <c r="A1720" s="43"/>
      <c r="B1720" s="19"/>
      <c r="C1720" s="20"/>
    </row>
    <row r="1721" ht="45.0" customHeight="1">
      <c r="A1721" s="43"/>
      <c r="B1721" s="19"/>
      <c r="C1721" s="20"/>
    </row>
    <row r="1722" ht="45.0" customHeight="1">
      <c r="A1722" s="43"/>
      <c r="B1722" s="19"/>
      <c r="C1722" s="20"/>
    </row>
    <row r="1723" ht="45.0" customHeight="1">
      <c r="A1723" s="43"/>
      <c r="B1723" s="19"/>
      <c r="C1723" s="20"/>
    </row>
    <row r="1724" ht="45.0" customHeight="1">
      <c r="A1724" s="43"/>
      <c r="B1724" s="19"/>
      <c r="C1724" s="20"/>
    </row>
    <row r="1725" ht="45.0" customHeight="1">
      <c r="A1725" s="43"/>
      <c r="B1725" s="19"/>
      <c r="C1725" s="20"/>
    </row>
    <row r="1726" ht="45.0" customHeight="1">
      <c r="A1726" s="43"/>
      <c r="B1726" s="19"/>
      <c r="C1726" s="20"/>
    </row>
    <row r="1727" ht="45.0" customHeight="1">
      <c r="A1727" s="43"/>
      <c r="B1727" s="19"/>
      <c r="C1727" s="20"/>
    </row>
    <row r="1728" ht="45.0" customHeight="1">
      <c r="A1728" s="43"/>
      <c r="B1728" s="19"/>
      <c r="C1728" s="20"/>
    </row>
    <row r="1729" ht="45.0" customHeight="1">
      <c r="A1729" s="43"/>
      <c r="B1729" s="19"/>
      <c r="C1729" s="20"/>
    </row>
    <row r="1730" ht="45.0" customHeight="1">
      <c r="A1730" s="43"/>
      <c r="B1730" s="19"/>
      <c r="C1730" s="20"/>
    </row>
    <row r="1731" ht="45.0" customHeight="1">
      <c r="A1731" s="43"/>
      <c r="B1731" s="19"/>
      <c r="C1731" s="20"/>
    </row>
    <row r="1732" ht="45.0" customHeight="1">
      <c r="A1732" s="43"/>
      <c r="B1732" s="19"/>
      <c r="C1732" s="20"/>
    </row>
    <row r="1733" ht="45.0" customHeight="1">
      <c r="A1733" s="43"/>
      <c r="B1733" s="19"/>
      <c r="C1733" s="20"/>
    </row>
    <row r="1734" ht="45.0" customHeight="1">
      <c r="A1734" s="43"/>
      <c r="B1734" s="19"/>
      <c r="C1734" s="20"/>
    </row>
    <row r="1735" ht="45.0" customHeight="1">
      <c r="A1735" s="43"/>
      <c r="B1735" s="19"/>
      <c r="C1735" s="20"/>
    </row>
    <row r="1736" ht="45.0" customHeight="1">
      <c r="A1736" s="43"/>
      <c r="B1736" s="19"/>
      <c r="C1736" s="20"/>
    </row>
    <row r="1737" ht="45.0" customHeight="1">
      <c r="A1737" s="43"/>
      <c r="B1737" s="19"/>
      <c r="C1737" s="20"/>
    </row>
    <row r="1738" ht="45.0" customHeight="1">
      <c r="A1738" s="43"/>
      <c r="B1738" s="19"/>
      <c r="C1738" s="20"/>
    </row>
    <row r="1739" ht="45.0" customHeight="1">
      <c r="A1739" s="43"/>
      <c r="B1739" s="19"/>
      <c r="C1739" s="20"/>
    </row>
    <row r="1740" ht="45.0" customHeight="1">
      <c r="A1740" s="43"/>
      <c r="B1740" s="19"/>
      <c r="C1740" s="20"/>
    </row>
    <row r="1741" ht="45.0" customHeight="1">
      <c r="A1741" s="43"/>
      <c r="B1741" s="19"/>
      <c r="C1741" s="20"/>
    </row>
    <row r="1742" ht="45.0" customHeight="1">
      <c r="A1742" s="43"/>
      <c r="B1742" s="19"/>
      <c r="C1742" s="20"/>
    </row>
    <row r="1743" ht="45.0" customHeight="1">
      <c r="A1743" s="43"/>
      <c r="B1743" s="19"/>
      <c r="C1743" s="20"/>
    </row>
    <row r="1744" ht="45.0" customHeight="1">
      <c r="A1744" s="43"/>
      <c r="B1744" s="19"/>
      <c r="C1744" s="20"/>
    </row>
    <row r="1745" ht="45.0" customHeight="1">
      <c r="A1745" s="43"/>
      <c r="B1745" s="19"/>
      <c r="C1745" s="20"/>
    </row>
    <row r="1746" ht="45.0" customHeight="1">
      <c r="A1746" s="43"/>
      <c r="B1746" s="19"/>
      <c r="C1746" s="20"/>
    </row>
    <row r="1747" ht="45.0" customHeight="1">
      <c r="A1747" s="43"/>
      <c r="B1747" s="19"/>
      <c r="C1747" s="20"/>
    </row>
    <row r="1748" ht="45.0" customHeight="1">
      <c r="A1748" s="43"/>
      <c r="B1748" s="19"/>
      <c r="C1748" s="20"/>
    </row>
    <row r="1749" ht="45.0" customHeight="1">
      <c r="A1749" s="43"/>
      <c r="B1749" s="19"/>
      <c r="C1749" s="20"/>
    </row>
    <row r="1750" ht="45.0" customHeight="1">
      <c r="A1750" s="43"/>
      <c r="B1750" s="19"/>
      <c r="C1750" s="20"/>
    </row>
    <row r="1751" ht="45.0" customHeight="1">
      <c r="A1751" s="43"/>
      <c r="B1751" s="19"/>
      <c r="C1751" s="20"/>
    </row>
    <row r="1752" ht="45.0" customHeight="1">
      <c r="A1752" s="43"/>
      <c r="B1752" s="19"/>
      <c r="C1752" s="20"/>
    </row>
    <row r="1753" ht="45.0" customHeight="1">
      <c r="A1753" s="43"/>
      <c r="B1753" s="19"/>
      <c r="C1753" s="20"/>
    </row>
    <row r="1754" ht="45.0" customHeight="1">
      <c r="A1754" s="43"/>
      <c r="B1754" s="19"/>
      <c r="C1754" s="20"/>
    </row>
    <row r="1755" ht="45.0" customHeight="1">
      <c r="A1755" s="43"/>
      <c r="B1755" s="19"/>
      <c r="C1755" s="20"/>
    </row>
    <row r="1756" ht="45.0" customHeight="1">
      <c r="A1756" s="43"/>
      <c r="B1756" s="19"/>
      <c r="C1756" s="20"/>
    </row>
    <row r="1757" ht="45.0" customHeight="1">
      <c r="A1757" s="43"/>
      <c r="B1757" s="19"/>
      <c r="C1757" s="20"/>
    </row>
    <row r="1758" ht="45.0" customHeight="1">
      <c r="A1758" s="43"/>
      <c r="B1758" s="19"/>
      <c r="C1758" s="20"/>
    </row>
    <row r="1759" ht="45.0" customHeight="1">
      <c r="A1759" s="43"/>
      <c r="B1759" s="19"/>
      <c r="C1759" s="20"/>
    </row>
    <row r="1760" ht="45.0" customHeight="1">
      <c r="A1760" s="43"/>
      <c r="B1760" s="19"/>
      <c r="C1760" s="20"/>
    </row>
    <row r="1761" ht="45.0" customHeight="1">
      <c r="A1761" s="43"/>
      <c r="B1761" s="19"/>
      <c r="C1761" s="20"/>
    </row>
    <row r="1762" ht="45.0" customHeight="1">
      <c r="A1762" s="43"/>
      <c r="B1762" s="19"/>
      <c r="C1762" s="20"/>
    </row>
    <row r="1763" ht="45.0" customHeight="1">
      <c r="A1763" s="43"/>
      <c r="B1763" s="19"/>
      <c r="C1763" s="20"/>
    </row>
    <row r="1764" ht="45.0" customHeight="1">
      <c r="A1764" s="43"/>
      <c r="B1764" s="19"/>
      <c r="C1764" s="20"/>
    </row>
    <row r="1765" ht="45.0" customHeight="1">
      <c r="A1765" s="43"/>
      <c r="B1765" s="19"/>
      <c r="C1765" s="20"/>
    </row>
    <row r="1766" ht="45.0" customHeight="1">
      <c r="A1766" s="43"/>
      <c r="B1766" s="19"/>
      <c r="C1766" s="20"/>
    </row>
    <row r="1767" ht="45.0" customHeight="1">
      <c r="A1767" s="43"/>
      <c r="B1767" s="19"/>
      <c r="C1767" s="20"/>
    </row>
    <row r="1768" ht="45.0" customHeight="1">
      <c r="A1768" s="43"/>
      <c r="B1768" s="19"/>
      <c r="C1768" s="20"/>
    </row>
    <row r="1769" ht="45.0" customHeight="1">
      <c r="A1769" s="43"/>
      <c r="B1769" s="19"/>
      <c r="C1769" s="20"/>
    </row>
    <row r="1770" ht="45.0" customHeight="1">
      <c r="A1770" s="43"/>
      <c r="B1770" s="19"/>
      <c r="C1770" s="20"/>
    </row>
    <row r="1771" ht="45.0" customHeight="1">
      <c r="A1771" s="43"/>
      <c r="B1771" s="19"/>
      <c r="C1771" s="20"/>
    </row>
    <row r="1772" ht="45.0" customHeight="1">
      <c r="A1772" s="43"/>
      <c r="B1772" s="19"/>
      <c r="C1772" s="20"/>
    </row>
    <row r="1773" ht="45.0" customHeight="1">
      <c r="A1773" s="43"/>
      <c r="B1773" s="19"/>
      <c r="C1773" s="20"/>
    </row>
    <row r="1774" ht="45.0" customHeight="1">
      <c r="A1774" s="43"/>
      <c r="B1774" s="19"/>
      <c r="C1774" s="20"/>
    </row>
    <row r="1775" ht="45.0" customHeight="1">
      <c r="A1775" s="43"/>
      <c r="B1775" s="19"/>
      <c r="C1775" s="20"/>
    </row>
    <row r="1776" ht="45.0" customHeight="1">
      <c r="A1776" s="43"/>
      <c r="B1776" s="19"/>
      <c r="C1776" s="20"/>
    </row>
    <row r="1777" ht="45.0" customHeight="1">
      <c r="A1777" s="43"/>
      <c r="B1777" s="19"/>
      <c r="C1777" s="20"/>
    </row>
    <row r="1778" ht="45.0" customHeight="1">
      <c r="A1778" s="43"/>
      <c r="B1778" s="19"/>
      <c r="C1778" s="20"/>
    </row>
    <row r="1779" ht="45.0" customHeight="1">
      <c r="A1779" s="43"/>
      <c r="B1779" s="19"/>
      <c r="C1779" s="20"/>
    </row>
    <row r="1780" ht="45.0" customHeight="1">
      <c r="A1780" s="43"/>
      <c r="B1780" s="19"/>
      <c r="C1780" s="20"/>
    </row>
    <row r="1781" ht="45.0" customHeight="1">
      <c r="A1781" s="43"/>
      <c r="B1781" s="19"/>
      <c r="C1781" s="20"/>
    </row>
    <row r="1782" ht="45.0" customHeight="1">
      <c r="A1782" s="43"/>
      <c r="B1782" s="19"/>
      <c r="C1782" s="20"/>
    </row>
    <row r="1783" ht="45.0" customHeight="1">
      <c r="A1783" s="43"/>
      <c r="B1783" s="19"/>
      <c r="C1783" s="20"/>
    </row>
    <row r="1784" ht="45.0" customHeight="1">
      <c r="A1784" s="43"/>
      <c r="B1784" s="19"/>
      <c r="C1784" s="20"/>
    </row>
    <row r="1785" ht="45.0" customHeight="1">
      <c r="A1785" s="43"/>
      <c r="B1785" s="19"/>
      <c r="C1785" s="20"/>
    </row>
    <row r="1786" ht="45.0" customHeight="1">
      <c r="A1786" s="43"/>
      <c r="B1786" s="19"/>
      <c r="C1786" s="20"/>
    </row>
    <row r="1787" ht="45.0" customHeight="1">
      <c r="A1787" s="43"/>
      <c r="B1787" s="19"/>
      <c r="C1787" s="20"/>
    </row>
    <row r="1788" ht="45.0" customHeight="1">
      <c r="A1788" s="43"/>
      <c r="B1788" s="19"/>
      <c r="C1788" s="20"/>
    </row>
    <row r="1789" ht="45.0" customHeight="1">
      <c r="A1789" s="43"/>
      <c r="B1789" s="19"/>
      <c r="C1789" s="20"/>
    </row>
    <row r="1790" ht="45.0" customHeight="1">
      <c r="A1790" s="43"/>
      <c r="B1790" s="19"/>
      <c r="C1790" s="20"/>
    </row>
    <row r="1791" ht="45.0" customHeight="1">
      <c r="A1791" s="43"/>
      <c r="B1791" s="19"/>
      <c r="C1791" s="20"/>
    </row>
    <row r="1792" ht="45.0" customHeight="1">
      <c r="A1792" s="43"/>
      <c r="B1792" s="19"/>
      <c r="C1792" s="20"/>
    </row>
    <row r="1793" ht="45.0" customHeight="1">
      <c r="A1793" s="43"/>
      <c r="B1793" s="19"/>
      <c r="C1793" s="20"/>
    </row>
    <row r="1794" ht="45.0" customHeight="1">
      <c r="A1794" s="43"/>
      <c r="B1794" s="19"/>
      <c r="C1794" s="20"/>
    </row>
    <row r="1795" ht="45.0" customHeight="1">
      <c r="A1795" s="43"/>
      <c r="B1795" s="19"/>
      <c r="C1795" s="20"/>
    </row>
    <row r="1796" ht="45.0" customHeight="1">
      <c r="A1796" s="43"/>
      <c r="B1796" s="19"/>
      <c r="C1796" s="20"/>
    </row>
    <row r="1797" ht="45.0" customHeight="1">
      <c r="A1797" s="43"/>
      <c r="B1797" s="19"/>
      <c r="C1797" s="20"/>
    </row>
    <row r="1798" ht="45.0" customHeight="1">
      <c r="A1798" s="43"/>
      <c r="B1798" s="19"/>
      <c r="C1798" s="20"/>
    </row>
    <row r="1799" ht="45.0" customHeight="1">
      <c r="A1799" s="43"/>
      <c r="B1799" s="19"/>
      <c r="C1799" s="20"/>
    </row>
    <row r="1800" ht="45.0" customHeight="1">
      <c r="A1800" s="43"/>
      <c r="B1800" s="19"/>
      <c r="C1800" s="20"/>
    </row>
    <row r="1801" ht="45.0" customHeight="1">
      <c r="A1801" s="43"/>
      <c r="B1801" s="19"/>
      <c r="C1801" s="20"/>
    </row>
    <row r="1802" ht="45.0" customHeight="1">
      <c r="A1802" s="43"/>
      <c r="B1802" s="19"/>
      <c r="C1802" s="20"/>
    </row>
    <row r="1803" ht="45.0" customHeight="1">
      <c r="A1803" s="43"/>
      <c r="B1803" s="19"/>
      <c r="C1803" s="20"/>
    </row>
    <row r="1804" ht="45.0" customHeight="1">
      <c r="A1804" s="43"/>
      <c r="B1804" s="19"/>
      <c r="C1804" s="20"/>
    </row>
    <row r="1805" ht="45.0" customHeight="1">
      <c r="A1805" s="43"/>
      <c r="B1805" s="19"/>
      <c r="C1805" s="20"/>
    </row>
    <row r="1806" ht="45.0" customHeight="1">
      <c r="A1806" s="43"/>
      <c r="B1806" s="19"/>
      <c r="C1806" s="20"/>
    </row>
    <row r="1807" ht="45.0" customHeight="1">
      <c r="A1807" s="43"/>
      <c r="B1807" s="19"/>
      <c r="C1807" s="20"/>
    </row>
    <row r="1808" ht="45.0" customHeight="1">
      <c r="A1808" s="43"/>
      <c r="B1808" s="19"/>
      <c r="C1808" s="20"/>
    </row>
    <row r="1809" ht="45.0" customHeight="1">
      <c r="A1809" s="43"/>
      <c r="B1809" s="19"/>
      <c r="C1809" s="20"/>
    </row>
    <row r="1810" ht="45.0" customHeight="1">
      <c r="A1810" s="43"/>
      <c r="B1810" s="19"/>
      <c r="C1810" s="20"/>
    </row>
    <row r="1811" ht="45.0" customHeight="1">
      <c r="A1811" s="43"/>
      <c r="B1811" s="19"/>
      <c r="C1811" s="20"/>
    </row>
    <row r="1812" ht="45.0" customHeight="1">
      <c r="A1812" s="43"/>
      <c r="B1812" s="19"/>
      <c r="C1812" s="20"/>
    </row>
    <row r="1813" ht="45.0" customHeight="1">
      <c r="A1813" s="43"/>
      <c r="B1813" s="19"/>
      <c r="C1813" s="20"/>
    </row>
    <row r="1814" ht="45.0" customHeight="1">
      <c r="A1814" s="43"/>
      <c r="B1814" s="19"/>
      <c r="C1814" s="20"/>
    </row>
    <row r="1815" ht="45.0" customHeight="1">
      <c r="A1815" s="43"/>
      <c r="B1815" s="19"/>
      <c r="C1815" s="20"/>
    </row>
    <row r="1816" ht="45.0" customHeight="1">
      <c r="A1816" s="43"/>
      <c r="B1816" s="19"/>
      <c r="C1816" s="20"/>
    </row>
    <row r="1817" ht="45.0" customHeight="1">
      <c r="A1817" s="43"/>
      <c r="B1817" s="19"/>
      <c r="C1817" s="20"/>
    </row>
    <row r="1818" ht="45.0" customHeight="1">
      <c r="A1818" s="43"/>
      <c r="B1818" s="19"/>
      <c r="C1818" s="20"/>
    </row>
    <row r="1819" ht="45.0" customHeight="1">
      <c r="A1819" s="43"/>
      <c r="B1819" s="19"/>
      <c r="C1819" s="20"/>
    </row>
    <row r="1820" ht="45.0" customHeight="1">
      <c r="A1820" s="43"/>
      <c r="B1820" s="19"/>
      <c r="C1820" s="20"/>
    </row>
    <row r="1821" ht="45.0" customHeight="1">
      <c r="A1821" s="43"/>
      <c r="B1821" s="19"/>
      <c r="C1821" s="20"/>
    </row>
    <row r="1822" ht="45.0" customHeight="1">
      <c r="A1822" s="43"/>
      <c r="B1822" s="19"/>
      <c r="C1822" s="20"/>
    </row>
    <row r="1823" ht="45.0" customHeight="1">
      <c r="A1823" s="43"/>
      <c r="B1823" s="19"/>
      <c r="C1823" s="20"/>
    </row>
    <row r="1824" ht="45.0" customHeight="1">
      <c r="A1824" s="43"/>
      <c r="B1824" s="19"/>
      <c r="C1824" s="20"/>
    </row>
    <row r="1825" ht="45.0" customHeight="1">
      <c r="A1825" s="43"/>
      <c r="B1825" s="19"/>
      <c r="C1825" s="20"/>
    </row>
    <row r="1826" ht="45.0" customHeight="1">
      <c r="A1826" s="43"/>
      <c r="B1826" s="19"/>
      <c r="C1826" s="20"/>
    </row>
    <row r="1827" ht="45.0" customHeight="1">
      <c r="A1827" s="43"/>
      <c r="B1827" s="19"/>
      <c r="C1827" s="20"/>
    </row>
    <row r="1828" ht="45.0" customHeight="1">
      <c r="A1828" s="43"/>
      <c r="B1828" s="19"/>
      <c r="C1828" s="20"/>
    </row>
    <row r="1829" ht="45.0" customHeight="1">
      <c r="A1829" s="43"/>
      <c r="B1829" s="19"/>
      <c r="C1829" s="20"/>
    </row>
    <row r="1830" ht="45.0" customHeight="1">
      <c r="A1830" s="43"/>
      <c r="B1830" s="19"/>
      <c r="C1830" s="20"/>
    </row>
    <row r="1831" ht="45.0" customHeight="1">
      <c r="A1831" s="43"/>
      <c r="B1831" s="19"/>
      <c r="C1831" s="20"/>
    </row>
    <row r="1832" ht="45.0" customHeight="1">
      <c r="A1832" s="43"/>
      <c r="B1832" s="19"/>
      <c r="C1832" s="20"/>
    </row>
    <row r="1833" ht="45.0" customHeight="1">
      <c r="A1833" s="43"/>
      <c r="B1833" s="19"/>
      <c r="C1833" s="20"/>
    </row>
    <row r="1834" ht="45.0" customHeight="1">
      <c r="A1834" s="43"/>
      <c r="B1834" s="19"/>
      <c r="C1834" s="20"/>
    </row>
    <row r="1835" ht="45.0" customHeight="1">
      <c r="A1835" s="43"/>
      <c r="B1835" s="19"/>
      <c r="C1835" s="20"/>
    </row>
    <row r="1836" ht="45.0" customHeight="1">
      <c r="A1836" s="43"/>
      <c r="B1836" s="19"/>
      <c r="C1836" s="20"/>
    </row>
    <row r="1837" ht="45.0" customHeight="1">
      <c r="A1837" s="43"/>
      <c r="B1837" s="19"/>
      <c r="C1837" s="20"/>
    </row>
    <row r="1838" ht="45.0" customHeight="1">
      <c r="A1838" s="43"/>
      <c r="B1838" s="19"/>
      <c r="C1838" s="20"/>
    </row>
    <row r="1839" ht="45.0" customHeight="1">
      <c r="A1839" s="43"/>
      <c r="B1839" s="19"/>
      <c r="C1839" s="20"/>
    </row>
    <row r="1840" ht="45.0" customHeight="1">
      <c r="A1840" s="43"/>
      <c r="B1840" s="19"/>
      <c r="C1840" s="20"/>
    </row>
    <row r="1841" ht="45.0" customHeight="1">
      <c r="A1841" s="43"/>
      <c r="B1841" s="19"/>
      <c r="C1841" s="20"/>
    </row>
    <row r="1842" ht="45.0" customHeight="1">
      <c r="A1842" s="43"/>
      <c r="B1842" s="19"/>
      <c r="C1842" s="20"/>
    </row>
    <row r="1843" ht="45.0" customHeight="1">
      <c r="A1843" s="43"/>
      <c r="B1843" s="19"/>
      <c r="C1843" s="20"/>
    </row>
    <row r="1844" ht="45.0" customHeight="1">
      <c r="A1844" s="43"/>
      <c r="B1844" s="19"/>
      <c r="C1844" s="20"/>
    </row>
    <row r="1845" ht="45.0" customHeight="1">
      <c r="A1845" s="43"/>
      <c r="B1845" s="19"/>
      <c r="C1845" s="20"/>
    </row>
    <row r="1846" ht="45.0" customHeight="1">
      <c r="A1846" s="43"/>
      <c r="B1846" s="19"/>
      <c r="C1846" s="20"/>
    </row>
    <row r="1847" ht="45.0" customHeight="1">
      <c r="A1847" s="43"/>
      <c r="B1847" s="19"/>
      <c r="C1847" s="20"/>
    </row>
    <row r="1848" ht="45.0" customHeight="1">
      <c r="A1848" s="43"/>
      <c r="B1848" s="19"/>
      <c r="C1848" s="20"/>
    </row>
    <row r="1849" ht="45.0" customHeight="1">
      <c r="A1849" s="43"/>
      <c r="B1849" s="19"/>
      <c r="C1849" s="20"/>
    </row>
    <row r="1850" ht="45.0" customHeight="1">
      <c r="A1850" s="43"/>
      <c r="B1850" s="19"/>
      <c r="C1850" s="20"/>
    </row>
    <row r="1851" ht="45.0" customHeight="1">
      <c r="A1851" s="43"/>
      <c r="B1851" s="19"/>
      <c r="C1851" s="20"/>
    </row>
    <row r="1852" ht="45.0" customHeight="1">
      <c r="A1852" s="43"/>
      <c r="B1852" s="19"/>
      <c r="C1852" s="20"/>
    </row>
    <row r="1853" ht="45.0" customHeight="1">
      <c r="A1853" s="43"/>
      <c r="B1853" s="19"/>
      <c r="C1853" s="20"/>
    </row>
    <row r="1854" ht="45.0" customHeight="1">
      <c r="A1854" s="43"/>
      <c r="B1854" s="19"/>
      <c r="C1854" s="20"/>
    </row>
    <row r="1855" ht="45.0" customHeight="1">
      <c r="A1855" s="43"/>
      <c r="B1855" s="19"/>
      <c r="C1855" s="20"/>
    </row>
    <row r="1856" ht="45.0" customHeight="1">
      <c r="A1856" s="43"/>
      <c r="B1856" s="19"/>
      <c r="C1856" s="20"/>
    </row>
    <row r="1857" ht="45.0" customHeight="1">
      <c r="A1857" s="43"/>
      <c r="B1857" s="19"/>
      <c r="C1857" s="20"/>
    </row>
    <row r="1858" ht="45.0" customHeight="1">
      <c r="A1858" s="43"/>
      <c r="B1858" s="19"/>
      <c r="C1858" s="20"/>
    </row>
    <row r="1859" ht="45.0" customHeight="1">
      <c r="A1859" s="43"/>
      <c r="B1859" s="19"/>
      <c r="C1859" s="20"/>
    </row>
    <row r="1860" ht="45.0" customHeight="1">
      <c r="A1860" s="43"/>
      <c r="B1860" s="19"/>
      <c r="C1860" s="20"/>
    </row>
    <row r="1861" ht="45.0" customHeight="1">
      <c r="A1861" s="43"/>
      <c r="B1861" s="19"/>
      <c r="C1861" s="20"/>
    </row>
    <row r="1862" ht="45.0" customHeight="1">
      <c r="A1862" s="43"/>
      <c r="B1862" s="19"/>
      <c r="C1862" s="20"/>
    </row>
    <row r="1863" ht="45.0" customHeight="1">
      <c r="A1863" s="43"/>
      <c r="B1863" s="19"/>
      <c r="C1863" s="20"/>
    </row>
    <row r="1864" ht="45.0" customHeight="1">
      <c r="A1864" s="43"/>
      <c r="B1864" s="19"/>
      <c r="C1864" s="20"/>
    </row>
    <row r="1865" ht="45.0" customHeight="1">
      <c r="A1865" s="43"/>
      <c r="B1865" s="19"/>
      <c r="C1865" s="20"/>
    </row>
    <row r="1866" ht="45.0" customHeight="1">
      <c r="A1866" s="43"/>
      <c r="B1866" s="19"/>
      <c r="C1866" s="20"/>
    </row>
    <row r="1867" ht="45.0" customHeight="1">
      <c r="A1867" s="43"/>
      <c r="B1867" s="19"/>
      <c r="C1867" s="20"/>
    </row>
    <row r="1868" ht="45.0" customHeight="1">
      <c r="A1868" s="43"/>
      <c r="B1868" s="19"/>
      <c r="C1868" s="20"/>
    </row>
    <row r="1869" ht="45.0" customHeight="1">
      <c r="A1869" s="43"/>
      <c r="B1869" s="19"/>
      <c r="C1869" s="20"/>
    </row>
    <row r="1870" ht="45.0" customHeight="1">
      <c r="A1870" s="43"/>
      <c r="B1870" s="19"/>
      <c r="C1870" s="20"/>
    </row>
    <row r="1871" ht="45.0" customHeight="1">
      <c r="A1871" s="43"/>
      <c r="B1871" s="19"/>
      <c r="C1871" s="20"/>
    </row>
    <row r="1872" ht="45.0" customHeight="1">
      <c r="A1872" s="43"/>
      <c r="B1872" s="19"/>
      <c r="C1872" s="20"/>
    </row>
    <row r="1873" ht="45.0" customHeight="1">
      <c r="A1873" s="43"/>
      <c r="B1873" s="19"/>
      <c r="C1873" s="20"/>
    </row>
    <row r="1874" ht="45.0" customHeight="1">
      <c r="A1874" s="43"/>
      <c r="B1874" s="19"/>
      <c r="C1874" s="20"/>
    </row>
    <row r="1875" ht="45.0" customHeight="1">
      <c r="A1875" s="43"/>
      <c r="B1875" s="19"/>
      <c r="C1875" s="20"/>
    </row>
    <row r="1876" ht="45.0" customHeight="1">
      <c r="A1876" s="43"/>
      <c r="B1876" s="19"/>
      <c r="C1876" s="20"/>
    </row>
    <row r="1877" ht="45.0" customHeight="1">
      <c r="A1877" s="43"/>
      <c r="B1877" s="19"/>
      <c r="C1877" s="20"/>
    </row>
    <row r="1878" ht="45.0" customHeight="1">
      <c r="A1878" s="43"/>
      <c r="B1878" s="19"/>
      <c r="C1878" s="20"/>
    </row>
    <row r="1879" ht="45.0" customHeight="1">
      <c r="A1879" s="43"/>
      <c r="B1879" s="19"/>
      <c r="C1879" s="20"/>
    </row>
    <row r="1880" ht="45.0" customHeight="1">
      <c r="A1880" s="43"/>
      <c r="B1880" s="19"/>
      <c r="C1880" s="20"/>
    </row>
    <row r="1881" ht="45.0" customHeight="1">
      <c r="A1881" s="43"/>
      <c r="B1881" s="19"/>
      <c r="C1881" s="20"/>
    </row>
    <row r="1882" ht="45.0" customHeight="1">
      <c r="A1882" s="43"/>
      <c r="B1882" s="19"/>
      <c r="C1882" s="20"/>
    </row>
    <row r="1883" ht="45.0" customHeight="1">
      <c r="A1883" s="43"/>
      <c r="B1883" s="19"/>
      <c r="C1883" s="20"/>
    </row>
    <row r="1884" ht="45.0" customHeight="1">
      <c r="A1884" s="43"/>
      <c r="B1884" s="19"/>
      <c r="C1884" s="20"/>
    </row>
    <row r="1885" ht="45.0" customHeight="1">
      <c r="A1885" s="43"/>
      <c r="B1885" s="19"/>
      <c r="C1885" s="20"/>
    </row>
    <row r="1886" ht="45.0" customHeight="1">
      <c r="A1886" s="43"/>
      <c r="B1886" s="19"/>
      <c r="C1886" s="20"/>
    </row>
    <row r="1887" ht="45.0" customHeight="1">
      <c r="A1887" s="43"/>
      <c r="B1887" s="19"/>
      <c r="C1887" s="20"/>
    </row>
    <row r="1888" ht="45.0" customHeight="1">
      <c r="A1888" s="43"/>
      <c r="B1888" s="19"/>
      <c r="C1888" s="20"/>
    </row>
    <row r="1889" ht="45.0" customHeight="1">
      <c r="A1889" s="43"/>
      <c r="B1889" s="19"/>
      <c r="C1889" s="20"/>
    </row>
    <row r="1890" ht="45.0" customHeight="1">
      <c r="A1890" s="43"/>
      <c r="B1890" s="19"/>
      <c r="C1890" s="20"/>
    </row>
    <row r="1891" ht="45.0" customHeight="1">
      <c r="A1891" s="43"/>
      <c r="B1891" s="19"/>
      <c r="C1891" s="20"/>
    </row>
    <row r="1892" ht="45.0" customHeight="1">
      <c r="A1892" s="43"/>
      <c r="B1892" s="19"/>
      <c r="C1892" s="20"/>
    </row>
    <row r="1893" ht="45.0" customHeight="1">
      <c r="A1893" s="43"/>
      <c r="B1893" s="19"/>
      <c r="C1893" s="20"/>
    </row>
    <row r="1894" ht="45.0" customHeight="1">
      <c r="A1894" s="43"/>
      <c r="B1894" s="19"/>
      <c r="C1894" s="20"/>
    </row>
    <row r="1895" ht="45.0" customHeight="1">
      <c r="A1895" s="43"/>
      <c r="B1895" s="19"/>
      <c r="C1895" s="20"/>
    </row>
    <row r="1896" ht="45.0" customHeight="1">
      <c r="A1896" s="43"/>
      <c r="B1896" s="19"/>
      <c r="C1896" s="20"/>
    </row>
    <row r="1897" ht="45.0" customHeight="1">
      <c r="A1897" s="43"/>
      <c r="B1897" s="19"/>
      <c r="C1897" s="20"/>
    </row>
    <row r="1898" ht="45.0" customHeight="1">
      <c r="A1898" s="43"/>
      <c r="B1898" s="19"/>
      <c r="C1898" s="20"/>
    </row>
    <row r="1899" ht="45.0" customHeight="1">
      <c r="A1899" s="43"/>
      <c r="B1899" s="19"/>
      <c r="C1899" s="20"/>
    </row>
    <row r="1900" ht="45.0" customHeight="1">
      <c r="A1900" s="43"/>
      <c r="B1900" s="19"/>
      <c r="C1900" s="20"/>
    </row>
    <row r="1901" ht="45.0" customHeight="1">
      <c r="A1901" s="43"/>
      <c r="B1901" s="19"/>
      <c r="C1901" s="20"/>
    </row>
    <row r="1902" ht="45.0" customHeight="1">
      <c r="A1902" s="43"/>
      <c r="B1902" s="19"/>
      <c r="C1902" s="20"/>
    </row>
    <row r="1903" ht="45.0" customHeight="1">
      <c r="A1903" s="43"/>
      <c r="B1903" s="19"/>
      <c r="C1903" s="20"/>
    </row>
    <row r="1904" ht="45.0" customHeight="1">
      <c r="A1904" s="43"/>
      <c r="B1904" s="19"/>
      <c r="C1904" s="20"/>
    </row>
    <row r="1905" ht="45.0" customHeight="1">
      <c r="A1905" s="43"/>
      <c r="B1905" s="19"/>
      <c r="C1905" s="20"/>
    </row>
    <row r="1906" ht="45.0" customHeight="1">
      <c r="A1906" s="43"/>
      <c r="B1906" s="19"/>
      <c r="C1906" s="20"/>
    </row>
    <row r="1907" ht="45.0" customHeight="1">
      <c r="A1907" s="43"/>
      <c r="B1907" s="19"/>
      <c r="C1907" s="20"/>
    </row>
    <row r="1908" ht="45.0" customHeight="1">
      <c r="A1908" s="43"/>
      <c r="B1908" s="19"/>
      <c r="C1908" s="20"/>
    </row>
    <row r="1909" ht="45.0" customHeight="1">
      <c r="A1909" s="43"/>
      <c r="B1909" s="19"/>
      <c r="C1909" s="20"/>
    </row>
    <row r="1910" ht="45.0" customHeight="1">
      <c r="A1910" s="43"/>
      <c r="B1910" s="19"/>
      <c r="C1910" s="20"/>
    </row>
    <row r="1911" ht="45.0" customHeight="1">
      <c r="A1911" s="43"/>
      <c r="B1911" s="19"/>
      <c r="C1911" s="20"/>
    </row>
    <row r="1912" ht="45.0" customHeight="1">
      <c r="A1912" s="43"/>
      <c r="B1912" s="19"/>
      <c r="C1912" s="20"/>
    </row>
    <row r="1913" ht="45.0" customHeight="1">
      <c r="A1913" s="43"/>
      <c r="B1913" s="19"/>
      <c r="C1913" s="20"/>
    </row>
    <row r="1914" ht="45.0" customHeight="1">
      <c r="A1914" s="43"/>
      <c r="B1914" s="19"/>
      <c r="C1914" s="20"/>
    </row>
    <row r="1915" ht="45.0" customHeight="1">
      <c r="A1915" s="43"/>
      <c r="B1915" s="19"/>
      <c r="C1915" s="20"/>
    </row>
    <row r="1916" ht="45.0" customHeight="1">
      <c r="A1916" s="43"/>
      <c r="B1916" s="19"/>
      <c r="C1916" s="20"/>
    </row>
    <row r="1917" ht="45.0" customHeight="1">
      <c r="A1917" s="43"/>
      <c r="B1917" s="19"/>
      <c r="C1917" s="20"/>
    </row>
    <row r="1918" ht="45.0" customHeight="1">
      <c r="A1918" s="43"/>
      <c r="B1918" s="19"/>
      <c r="C1918" s="20"/>
    </row>
    <row r="1919" ht="45.0" customHeight="1">
      <c r="A1919" s="43"/>
      <c r="B1919" s="19"/>
      <c r="C1919" s="20"/>
    </row>
    <row r="1920" ht="45.0" customHeight="1">
      <c r="A1920" s="43"/>
      <c r="B1920" s="19"/>
      <c r="C1920" s="20"/>
    </row>
    <row r="1921" ht="45.0" customHeight="1">
      <c r="A1921" s="43"/>
      <c r="B1921" s="19"/>
      <c r="C1921" s="20"/>
    </row>
    <row r="1922" ht="45.0" customHeight="1">
      <c r="A1922" s="43"/>
      <c r="B1922" s="19"/>
      <c r="C1922" s="20"/>
    </row>
    <row r="1923" ht="45.0" customHeight="1">
      <c r="A1923" s="43"/>
      <c r="B1923" s="19"/>
      <c r="C1923" s="20"/>
    </row>
    <row r="1924" ht="45.0" customHeight="1">
      <c r="A1924" s="43"/>
      <c r="B1924" s="19"/>
      <c r="C1924" s="20"/>
    </row>
    <row r="1925" ht="45.0" customHeight="1">
      <c r="A1925" s="43"/>
      <c r="B1925" s="19"/>
      <c r="C1925" s="20"/>
    </row>
    <row r="1926" ht="45.0" customHeight="1">
      <c r="A1926" s="43"/>
      <c r="B1926" s="19"/>
      <c r="C1926" s="20"/>
    </row>
    <row r="1927" ht="45.0" customHeight="1">
      <c r="A1927" s="43"/>
      <c r="B1927" s="19"/>
      <c r="C1927" s="20"/>
    </row>
    <row r="1928" ht="45.0" customHeight="1">
      <c r="A1928" s="43"/>
      <c r="B1928" s="19"/>
      <c r="C1928" s="20"/>
    </row>
    <row r="1929" ht="45.0" customHeight="1">
      <c r="A1929" s="43"/>
      <c r="B1929" s="19"/>
      <c r="C1929" s="20"/>
    </row>
    <row r="1930" ht="45.0" customHeight="1">
      <c r="A1930" s="43"/>
      <c r="B1930" s="19"/>
      <c r="C1930" s="20"/>
    </row>
    <row r="1931" ht="45.0" customHeight="1">
      <c r="A1931" s="43"/>
      <c r="B1931" s="19"/>
      <c r="C1931" s="20"/>
    </row>
    <row r="1932" ht="45.0" customHeight="1">
      <c r="A1932" s="43"/>
      <c r="B1932" s="19"/>
      <c r="C1932" s="20"/>
    </row>
    <row r="1933" ht="45.0" customHeight="1">
      <c r="A1933" s="43"/>
      <c r="B1933" s="19"/>
      <c r="C1933" s="20"/>
    </row>
    <row r="1934" ht="45.0" customHeight="1">
      <c r="A1934" s="43"/>
      <c r="B1934" s="19"/>
      <c r="C1934" s="20"/>
    </row>
    <row r="1935" ht="45.0" customHeight="1">
      <c r="A1935" s="43"/>
      <c r="B1935" s="19"/>
      <c r="C1935" s="20"/>
    </row>
    <row r="1936" ht="45.0" customHeight="1">
      <c r="A1936" s="43"/>
      <c r="B1936" s="19"/>
      <c r="C1936" s="20"/>
    </row>
    <row r="1937" ht="45.0" customHeight="1">
      <c r="A1937" s="43"/>
      <c r="B1937" s="19"/>
      <c r="C1937" s="20"/>
    </row>
    <row r="1938" ht="45.0" customHeight="1">
      <c r="A1938" s="43"/>
      <c r="B1938" s="19"/>
      <c r="C1938" s="20"/>
    </row>
    <row r="1939" ht="45.0" customHeight="1">
      <c r="A1939" s="43"/>
      <c r="B1939" s="19"/>
      <c r="C1939" s="20"/>
    </row>
    <row r="1940" ht="45.0" customHeight="1">
      <c r="A1940" s="43"/>
      <c r="B1940" s="19"/>
      <c r="C1940" s="20"/>
    </row>
    <row r="1941" ht="45.0" customHeight="1">
      <c r="A1941" s="43"/>
      <c r="B1941" s="19"/>
      <c r="C1941" s="20"/>
    </row>
    <row r="1942" ht="45.0" customHeight="1">
      <c r="A1942" s="43"/>
      <c r="B1942" s="19"/>
      <c r="C1942" s="20"/>
    </row>
    <row r="1943" ht="45.0" customHeight="1">
      <c r="A1943" s="43"/>
      <c r="B1943" s="19"/>
      <c r="C1943" s="20"/>
    </row>
    <row r="1944" ht="45.0" customHeight="1">
      <c r="A1944" s="43"/>
      <c r="B1944" s="19"/>
      <c r="C1944" s="20"/>
    </row>
    <row r="1945" ht="45.0" customHeight="1">
      <c r="A1945" s="43"/>
      <c r="B1945" s="19"/>
      <c r="C1945" s="20"/>
    </row>
    <row r="1946" ht="45.0" customHeight="1">
      <c r="A1946" s="43"/>
      <c r="B1946" s="19"/>
      <c r="C1946" s="20"/>
    </row>
    <row r="1947" ht="45.0" customHeight="1">
      <c r="A1947" s="43"/>
      <c r="B1947" s="19"/>
      <c r="C1947" s="20"/>
    </row>
    <row r="1948" ht="45.0" customHeight="1">
      <c r="A1948" s="43"/>
      <c r="B1948" s="19"/>
      <c r="C1948" s="20"/>
    </row>
    <row r="1949" ht="45.0" customHeight="1">
      <c r="A1949" s="43"/>
      <c r="B1949" s="19"/>
      <c r="C1949" s="20"/>
    </row>
    <row r="1950" ht="45.0" customHeight="1">
      <c r="A1950" s="43"/>
      <c r="B1950" s="19"/>
      <c r="C1950" s="20"/>
    </row>
    <row r="1951" ht="45.0" customHeight="1">
      <c r="A1951" s="43"/>
      <c r="B1951" s="19"/>
      <c r="C1951" s="20"/>
    </row>
    <row r="1952" ht="45.0" customHeight="1">
      <c r="A1952" s="43"/>
      <c r="B1952" s="19"/>
      <c r="C1952" s="20"/>
    </row>
    <row r="1953" ht="45.0" customHeight="1">
      <c r="A1953" s="43"/>
      <c r="B1953" s="19"/>
      <c r="C1953" s="20"/>
    </row>
    <row r="1954" ht="45.0" customHeight="1">
      <c r="A1954" s="43"/>
      <c r="B1954" s="19"/>
      <c r="C1954" s="20"/>
    </row>
    <row r="1955" ht="45.0" customHeight="1">
      <c r="A1955" s="43"/>
      <c r="B1955" s="19"/>
      <c r="C1955" s="20"/>
    </row>
    <row r="1956" ht="45.0" customHeight="1">
      <c r="A1956" s="43"/>
      <c r="B1956" s="19"/>
      <c r="C1956" s="20"/>
    </row>
    <row r="1957" ht="45.0" customHeight="1">
      <c r="A1957" s="43"/>
      <c r="B1957" s="19"/>
      <c r="C1957" s="20"/>
    </row>
    <row r="1958" ht="45.0" customHeight="1">
      <c r="A1958" s="43"/>
      <c r="B1958" s="19"/>
      <c r="C1958" s="20"/>
    </row>
    <row r="1959" ht="45.0" customHeight="1">
      <c r="A1959" s="43"/>
      <c r="B1959" s="19"/>
      <c r="C1959" s="20"/>
    </row>
    <row r="1960" ht="45.0" customHeight="1">
      <c r="A1960" s="43"/>
      <c r="B1960" s="19"/>
      <c r="C1960" s="20"/>
    </row>
    <row r="1961" ht="45.0" customHeight="1">
      <c r="A1961" s="43"/>
      <c r="B1961" s="19"/>
      <c r="C1961" s="20"/>
    </row>
    <row r="1962" ht="45.0" customHeight="1">
      <c r="A1962" s="43"/>
      <c r="B1962" s="19"/>
      <c r="C1962" s="20"/>
    </row>
    <row r="1963" ht="45.0" customHeight="1">
      <c r="A1963" s="43"/>
      <c r="B1963" s="19"/>
      <c r="C1963" s="20"/>
    </row>
    <row r="1964" ht="45.0" customHeight="1">
      <c r="A1964" s="43"/>
      <c r="B1964" s="19"/>
      <c r="C1964" s="20"/>
    </row>
    <row r="1965" ht="45.0" customHeight="1">
      <c r="A1965" s="43"/>
      <c r="B1965" s="19"/>
      <c r="C1965" s="20"/>
    </row>
    <row r="1966" ht="45.0" customHeight="1">
      <c r="A1966" s="43"/>
      <c r="B1966" s="19"/>
      <c r="C1966" s="20"/>
    </row>
    <row r="1967" ht="45.0" customHeight="1">
      <c r="A1967" s="43"/>
      <c r="B1967" s="19"/>
      <c r="C1967" s="20"/>
    </row>
    <row r="1968" ht="45.0" customHeight="1">
      <c r="A1968" s="43"/>
      <c r="B1968" s="19"/>
      <c r="C1968" s="20"/>
    </row>
    <row r="1969" ht="45.0" customHeight="1">
      <c r="A1969" s="43"/>
      <c r="B1969" s="19"/>
      <c r="C1969" s="20"/>
    </row>
    <row r="1970" ht="45.0" customHeight="1">
      <c r="A1970" s="43"/>
      <c r="B1970" s="19"/>
      <c r="C1970" s="20"/>
    </row>
    <row r="1971" ht="45.0" customHeight="1">
      <c r="A1971" s="43"/>
      <c r="B1971" s="19"/>
      <c r="C1971" s="20"/>
    </row>
    <row r="1972" ht="45.0" customHeight="1">
      <c r="A1972" s="43"/>
      <c r="B1972" s="19"/>
      <c r="C1972" s="20"/>
    </row>
    <row r="1973" ht="45.0" customHeight="1">
      <c r="A1973" s="43"/>
      <c r="B1973" s="19"/>
      <c r="C1973" s="20"/>
    </row>
    <row r="1974" ht="45.0" customHeight="1">
      <c r="A1974" s="43"/>
      <c r="B1974" s="19"/>
      <c r="C1974" s="20"/>
    </row>
    <row r="1975" ht="45.0" customHeight="1">
      <c r="A1975" s="43"/>
      <c r="B1975" s="19"/>
      <c r="C1975" s="20"/>
    </row>
    <row r="1976" ht="45.0" customHeight="1">
      <c r="A1976" s="43"/>
      <c r="B1976" s="19"/>
      <c r="C1976" s="20"/>
    </row>
    <row r="1977" ht="45.0" customHeight="1">
      <c r="A1977" s="43"/>
      <c r="B1977" s="19"/>
      <c r="C1977" s="20"/>
    </row>
    <row r="1978" ht="45.0" customHeight="1">
      <c r="A1978" s="43"/>
      <c r="B1978" s="19"/>
      <c r="C1978" s="20"/>
    </row>
    <row r="1979" ht="45.0" customHeight="1">
      <c r="A1979" s="43"/>
      <c r="B1979" s="19"/>
      <c r="C1979" s="20"/>
    </row>
    <row r="1980" ht="45.0" customHeight="1">
      <c r="A1980" s="43"/>
      <c r="B1980" s="19"/>
      <c r="C1980" s="20"/>
    </row>
    <row r="1981" ht="45.0" customHeight="1">
      <c r="A1981" s="43"/>
      <c r="B1981" s="19"/>
      <c r="C1981" s="20"/>
    </row>
    <row r="1982" ht="45.0" customHeight="1">
      <c r="A1982" s="43"/>
      <c r="B1982" s="19"/>
      <c r="C1982" s="20"/>
    </row>
    <row r="1983" ht="45.0" customHeight="1">
      <c r="A1983" s="43"/>
      <c r="B1983" s="19"/>
      <c r="C1983" s="20"/>
    </row>
    <row r="1984" ht="45.0" customHeight="1">
      <c r="A1984" s="43"/>
      <c r="B1984" s="19"/>
      <c r="C1984" s="20"/>
    </row>
    <row r="1985" ht="45.0" customHeight="1">
      <c r="A1985" s="43"/>
      <c r="B1985" s="19"/>
      <c r="C1985" s="20"/>
    </row>
    <row r="1986" ht="45.0" customHeight="1">
      <c r="A1986" s="43"/>
      <c r="B1986" s="19"/>
      <c r="C1986" s="20"/>
    </row>
    <row r="1987" ht="45.0" customHeight="1">
      <c r="A1987" s="43"/>
      <c r="B1987" s="19"/>
      <c r="C1987" s="20"/>
    </row>
    <row r="1988" ht="45.0" customHeight="1">
      <c r="A1988" s="43"/>
      <c r="B1988" s="19"/>
      <c r="C1988" s="20"/>
    </row>
    <row r="1989" ht="45.0" customHeight="1">
      <c r="A1989" s="43"/>
      <c r="B1989" s="19"/>
      <c r="C1989" s="20"/>
    </row>
    <row r="1990" ht="45.0" customHeight="1">
      <c r="A1990" s="43"/>
      <c r="B1990" s="19"/>
      <c r="C1990" s="20"/>
    </row>
    <row r="1991" ht="45.0" customHeight="1">
      <c r="A1991" s="43"/>
      <c r="B1991" s="19"/>
      <c r="C1991" s="20"/>
    </row>
    <row r="1992" ht="45.0" customHeight="1">
      <c r="A1992" s="43"/>
      <c r="B1992" s="19"/>
      <c r="C1992" s="20"/>
    </row>
    <row r="1993" ht="45.0" customHeight="1">
      <c r="A1993" s="43"/>
      <c r="B1993" s="19"/>
      <c r="C1993" s="20"/>
    </row>
    <row r="1994" ht="45.0" customHeight="1">
      <c r="A1994" s="43"/>
      <c r="B1994" s="19"/>
      <c r="C1994" s="20"/>
    </row>
    <row r="1995" ht="45.0" customHeight="1">
      <c r="A1995" s="43"/>
      <c r="B1995" s="19"/>
      <c r="C1995" s="20"/>
    </row>
    <row r="1996" ht="45.0" customHeight="1">
      <c r="A1996" s="43"/>
      <c r="B1996" s="19"/>
      <c r="C1996" s="20"/>
    </row>
    <row r="1997" ht="45.0" customHeight="1">
      <c r="A1997" s="43"/>
      <c r="B1997" s="19"/>
      <c r="C1997" s="20"/>
    </row>
    <row r="1998" ht="45.0" customHeight="1">
      <c r="A1998" s="43"/>
      <c r="B1998" s="19"/>
      <c r="C1998" s="20"/>
    </row>
    <row r="1999" ht="45.0" customHeight="1">
      <c r="A1999" s="43"/>
      <c r="B1999" s="19"/>
      <c r="C1999" s="20"/>
    </row>
    <row r="2000" ht="45.0" customHeight="1">
      <c r="A2000" s="43"/>
      <c r="B2000" s="19"/>
      <c r="C2000" s="20"/>
    </row>
    <row r="2001" ht="45.0" customHeight="1">
      <c r="A2001" s="43"/>
      <c r="B2001" s="19"/>
      <c r="C2001" s="20"/>
    </row>
    <row r="2002" ht="45.0" customHeight="1">
      <c r="A2002" s="43"/>
      <c r="B2002" s="19"/>
      <c r="C2002" s="20"/>
    </row>
    <row r="2003" ht="45.0" customHeight="1">
      <c r="A2003" s="43"/>
      <c r="B2003" s="19"/>
      <c r="C2003" s="20"/>
    </row>
    <row r="2004" ht="45.0" customHeight="1">
      <c r="A2004" s="43"/>
      <c r="B2004" s="19"/>
      <c r="C2004" s="20"/>
    </row>
    <row r="2005" ht="45.0" customHeight="1">
      <c r="A2005" s="43"/>
      <c r="B2005" s="19"/>
      <c r="C2005" s="20"/>
    </row>
    <row r="2006" ht="45.0" customHeight="1">
      <c r="A2006" s="43"/>
      <c r="B2006" s="19"/>
      <c r="C2006" s="20"/>
    </row>
    <row r="2007" ht="45.0" customHeight="1">
      <c r="A2007" s="43"/>
      <c r="B2007" s="19"/>
      <c r="C2007" s="20"/>
    </row>
    <row r="2008" ht="45.0" customHeight="1">
      <c r="A2008" s="43"/>
      <c r="B2008" s="19"/>
      <c r="C2008" s="20"/>
    </row>
    <row r="2009" ht="45.0" customHeight="1">
      <c r="A2009" s="43"/>
      <c r="B2009" s="19"/>
      <c r="C2009" s="20"/>
    </row>
    <row r="2010" ht="45.0" customHeight="1">
      <c r="A2010" s="43"/>
      <c r="B2010" s="19"/>
      <c r="C2010" s="20"/>
    </row>
    <row r="2011" ht="45.0" customHeight="1">
      <c r="A2011" s="43"/>
      <c r="B2011" s="19"/>
      <c r="C2011" s="20"/>
    </row>
    <row r="2012" ht="45.0" customHeight="1">
      <c r="A2012" s="43"/>
      <c r="B2012" s="19"/>
      <c r="C2012" s="20"/>
    </row>
    <row r="2013" ht="45.0" customHeight="1">
      <c r="A2013" s="43"/>
      <c r="B2013" s="19"/>
      <c r="C2013" s="20"/>
    </row>
    <row r="2014" ht="45.0" customHeight="1">
      <c r="A2014" s="43"/>
      <c r="B2014" s="19"/>
      <c r="C2014" s="20"/>
    </row>
    <row r="2015" ht="45.0" customHeight="1">
      <c r="A2015" s="43"/>
      <c r="B2015" s="19"/>
      <c r="C2015" s="20"/>
    </row>
    <row r="2016" ht="45.0" customHeight="1">
      <c r="A2016" s="43"/>
      <c r="B2016" s="19"/>
      <c r="C2016" s="20"/>
    </row>
    <row r="2017" ht="45.0" customHeight="1">
      <c r="A2017" s="43"/>
      <c r="B2017" s="19"/>
      <c r="C2017" s="20"/>
    </row>
    <row r="2018" ht="45.0" customHeight="1">
      <c r="A2018" s="43"/>
      <c r="B2018" s="19"/>
      <c r="C2018" s="20"/>
    </row>
    <row r="2019" ht="45.0" customHeight="1">
      <c r="A2019" s="43"/>
      <c r="B2019" s="19"/>
      <c r="C2019" s="20"/>
    </row>
    <row r="2020" ht="45.0" customHeight="1">
      <c r="A2020" s="43"/>
      <c r="B2020" s="19"/>
      <c r="C2020" s="20"/>
    </row>
    <row r="2021" ht="45.0" customHeight="1">
      <c r="A2021" s="43"/>
      <c r="B2021" s="19"/>
      <c r="C2021" s="20"/>
    </row>
    <row r="2022" ht="45.0" customHeight="1">
      <c r="A2022" s="43"/>
      <c r="B2022" s="19"/>
      <c r="C2022" s="20"/>
    </row>
    <row r="2023" ht="45.0" customHeight="1">
      <c r="A2023" s="43"/>
      <c r="B2023" s="19"/>
      <c r="C2023" s="20"/>
    </row>
    <row r="2024" ht="45.0" customHeight="1">
      <c r="A2024" s="43"/>
      <c r="B2024" s="19"/>
      <c r="C2024" s="20"/>
    </row>
    <row r="2025" ht="45.0" customHeight="1">
      <c r="A2025" s="43"/>
      <c r="B2025" s="19"/>
      <c r="C2025" s="20"/>
    </row>
    <row r="2026" ht="45.0" customHeight="1">
      <c r="A2026" s="43"/>
      <c r="B2026" s="19"/>
      <c r="C2026" s="20"/>
    </row>
    <row r="2027" ht="45.0" customHeight="1">
      <c r="A2027" s="43"/>
      <c r="B2027" s="19"/>
      <c r="C2027" s="20"/>
    </row>
    <row r="2028" ht="45.0" customHeight="1">
      <c r="A2028" s="43"/>
      <c r="B2028" s="19"/>
      <c r="C2028" s="20"/>
    </row>
    <row r="2029" ht="45.0" customHeight="1">
      <c r="A2029" s="43"/>
      <c r="B2029" s="19"/>
      <c r="C2029" s="20"/>
    </row>
    <row r="2030" ht="45.0" customHeight="1">
      <c r="A2030" s="43"/>
      <c r="B2030" s="19"/>
      <c r="C2030" s="20"/>
    </row>
    <row r="2031" ht="45.0" customHeight="1">
      <c r="A2031" s="43"/>
      <c r="B2031" s="19"/>
      <c r="C2031" s="20"/>
    </row>
    <row r="2032" ht="45.0" customHeight="1">
      <c r="A2032" s="43"/>
      <c r="B2032" s="19"/>
      <c r="C2032" s="20"/>
    </row>
    <row r="2033" ht="45.0" customHeight="1">
      <c r="A2033" s="43"/>
      <c r="B2033" s="19"/>
      <c r="C2033" s="20"/>
    </row>
    <row r="2034" ht="45.0" customHeight="1">
      <c r="A2034" s="43"/>
      <c r="B2034" s="19"/>
      <c r="C2034" s="20"/>
    </row>
    <row r="2035" ht="45.0" customHeight="1">
      <c r="A2035" s="43"/>
      <c r="B2035" s="19"/>
      <c r="C2035" s="20"/>
    </row>
    <row r="2036" ht="45.0" customHeight="1">
      <c r="A2036" s="43"/>
      <c r="B2036" s="19"/>
      <c r="C2036" s="20"/>
    </row>
    <row r="2037" ht="45.0" customHeight="1">
      <c r="A2037" s="43"/>
      <c r="B2037" s="19"/>
      <c r="C2037" s="20"/>
    </row>
    <row r="2038" ht="45.0" customHeight="1">
      <c r="A2038" s="43"/>
      <c r="B2038" s="19"/>
      <c r="C2038" s="20"/>
    </row>
    <row r="2039" ht="45.0" customHeight="1">
      <c r="A2039" s="43"/>
      <c r="B2039" s="19"/>
      <c r="C2039" s="20"/>
    </row>
    <row r="2040" ht="45.0" customHeight="1">
      <c r="A2040" s="43"/>
      <c r="B2040" s="19"/>
      <c r="C2040" s="20"/>
    </row>
    <row r="2041" ht="45.0" customHeight="1">
      <c r="A2041" s="43"/>
      <c r="B2041" s="19"/>
      <c r="C2041" s="20"/>
    </row>
    <row r="2042" ht="45.0" customHeight="1">
      <c r="A2042" s="43"/>
      <c r="B2042" s="19"/>
      <c r="C2042" s="20"/>
    </row>
    <row r="2043" ht="45.0" customHeight="1">
      <c r="A2043" s="43"/>
      <c r="B2043" s="19"/>
      <c r="C2043" s="20"/>
    </row>
    <row r="2044" ht="45.0" customHeight="1">
      <c r="A2044" s="43"/>
      <c r="B2044" s="19"/>
      <c r="C2044" s="20"/>
    </row>
    <row r="2045" ht="45.0" customHeight="1">
      <c r="A2045" s="43"/>
      <c r="B2045" s="19"/>
      <c r="C2045" s="20"/>
    </row>
    <row r="2046" ht="45.0" customHeight="1">
      <c r="A2046" s="43"/>
      <c r="B2046" s="19"/>
      <c r="C2046" s="20"/>
    </row>
    <row r="2047" ht="45.0" customHeight="1">
      <c r="A2047" s="43"/>
      <c r="B2047" s="19"/>
      <c r="C2047" s="20"/>
    </row>
    <row r="2048" ht="45.0" customHeight="1">
      <c r="A2048" s="43"/>
      <c r="B2048" s="19"/>
      <c r="C2048" s="20"/>
    </row>
    <row r="2049" ht="45.0" customHeight="1">
      <c r="A2049" s="43"/>
      <c r="B2049" s="19"/>
      <c r="C2049" s="20"/>
    </row>
    <row r="2050" ht="45.0" customHeight="1">
      <c r="A2050" s="43"/>
      <c r="B2050" s="19"/>
      <c r="C2050" s="20"/>
    </row>
    <row r="2051" ht="45.0" customHeight="1">
      <c r="A2051" s="43"/>
      <c r="B2051" s="19"/>
      <c r="C2051" s="20"/>
    </row>
    <row r="2052" ht="45.0" customHeight="1">
      <c r="A2052" s="43"/>
      <c r="B2052" s="19"/>
      <c r="C2052" s="20"/>
    </row>
    <row r="2053" ht="45.0" customHeight="1">
      <c r="A2053" s="43"/>
      <c r="B2053" s="19"/>
      <c r="C2053" s="20"/>
    </row>
    <row r="2054" ht="45.0" customHeight="1">
      <c r="A2054" s="43"/>
      <c r="B2054" s="19"/>
      <c r="C2054" s="20"/>
    </row>
    <row r="2055" ht="45.0" customHeight="1">
      <c r="A2055" s="43"/>
      <c r="B2055" s="19"/>
      <c r="C2055" s="20"/>
    </row>
    <row r="2056" ht="45.0" customHeight="1">
      <c r="A2056" s="43"/>
      <c r="B2056" s="19"/>
      <c r="C2056" s="20"/>
    </row>
    <row r="2057" ht="45.0" customHeight="1">
      <c r="A2057" s="43"/>
      <c r="B2057" s="19"/>
      <c r="C2057" s="20"/>
    </row>
    <row r="2058" ht="45.0" customHeight="1">
      <c r="A2058" s="43"/>
      <c r="B2058" s="19"/>
      <c r="C2058" s="20"/>
    </row>
    <row r="2059" ht="45.0" customHeight="1">
      <c r="A2059" s="43"/>
      <c r="B2059" s="19"/>
      <c r="C2059" s="20"/>
    </row>
    <row r="2060" ht="45.0" customHeight="1">
      <c r="A2060" s="43"/>
      <c r="B2060" s="19"/>
      <c r="C2060" s="20"/>
    </row>
    <row r="2061" ht="45.0" customHeight="1">
      <c r="A2061" s="43"/>
      <c r="B2061" s="19"/>
      <c r="C2061" s="20"/>
    </row>
    <row r="2062" ht="45.0" customHeight="1">
      <c r="A2062" s="43"/>
      <c r="B2062" s="19"/>
      <c r="C2062" s="20"/>
    </row>
    <row r="2063" ht="45.0" customHeight="1">
      <c r="A2063" s="43"/>
      <c r="B2063" s="19"/>
      <c r="C2063" s="20"/>
    </row>
    <row r="2064" ht="45.0" customHeight="1">
      <c r="A2064" s="43"/>
      <c r="B2064" s="19"/>
      <c r="C2064" s="20"/>
    </row>
    <row r="2065" ht="45.0" customHeight="1">
      <c r="A2065" s="43"/>
      <c r="B2065" s="19"/>
      <c r="C2065" s="20"/>
    </row>
    <row r="2066" ht="45.0" customHeight="1">
      <c r="A2066" s="43"/>
      <c r="B2066" s="19"/>
      <c r="C2066" s="20"/>
    </row>
    <row r="2067" ht="45.0" customHeight="1">
      <c r="A2067" s="43"/>
      <c r="B2067" s="19"/>
      <c r="C2067" s="20"/>
    </row>
    <row r="2068" ht="45.0" customHeight="1">
      <c r="A2068" s="43"/>
      <c r="B2068" s="19"/>
      <c r="C2068" s="20"/>
    </row>
    <row r="2069" ht="45.0" customHeight="1">
      <c r="A2069" s="43"/>
      <c r="B2069" s="19"/>
      <c r="C2069" s="20"/>
    </row>
    <row r="2070" ht="45.0" customHeight="1">
      <c r="A2070" s="43"/>
      <c r="B2070" s="19"/>
      <c r="C2070" s="20"/>
    </row>
    <row r="2071" ht="45.0" customHeight="1">
      <c r="A2071" s="43"/>
      <c r="B2071" s="19"/>
      <c r="C2071" s="20"/>
    </row>
    <row r="2072" ht="45.0" customHeight="1">
      <c r="A2072" s="43"/>
      <c r="B2072" s="19"/>
      <c r="C2072" s="20"/>
    </row>
    <row r="2073" ht="45.0" customHeight="1">
      <c r="A2073" s="43"/>
      <c r="B2073" s="19"/>
      <c r="C2073" s="20"/>
    </row>
    <row r="2074" ht="45.0" customHeight="1">
      <c r="A2074" s="43"/>
      <c r="B2074" s="19"/>
      <c r="C2074" s="20"/>
    </row>
    <row r="2075" ht="45.0" customHeight="1">
      <c r="A2075" s="43"/>
      <c r="B2075" s="19"/>
      <c r="C2075" s="20"/>
    </row>
    <row r="2076" ht="45.0" customHeight="1">
      <c r="A2076" s="43"/>
      <c r="B2076" s="19"/>
      <c r="C2076" s="20"/>
    </row>
    <row r="2077" ht="45.0" customHeight="1">
      <c r="A2077" s="43"/>
      <c r="B2077" s="19"/>
      <c r="C2077" s="20"/>
    </row>
    <row r="2078" ht="45.0" customHeight="1">
      <c r="A2078" s="43"/>
      <c r="B2078" s="19"/>
      <c r="C2078" s="20"/>
    </row>
    <row r="2079" ht="45.0" customHeight="1">
      <c r="A2079" s="43"/>
      <c r="B2079" s="19"/>
      <c r="C2079" s="20"/>
    </row>
    <row r="2080" ht="45.0" customHeight="1">
      <c r="A2080" s="43"/>
      <c r="B2080" s="19"/>
      <c r="C2080" s="20"/>
    </row>
    <row r="2081" ht="45.0" customHeight="1">
      <c r="A2081" s="43"/>
      <c r="B2081" s="19"/>
      <c r="C2081" s="20"/>
    </row>
    <row r="2082" ht="45.0" customHeight="1">
      <c r="A2082" s="43"/>
      <c r="B2082" s="19"/>
      <c r="C2082" s="20"/>
    </row>
    <row r="2083" ht="45.0" customHeight="1">
      <c r="A2083" s="43"/>
      <c r="B2083" s="19"/>
      <c r="C2083" s="20"/>
    </row>
    <row r="2084" ht="45.0" customHeight="1">
      <c r="A2084" s="43"/>
      <c r="B2084" s="19"/>
      <c r="C2084" s="20"/>
    </row>
    <row r="2085" ht="45.0" customHeight="1">
      <c r="A2085" s="43"/>
      <c r="B2085" s="19"/>
      <c r="C2085" s="20"/>
    </row>
    <row r="2086" ht="45.0" customHeight="1">
      <c r="A2086" s="43"/>
      <c r="B2086" s="19"/>
      <c r="C2086" s="20"/>
    </row>
    <row r="2087" ht="45.0" customHeight="1">
      <c r="A2087" s="43"/>
      <c r="B2087" s="19"/>
      <c r="C2087" s="20"/>
    </row>
    <row r="2088" ht="45.0" customHeight="1">
      <c r="A2088" s="43"/>
      <c r="B2088" s="19"/>
      <c r="C2088" s="20"/>
    </row>
    <row r="2089" ht="45.0" customHeight="1">
      <c r="A2089" s="43"/>
      <c r="B2089" s="19"/>
      <c r="C2089" s="20"/>
    </row>
    <row r="2090" ht="45.0" customHeight="1">
      <c r="A2090" s="43"/>
      <c r="B2090" s="19"/>
      <c r="C2090" s="20"/>
    </row>
    <row r="2091" ht="45.0" customHeight="1">
      <c r="A2091" s="43"/>
      <c r="B2091" s="19"/>
      <c r="C2091" s="20"/>
    </row>
    <row r="2092" ht="45.0" customHeight="1">
      <c r="A2092" s="43"/>
      <c r="B2092" s="19"/>
      <c r="C2092" s="20"/>
    </row>
    <row r="2093" ht="45.0" customHeight="1">
      <c r="A2093" s="43"/>
      <c r="B2093" s="19"/>
      <c r="C2093" s="20"/>
    </row>
    <row r="2094" ht="45.0" customHeight="1">
      <c r="A2094" s="43"/>
      <c r="B2094" s="19"/>
      <c r="C2094" s="20"/>
    </row>
    <row r="2095" ht="45.0" customHeight="1">
      <c r="A2095" s="43"/>
      <c r="B2095" s="19"/>
      <c r="C2095" s="20"/>
    </row>
    <row r="2096" ht="45.0" customHeight="1">
      <c r="A2096" s="43"/>
      <c r="B2096" s="19"/>
      <c r="C2096" s="20"/>
    </row>
    <row r="2097" ht="45.0" customHeight="1">
      <c r="A2097" s="43"/>
      <c r="B2097" s="19"/>
      <c r="C2097" s="20"/>
    </row>
    <row r="2098" ht="45.0" customHeight="1">
      <c r="A2098" s="43"/>
      <c r="B2098" s="19"/>
      <c r="C2098" s="20"/>
    </row>
    <row r="2099" ht="45.0" customHeight="1">
      <c r="A2099" s="43"/>
      <c r="B2099" s="19"/>
      <c r="C2099" s="20"/>
    </row>
    <row r="2100" ht="45.0" customHeight="1">
      <c r="A2100" s="43"/>
      <c r="B2100" s="19"/>
      <c r="C2100" s="20"/>
    </row>
    <row r="2101" ht="45.0" customHeight="1">
      <c r="A2101" s="43"/>
      <c r="B2101" s="19"/>
      <c r="C2101" s="20"/>
    </row>
    <row r="2102" ht="45.0" customHeight="1">
      <c r="A2102" s="43"/>
      <c r="B2102" s="19"/>
      <c r="C2102" s="20"/>
    </row>
    <row r="2103" ht="45.0" customHeight="1">
      <c r="A2103" s="43"/>
      <c r="B2103" s="19"/>
      <c r="C2103" s="20"/>
    </row>
    <row r="2104" ht="45.0" customHeight="1">
      <c r="A2104" s="43"/>
      <c r="B2104" s="19"/>
      <c r="C2104" s="20"/>
    </row>
    <row r="2105" ht="45.0" customHeight="1">
      <c r="A2105" s="43"/>
      <c r="B2105" s="19"/>
      <c r="C2105" s="20"/>
    </row>
    <row r="2106" ht="45.0" customHeight="1">
      <c r="A2106" s="43"/>
      <c r="B2106" s="19"/>
      <c r="C2106" s="20"/>
    </row>
    <row r="2107" ht="45.0" customHeight="1">
      <c r="A2107" s="43"/>
      <c r="B2107" s="19"/>
      <c r="C2107" s="20"/>
    </row>
    <row r="2108" ht="45.0" customHeight="1">
      <c r="A2108" s="43"/>
      <c r="B2108" s="19"/>
      <c r="C2108" s="20"/>
    </row>
    <row r="2109" ht="45.0" customHeight="1">
      <c r="A2109" s="43"/>
      <c r="B2109" s="19"/>
      <c r="C2109" s="20"/>
    </row>
    <row r="2110" ht="45.0" customHeight="1">
      <c r="A2110" s="43"/>
      <c r="B2110" s="19"/>
      <c r="C2110" s="20"/>
    </row>
    <row r="2111" ht="45.0" customHeight="1">
      <c r="A2111" s="43"/>
      <c r="B2111" s="19"/>
      <c r="C2111" s="20"/>
    </row>
    <row r="2112" ht="45.0" customHeight="1">
      <c r="A2112" s="43"/>
      <c r="B2112" s="19"/>
      <c r="C2112" s="20"/>
    </row>
    <row r="2113" ht="45.0" customHeight="1">
      <c r="A2113" s="43"/>
      <c r="B2113" s="19"/>
      <c r="C2113" s="20"/>
    </row>
    <row r="2114" ht="45.0" customHeight="1">
      <c r="A2114" s="43"/>
      <c r="B2114" s="19"/>
      <c r="C2114" s="20"/>
    </row>
    <row r="2115" ht="45.0" customHeight="1">
      <c r="A2115" s="43"/>
      <c r="B2115" s="19"/>
      <c r="C2115" s="20"/>
    </row>
    <row r="2116" ht="45.0" customHeight="1">
      <c r="A2116" s="43"/>
      <c r="B2116" s="19"/>
      <c r="C2116" s="20"/>
    </row>
    <row r="2117" ht="45.0" customHeight="1">
      <c r="A2117" s="43"/>
      <c r="B2117" s="19"/>
      <c r="C2117" s="20"/>
    </row>
    <row r="2118" ht="45.0" customHeight="1">
      <c r="A2118" s="43"/>
      <c r="B2118" s="19"/>
      <c r="C2118" s="20"/>
    </row>
    <row r="2119" ht="45.0" customHeight="1">
      <c r="A2119" s="43"/>
      <c r="B2119" s="19"/>
      <c r="C2119" s="20"/>
    </row>
    <row r="2120" ht="45.0" customHeight="1">
      <c r="A2120" s="43"/>
      <c r="B2120" s="19"/>
      <c r="C2120" s="20"/>
    </row>
    <row r="2121" ht="45.0" customHeight="1">
      <c r="A2121" s="43"/>
      <c r="B2121" s="19"/>
      <c r="C2121" s="20"/>
    </row>
    <row r="2122" ht="45.0" customHeight="1">
      <c r="A2122" s="43"/>
      <c r="B2122" s="19"/>
      <c r="C2122" s="20"/>
    </row>
    <row r="2123" ht="45.0" customHeight="1">
      <c r="A2123" s="43"/>
      <c r="B2123" s="19"/>
      <c r="C2123" s="20"/>
    </row>
    <row r="2124" ht="45.0" customHeight="1">
      <c r="A2124" s="43"/>
      <c r="B2124" s="19"/>
      <c r="C2124" s="20"/>
    </row>
    <row r="2125" ht="45.0" customHeight="1">
      <c r="A2125" s="43"/>
      <c r="B2125" s="19"/>
      <c r="C2125" s="20"/>
    </row>
    <row r="2126" ht="45.0" customHeight="1">
      <c r="A2126" s="43"/>
      <c r="B2126" s="19"/>
      <c r="C2126" s="20"/>
    </row>
    <row r="2127" ht="45.0" customHeight="1">
      <c r="A2127" s="43"/>
      <c r="B2127" s="19"/>
      <c r="C2127" s="20"/>
    </row>
    <row r="2128" ht="45.0" customHeight="1">
      <c r="A2128" s="43"/>
      <c r="B2128" s="19"/>
      <c r="C2128" s="20"/>
    </row>
    <row r="2129" ht="45.0" customHeight="1">
      <c r="A2129" s="43"/>
      <c r="B2129" s="19"/>
      <c r="C2129" s="20"/>
    </row>
    <row r="2130" ht="45.0" customHeight="1">
      <c r="A2130" s="43"/>
      <c r="B2130" s="19"/>
      <c r="C2130" s="20"/>
    </row>
    <row r="2131" ht="45.0" customHeight="1">
      <c r="A2131" s="43"/>
      <c r="B2131" s="19"/>
      <c r="C2131" s="20"/>
    </row>
    <row r="2132" ht="45.0" customHeight="1">
      <c r="A2132" s="43"/>
      <c r="B2132" s="19"/>
      <c r="C2132" s="20"/>
    </row>
    <row r="2133" ht="45.0" customHeight="1">
      <c r="A2133" s="43"/>
      <c r="B2133" s="19"/>
      <c r="C2133" s="20"/>
    </row>
    <row r="2134" ht="45.0" customHeight="1">
      <c r="A2134" s="43"/>
      <c r="B2134" s="19"/>
      <c r="C2134" s="20"/>
    </row>
    <row r="2135" ht="45.0" customHeight="1">
      <c r="A2135" s="43"/>
      <c r="B2135" s="19"/>
      <c r="C2135" s="20"/>
    </row>
    <row r="2136" ht="45.0" customHeight="1">
      <c r="A2136" s="43"/>
      <c r="B2136" s="19"/>
      <c r="C2136" s="20"/>
    </row>
    <row r="2137" ht="45.0" customHeight="1">
      <c r="A2137" s="43"/>
      <c r="B2137" s="19"/>
      <c r="C2137" s="20"/>
    </row>
    <row r="2138" ht="45.0" customHeight="1">
      <c r="A2138" s="43"/>
      <c r="B2138" s="19"/>
      <c r="C2138" s="20"/>
    </row>
    <row r="2139" ht="45.0" customHeight="1">
      <c r="A2139" s="43"/>
      <c r="B2139" s="19"/>
      <c r="C2139" s="20"/>
    </row>
    <row r="2140" ht="45.0" customHeight="1">
      <c r="A2140" s="43"/>
      <c r="B2140" s="19"/>
      <c r="C2140" s="20"/>
    </row>
    <row r="2141" ht="45.0" customHeight="1">
      <c r="A2141" s="43"/>
      <c r="B2141" s="19"/>
      <c r="C2141" s="20"/>
    </row>
    <row r="2142" ht="45.0" customHeight="1">
      <c r="A2142" s="43"/>
      <c r="B2142" s="19"/>
      <c r="C2142" s="20"/>
    </row>
    <row r="2143" ht="45.0" customHeight="1">
      <c r="A2143" s="43"/>
      <c r="B2143" s="19"/>
      <c r="C2143" s="20"/>
    </row>
    <row r="2144" ht="45.0" customHeight="1">
      <c r="A2144" s="43"/>
      <c r="B2144" s="19"/>
      <c r="C2144" s="20"/>
    </row>
    <row r="2145" ht="45.0" customHeight="1">
      <c r="A2145" s="43"/>
      <c r="B2145" s="19"/>
      <c r="C2145" s="20"/>
    </row>
    <row r="2146" ht="45.0" customHeight="1">
      <c r="A2146" s="43"/>
      <c r="B2146" s="19"/>
      <c r="C2146" s="20"/>
    </row>
    <row r="2147" ht="45.0" customHeight="1">
      <c r="A2147" s="43"/>
      <c r="B2147" s="19"/>
      <c r="C2147" s="20"/>
    </row>
    <row r="2148" ht="45.0" customHeight="1">
      <c r="A2148" s="43"/>
      <c r="B2148" s="19"/>
      <c r="C2148" s="20"/>
    </row>
    <row r="2149" ht="45.0" customHeight="1">
      <c r="A2149" s="43"/>
      <c r="B2149" s="19"/>
      <c r="C2149" s="20"/>
    </row>
    <row r="2150" ht="45.0" customHeight="1">
      <c r="A2150" s="43"/>
      <c r="B2150" s="19"/>
      <c r="C2150" s="20"/>
    </row>
    <row r="2151" ht="45.0" customHeight="1">
      <c r="A2151" s="43"/>
      <c r="B2151" s="19"/>
      <c r="C2151" s="20"/>
    </row>
    <row r="2152" ht="45.0" customHeight="1">
      <c r="A2152" s="43"/>
      <c r="B2152" s="19"/>
      <c r="C2152" s="20"/>
    </row>
    <row r="2153" ht="45.0" customHeight="1">
      <c r="A2153" s="43"/>
      <c r="B2153" s="19"/>
      <c r="C2153" s="20"/>
    </row>
    <row r="2154" ht="45.0" customHeight="1">
      <c r="A2154" s="43"/>
      <c r="B2154" s="19"/>
      <c r="C2154" s="20"/>
    </row>
    <row r="2155" ht="45.0" customHeight="1">
      <c r="A2155" s="43"/>
      <c r="B2155" s="19"/>
      <c r="C2155" s="20"/>
    </row>
    <row r="2156" ht="45.0" customHeight="1">
      <c r="A2156" s="43"/>
      <c r="B2156" s="19"/>
      <c r="C2156" s="20"/>
    </row>
    <row r="2157" ht="45.0" customHeight="1">
      <c r="A2157" s="43"/>
      <c r="B2157" s="19"/>
      <c r="C2157" s="20"/>
    </row>
    <row r="2158" ht="45.0" customHeight="1">
      <c r="A2158" s="43"/>
      <c r="B2158" s="19"/>
      <c r="C2158" s="20"/>
    </row>
    <row r="2159" ht="45.0" customHeight="1">
      <c r="A2159" s="43"/>
      <c r="B2159" s="19"/>
      <c r="C2159" s="20"/>
    </row>
    <row r="2160" ht="45.0" customHeight="1">
      <c r="A2160" s="43"/>
      <c r="B2160" s="19"/>
      <c r="C2160" s="20"/>
    </row>
    <row r="2161" ht="45.0" customHeight="1">
      <c r="A2161" s="43"/>
      <c r="B2161" s="19"/>
      <c r="C2161" s="20"/>
    </row>
    <row r="2162" ht="45.0" customHeight="1">
      <c r="A2162" s="43"/>
      <c r="B2162" s="19"/>
      <c r="C2162" s="20"/>
    </row>
    <row r="2163" ht="45.0" customHeight="1">
      <c r="A2163" s="43"/>
      <c r="B2163" s="19"/>
      <c r="C2163" s="20"/>
    </row>
    <row r="2164" ht="45.0" customHeight="1">
      <c r="A2164" s="43"/>
      <c r="B2164" s="19"/>
      <c r="C2164" s="20"/>
    </row>
    <row r="2165" ht="45.0" customHeight="1">
      <c r="A2165" s="43"/>
      <c r="B2165" s="19"/>
      <c r="C2165" s="20"/>
    </row>
    <row r="2166" ht="45.0" customHeight="1">
      <c r="A2166" s="43"/>
      <c r="B2166" s="19"/>
      <c r="C2166" s="20"/>
    </row>
    <row r="2167" ht="45.0" customHeight="1">
      <c r="A2167" s="43"/>
      <c r="B2167" s="19"/>
      <c r="C2167" s="20"/>
    </row>
    <row r="2168" ht="45.0" customHeight="1">
      <c r="A2168" s="43"/>
      <c r="B2168" s="19"/>
      <c r="C2168" s="20"/>
    </row>
    <row r="2169" ht="45.0" customHeight="1">
      <c r="A2169" s="43"/>
      <c r="B2169" s="19"/>
      <c r="C2169" s="20"/>
    </row>
    <row r="2170" ht="45.0" customHeight="1">
      <c r="A2170" s="43"/>
      <c r="B2170" s="19"/>
      <c r="C2170" s="20"/>
    </row>
    <row r="2171" ht="45.0" customHeight="1">
      <c r="A2171" s="43"/>
      <c r="B2171" s="19"/>
      <c r="C2171" s="20"/>
    </row>
    <row r="2172" ht="45.0" customHeight="1">
      <c r="A2172" s="43"/>
      <c r="B2172" s="19"/>
      <c r="C2172" s="20"/>
    </row>
    <row r="2173" ht="45.0" customHeight="1">
      <c r="A2173" s="43"/>
      <c r="B2173" s="19"/>
      <c r="C2173" s="20"/>
    </row>
    <row r="2174" ht="45.0" customHeight="1">
      <c r="A2174" s="43"/>
      <c r="B2174" s="19"/>
      <c r="C2174" s="20"/>
    </row>
    <row r="2175" ht="45.0" customHeight="1">
      <c r="A2175" s="43"/>
      <c r="B2175" s="19"/>
      <c r="C2175" s="20"/>
    </row>
    <row r="2176" ht="45.0" customHeight="1">
      <c r="A2176" s="43"/>
      <c r="B2176" s="19"/>
      <c r="C2176" s="20"/>
    </row>
    <row r="2177" ht="45.0" customHeight="1">
      <c r="A2177" s="43"/>
      <c r="B2177" s="19"/>
      <c r="C2177" s="20"/>
    </row>
    <row r="2178" ht="45.0" customHeight="1">
      <c r="A2178" s="43"/>
      <c r="B2178" s="19"/>
      <c r="C2178" s="20"/>
    </row>
    <row r="2179" ht="45.0" customHeight="1">
      <c r="A2179" s="43"/>
      <c r="B2179" s="19"/>
      <c r="C2179" s="20"/>
    </row>
    <row r="2180" ht="45.0" customHeight="1">
      <c r="A2180" s="43"/>
      <c r="B2180" s="19"/>
      <c r="C2180" s="20"/>
    </row>
    <row r="2181" ht="45.0" customHeight="1">
      <c r="A2181" s="43"/>
      <c r="B2181" s="19"/>
      <c r="C2181" s="20"/>
    </row>
    <row r="2182" ht="45.0" customHeight="1">
      <c r="A2182" s="43"/>
      <c r="B2182" s="19"/>
      <c r="C2182" s="20"/>
    </row>
    <row r="2183" ht="45.0" customHeight="1">
      <c r="A2183" s="43"/>
      <c r="B2183" s="19"/>
      <c r="C2183" s="20"/>
    </row>
    <row r="2184" ht="45.0" customHeight="1">
      <c r="A2184" s="43"/>
      <c r="B2184" s="19"/>
      <c r="C2184" s="20"/>
    </row>
    <row r="2185" ht="45.0" customHeight="1">
      <c r="A2185" s="43"/>
      <c r="B2185" s="19"/>
      <c r="C2185" s="20"/>
    </row>
    <row r="2186" ht="45.0" customHeight="1">
      <c r="A2186" s="43"/>
      <c r="B2186" s="19"/>
      <c r="C2186" s="20"/>
    </row>
    <row r="2187" ht="45.0" customHeight="1">
      <c r="A2187" s="43"/>
      <c r="B2187" s="19"/>
      <c r="C2187" s="20"/>
    </row>
    <row r="2188" ht="45.0" customHeight="1">
      <c r="A2188" s="43"/>
      <c r="B2188" s="19"/>
      <c r="C2188" s="20"/>
    </row>
    <row r="2189" ht="45.0" customHeight="1">
      <c r="A2189" s="43"/>
      <c r="B2189" s="19"/>
      <c r="C2189" s="20"/>
    </row>
    <row r="2190" ht="45.0" customHeight="1">
      <c r="A2190" s="43"/>
      <c r="B2190" s="19"/>
      <c r="C2190" s="20"/>
    </row>
    <row r="2191" ht="45.0" customHeight="1">
      <c r="A2191" s="43"/>
      <c r="B2191" s="19"/>
      <c r="C2191" s="20"/>
    </row>
    <row r="2192" ht="45.0" customHeight="1">
      <c r="A2192" s="43"/>
      <c r="B2192" s="19"/>
      <c r="C2192" s="20"/>
    </row>
    <row r="2193" ht="45.0" customHeight="1">
      <c r="A2193" s="43"/>
      <c r="B2193" s="19"/>
      <c r="C2193" s="20"/>
    </row>
    <row r="2194" ht="45.0" customHeight="1">
      <c r="A2194" s="43"/>
      <c r="B2194" s="19"/>
      <c r="C2194" s="20"/>
    </row>
  </sheetData>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s>
  <sheetData>
    <row r="1">
      <c r="A1" s="1" t="s">
        <v>0</v>
      </c>
      <c r="B1" s="2"/>
    </row>
    <row r="2">
      <c r="A2" s="1" t="s">
        <v>1</v>
      </c>
      <c r="B2" s="6"/>
    </row>
    <row r="3">
      <c r="A3" s="1" t="s">
        <v>3</v>
      </c>
      <c r="B3" s="2"/>
    </row>
    <row r="4">
      <c r="A4" s="1" t="s">
        <v>6</v>
      </c>
      <c r="B4" s="2"/>
    </row>
    <row r="5">
      <c r="A5" s="1" t="s">
        <v>7</v>
      </c>
      <c r="B5" s="2"/>
    </row>
    <row r="6">
      <c r="A6" s="6" t="s">
        <v>10</v>
      </c>
      <c r="B6" s="2"/>
    </row>
    <row r="7">
      <c r="A7" s="1" t="s">
        <v>11</v>
      </c>
      <c r="B7" s="2"/>
    </row>
    <row r="8">
      <c r="A8" s="1" t="s">
        <v>12</v>
      </c>
      <c r="B8" s="2"/>
    </row>
    <row r="9">
      <c r="A9" s="1" t="s">
        <v>13</v>
      </c>
      <c r="B9" s="2"/>
    </row>
    <row r="10">
      <c r="A10" s="1" t="s">
        <v>14</v>
      </c>
      <c r="B10" s="2"/>
    </row>
    <row r="11">
      <c r="A11" s="1" t="s">
        <v>15</v>
      </c>
      <c r="B11" s="2"/>
    </row>
    <row r="12">
      <c r="A12" s="1" t="s">
        <v>17</v>
      </c>
      <c r="B12" s="2"/>
    </row>
    <row r="13">
      <c r="A13" s="1" t="s">
        <v>18</v>
      </c>
      <c r="B13" s="2"/>
    </row>
    <row r="14">
      <c r="A14" s="1" t="s">
        <v>19</v>
      </c>
      <c r="B14" s="2"/>
    </row>
    <row r="15">
      <c r="A15" s="1" t="s">
        <v>21</v>
      </c>
      <c r="B15" s="2"/>
    </row>
    <row r="16">
      <c r="A16" s="1" t="s">
        <v>22</v>
      </c>
      <c r="B16" s="2"/>
    </row>
    <row r="17">
      <c r="A17" s="1" t="s">
        <v>24</v>
      </c>
      <c r="B17" s="2"/>
    </row>
    <row r="18">
      <c r="A18" s="1" t="s">
        <v>26</v>
      </c>
      <c r="B18" s="2"/>
    </row>
    <row r="19">
      <c r="A19" s="1" t="s">
        <v>28</v>
      </c>
      <c r="B19" s="2"/>
    </row>
    <row r="20">
      <c r="A20" s="1" t="s">
        <v>30</v>
      </c>
      <c r="B20" s="2"/>
    </row>
    <row r="21">
      <c r="A21" s="1" t="s">
        <v>31</v>
      </c>
      <c r="B21" s="2"/>
    </row>
    <row r="22">
      <c r="A22" s="1" t="s">
        <v>32</v>
      </c>
      <c r="B22" s="2"/>
    </row>
    <row r="23">
      <c r="A23" s="1" t="s">
        <v>33</v>
      </c>
      <c r="B23" s="2"/>
    </row>
    <row r="24">
      <c r="A24" s="1" t="s">
        <v>34</v>
      </c>
      <c r="B24" s="2"/>
    </row>
    <row r="25">
      <c r="A25" s="1" t="s">
        <v>35</v>
      </c>
      <c r="B25" s="2"/>
    </row>
    <row r="26">
      <c r="A26" s="1" t="s">
        <v>36</v>
      </c>
      <c r="B26" s="2"/>
    </row>
    <row r="27">
      <c r="A27" s="1" t="s">
        <v>39</v>
      </c>
      <c r="B27" s="2"/>
    </row>
    <row r="28">
      <c r="A28" s="1" t="s">
        <v>40</v>
      </c>
      <c r="B28" s="2"/>
    </row>
    <row r="29">
      <c r="A29" s="1" t="s">
        <v>41</v>
      </c>
      <c r="B29" s="2"/>
    </row>
    <row r="30">
      <c r="A30" s="6" t="s">
        <v>42</v>
      </c>
      <c r="B30" s="2"/>
    </row>
    <row r="31">
      <c r="A31" s="1" t="s">
        <v>43</v>
      </c>
      <c r="B31" s="2"/>
    </row>
    <row r="32">
      <c r="A32" s="1" t="s">
        <v>44</v>
      </c>
      <c r="B32" s="2"/>
    </row>
    <row r="33">
      <c r="A33" s="1" t="s">
        <v>45</v>
      </c>
      <c r="B33" s="2"/>
    </row>
    <row r="34">
      <c r="A34" s="1" t="s">
        <v>47</v>
      </c>
      <c r="B34" s="2"/>
    </row>
    <row r="35">
      <c r="A35" s="1" t="s">
        <v>49</v>
      </c>
      <c r="B35" s="2"/>
    </row>
    <row r="36">
      <c r="A36" s="1" t="s">
        <v>50</v>
      </c>
      <c r="B36" s="2"/>
    </row>
    <row r="37">
      <c r="A37" s="1" t="s">
        <v>52</v>
      </c>
      <c r="B37" s="2"/>
    </row>
    <row r="38">
      <c r="A38" s="1" t="s">
        <v>53</v>
      </c>
      <c r="B38" s="2"/>
    </row>
    <row r="39">
      <c r="A39" s="1" t="s">
        <v>54</v>
      </c>
      <c r="B39" s="2"/>
    </row>
    <row r="40">
      <c r="A40" s="1" t="s">
        <v>55</v>
      </c>
      <c r="B40" s="2"/>
    </row>
    <row r="41">
      <c r="A41" s="1" t="s">
        <v>56</v>
      </c>
      <c r="B41" s="2"/>
    </row>
    <row r="42">
      <c r="A42" s="1" t="s">
        <v>57</v>
      </c>
      <c r="B42" s="2"/>
    </row>
    <row r="43">
      <c r="A43" s="1" t="s">
        <v>58</v>
      </c>
      <c r="B43" s="2"/>
    </row>
    <row r="44">
      <c r="A44" s="1" t="s">
        <v>59</v>
      </c>
      <c r="B44" s="2"/>
    </row>
    <row r="45">
      <c r="A45" s="1" t="s">
        <v>60</v>
      </c>
      <c r="B45" s="2"/>
    </row>
    <row r="46">
      <c r="A46" s="1" t="s">
        <v>61</v>
      </c>
      <c r="B46" s="2"/>
    </row>
    <row r="47">
      <c r="A47" s="1" t="s">
        <v>64</v>
      </c>
      <c r="B47" s="2"/>
    </row>
    <row r="48">
      <c r="A48" s="1" t="s">
        <v>66</v>
      </c>
      <c r="B48" s="2"/>
    </row>
    <row r="49">
      <c r="A49" s="1" t="s">
        <v>69</v>
      </c>
      <c r="B49" s="2"/>
    </row>
    <row r="50">
      <c r="A50" s="1" t="s">
        <v>72</v>
      </c>
      <c r="B50" s="2"/>
    </row>
    <row r="51">
      <c r="A51" s="1" t="s">
        <v>74</v>
      </c>
      <c r="B51" s="2"/>
    </row>
    <row r="52">
      <c r="A52" s="6" t="s">
        <v>75</v>
      </c>
      <c r="B52" s="2"/>
    </row>
    <row r="53">
      <c r="A53" s="1" t="s">
        <v>76</v>
      </c>
      <c r="B53" s="2"/>
    </row>
    <row r="54">
      <c r="A54" s="1" t="s">
        <v>77</v>
      </c>
      <c r="B54" s="2"/>
    </row>
    <row r="55">
      <c r="A55" s="1" t="s">
        <v>78</v>
      </c>
      <c r="B55" s="2"/>
    </row>
    <row r="56">
      <c r="A56" s="1" t="s">
        <v>79</v>
      </c>
      <c r="B56" s="2"/>
    </row>
    <row r="57">
      <c r="A57" s="1" t="s">
        <v>82</v>
      </c>
      <c r="B57" s="2"/>
    </row>
    <row r="58">
      <c r="A58" s="1" t="s">
        <v>85</v>
      </c>
      <c r="B58" s="2"/>
    </row>
    <row r="59">
      <c r="A59" s="6" t="s">
        <v>87</v>
      </c>
      <c r="B59" s="2"/>
    </row>
    <row r="60">
      <c r="A60" s="1" t="s">
        <v>88</v>
      </c>
      <c r="B60" s="2"/>
    </row>
    <row r="61">
      <c r="A61" s="1" t="s">
        <v>91</v>
      </c>
      <c r="B61" s="2"/>
    </row>
    <row r="62">
      <c r="A62" s="6" t="s">
        <v>93</v>
      </c>
      <c r="B62" s="2"/>
    </row>
    <row r="63">
      <c r="A63" s="1" t="s">
        <v>95</v>
      </c>
      <c r="B63" s="2"/>
    </row>
    <row r="64">
      <c r="A64" s="1" t="s">
        <v>96</v>
      </c>
      <c r="B64" s="2"/>
    </row>
    <row r="65">
      <c r="A65" s="1" t="s">
        <v>98</v>
      </c>
      <c r="B65" s="2"/>
    </row>
    <row r="66">
      <c r="A66" s="1" t="s">
        <v>100</v>
      </c>
      <c r="B66" s="2"/>
    </row>
    <row r="67">
      <c r="A67" s="1" t="s">
        <v>102</v>
      </c>
      <c r="B67" s="2"/>
    </row>
    <row r="68">
      <c r="A68" s="1" t="s">
        <v>104</v>
      </c>
      <c r="B68" s="2"/>
    </row>
    <row r="69">
      <c r="A69" s="1" t="s">
        <v>105</v>
      </c>
      <c r="B69" s="2"/>
    </row>
    <row r="70">
      <c r="A70" s="1" t="s">
        <v>107</v>
      </c>
      <c r="B70" s="2"/>
    </row>
    <row r="71">
      <c r="A71" s="1" t="s">
        <v>109</v>
      </c>
      <c r="B71" s="2"/>
    </row>
    <row r="72">
      <c r="A72" s="6" t="s">
        <v>110</v>
      </c>
      <c r="B72" s="2"/>
    </row>
    <row r="73">
      <c r="A73" s="1" t="s">
        <v>112</v>
      </c>
      <c r="B73" s="2"/>
    </row>
    <row r="74">
      <c r="A74" s="1" t="s">
        <v>114</v>
      </c>
      <c r="B74" s="2"/>
    </row>
    <row r="75">
      <c r="A75" s="1" t="s">
        <v>116</v>
      </c>
      <c r="B75" s="2"/>
    </row>
    <row r="76">
      <c r="A76" s="1" t="s">
        <v>117</v>
      </c>
      <c r="B76" s="2"/>
    </row>
    <row r="77">
      <c r="A77" s="1" t="s">
        <v>119</v>
      </c>
      <c r="B77" s="2"/>
    </row>
    <row r="78">
      <c r="A78" s="1" t="s">
        <v>121</v>
      </c>
      <c r="B78" s="2"/>
    </row>
    <row r="79">
      <c r="A79" s="1" t="s">
        <v>122</v>
      </c>
      <c r="B79" s="2"/>
    </row>
    <row r="80">
      <c r="A80" s="1" t="s">
        <v>124</v>
      </c>
      <c r="B80" s="2"/>
    </row>
    <row r="81">
      <c r="A81" s="6" t="s">
        <v>126</v>
      </c>
      <c r="B81" s="2"/>
    </row>
    <row r="82">
      <c r="A82" s="1" t="s">
        <v>128</v>
      </c>
      <c r="B82" s="2"/>
    </row>
    <row r="83">
      <c r="A83" s="1" t="s">
        <v>130</v>
      </c>
      <c r="B83" s="2"/>
    </row>
    <row r="84">
      <c r="A84" s="1" t="s">
        <v>131</v>
      </c>
      <c r="B84" s="2"/>
    </row>
    <row r="85">
      <c r="A85" s="1" t="s">
        <v>133</v>
      </c>
      <c r="B85" s="2"/>
    </row>
    <row r="86">
      <c r="A86" s="1" t="s">
        <v>135</v>
      </c>
      <c r="B86" s="2"/>
    </row>
    <row r="87">
      <c r="A87" s="1" t="s">
        <v>137</v>
      </c>
      <c r="B87" s="2"/>
    </row>
    <row r="88">
      <c r="A88" s="1" t="s">
        <v>138</v>
      </c>
      <c r="B88" s="2"/>
    </row>
    <row r="89">
      <c r="A89" s="1" t="s">
        <v>140</v>
      </c>
      <c r="B89" s="2"/>
    </row>
    <row r="90">
      <c r="A90" s="1" t="s">
        <v>142</v>
      </c>
      <c r="B90" s="2"/>
    </row>
    <row r="91">
      <c r="A91" s="1" t="s">
        <v>143</v>
      </c>
      <c r="B91" s="2"/>
    </row>
    <row r="92">
      <c r="A92" s="1" t="s">
        <v>145</v>
      </c>
      <c r="B92" s="2"/>
    </row>
    <row r="93">
      <c r="A93" s="1" t="s">
        <v>148</v>
      </c>
      <c r="B93" s="2"/>
    </row>
    <row r="94">
      <c r="A94" s="1" t="s">
        <v>150</v>
      </c>
      <c r="B94" s="2"/>
    </row>
    <row r="95">
      <c r="A95" s="6" t="s">
        <v>151</v>
      </c>
      <c r="B95" s="2"/>
    </row>
    <row r="96">
      <c r="A96" s="1" t="s">
        <v>152</v>
      </c>
      <c r="B96" s="2"/>
    </row>
    <row r="97">
      <c r="A97" s="1" t="s">
        <v>154</v>
      </c>
      <c r="B97" s="2"/>
    </row>
    <row r="98">
      <c r="A98" s="6" t="s">
        <v>155</v>
      </c>
      <c r="B98" s="2"/>
    </row>
    <row r="99">
      <c r="A99" s="6" t="s">
        <v>158</v>
      </c>
      <c r="B99" s="2"/>
    </row>
    <row r="100">
      <c r="A100" s="6" t="s">
        <v>159</v>
      </c>
      <c r="B100" s="2"/>
    </row>
    <row r="101">
      <c r="A101" s="6" t="s">
        <v>160</v>
      </c>
      <c r="B101" s="2"/>
    </row>
    <row r="102">
      <c r="A102" s="6" t="s">
        <v>161</v>
      </c>
      <c r="B102" s="2"/>
    </row>
    <row r="103">
      <c r="A103" s="6" t="s">
        <v>162</v>
      </c>
      <c r="B103" s="2"/>
    </row>
    <row r="104">
      <c r="A104" s="6" t="s">
        <v>164</v>
      </c>
      <c r="B104" s="2"/>
    </row>
    <row r="105">
      <c r="A105" s="6" t="s">
        <v>61</v>
      </c>
      <c r="B105" s="2"/>
    </row>
    <row r="106">
      <c r="A106" s="6" t="s">
        <v>58</v>
      </c>
      <c r="B106" s="2"/>
    </row>
    <row r="107">
      <c r="A107" s="6" t="s">
        <v>166</v>
      </c>
      <c r="B107" s="2"/>
    </row>
    <row r="108">
      <c r="A108" s="6" t="s">
        <v>167</v>
      </c>
      <c r="B10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
      <c r="B1" s="4"/>
      <c r="C1" s="4"/>
      <c r="D1" s="4"/>
      <c r="E1" s="4"/>
      <c r="F1" s="4"/>
      <c r="G1" s="4"/>
      <c r="H1" s="4"/>
      <c r="I1" s="4"/>
    </row>
    <row r="2">
      <c r="A2" s="8" t="s">
        <v>2</v>
      </c>
      <c r="B2" s="9"/>
      <c r="C2" s="9"/>
      <c r="D2" s="9"/>
      <c r="E2" s="9"/>
      <c r="F2" s="9"/>
      <c r="G2" s="9"/>
      <c r="H2" s="9"/>
      <c r="I2" s="9"/>
    </row>
    <row r="3">
      <c r="A3" s="10" t="s">
        <v>5</v>
      </c>
      <c r="B3" s="11" t="s">
        <v>9</v>
      </c>
      <c r="C3" s="12"/>
      <c r="D3" s="12"/>
      <c r="E3" s="12"/>
      <c r="F3" s="12"/>
      <c r="G3" s="12"/>
      <c r="H3" s="12"/>
      <c r="I3" s="14"/>
    </row>
    <row r="4" ht="60.0" customHeight="1">
      <c r="A4" s="15" t="s">
        <v>16</v>
      </c>
      <c r="B4" s="22" t="str">
        <f t="array" ref="B4">iferror(VLOOKUP(INDIRECT(ADDRESS(ROW()+1,COLUMN(), 4)),Dex!$A$2:$C262,3,false),"")</f>
        <v/>
      </c>
      <c r="C4" s="22" t="str">
        <f t="array" ref="C4">iferror(VLOOKUP(INDIRECT(ADDRESS(ROW()+1,COLUMN(), 4)),Dex!$A$2:$C262,3,false),"")</f>
        <v/>
      </c>
      <c r="D4" s="22" t="str">
        <f t="array" ref="D4">iferror(VLOOKUP(INDIRECT(ADDRESS(ROW()+1,COLUMN(), 4)),Dex!$A$2:$C262,3,false),"")</f>
        <v/>
      </c>
      <c r="E4" s="22" t="str">
        <f t="array" ref="E4">iferror(VLOOKUP(INDIRECT(ADDRESS(ROW()+1,COLUMN(), 4)),Dex!$A$2:$C262,3,false),"")</f>
        <v/>
      </c>
      <c r="F4" s="22" t="str">
        <f t="array" ref="F4">iferror(VLOOKUP(INDIRECT(ADDRESS(ROW()+1,COLUMN(), 4)),Dex!$A$2:$C262,3,false),"")</f>
        <v/>
      </c>
      <c r="G4" s="22" t="str">
        <f t="array" ref="G4">iferror(VLOOKUP(INDIRECT(ADDRESS(ROW()+1,COLUMN(), 4)),Dex!$A$2:$C262,3,false),"")</f>
        <v/>
      </c>
      <c r="H4" s="23" t="str">
        <f t="array" ref="H4">iferror(VLOOKUP("TRAINER_PIC_Brendan",Sprites!$A$1:$B262,2,false),"")</f>
        <v/>
      </c>
      <c r="I4" s="24"/>
    </row>
    <row r="5">
      <c r="A5" s="25"/>
      <c r="B5" s="26" t="s">
        <v>192</v>
      </c>
      <c r="C5" s="26" t="s">
        <v>195</v>
      </c>
      <c r="D5" s="26" t="s">
        <v>196</v>
      </c>
      <c r="E5" s="26"/>
      <c r="F5" s="26"/>
      <c r="G5" s="26"/>
      <c r="H5" s="28"/>
    </row>
    <row r="6">
      <c r="A6" s="10" t="s">
        <v>199</v>
      </c>
      <c r="B6" s="22">
        <v>10.0</v>
      </c>
      <c r="C6" s="22">
        <v>10.0</v>
      </c>
      <c r="D6" s="22">
        <v>11.0</v>
      </c>
      <c r="E6" s="22"/>
      <c r="F6" s="22"/>
      <c r="G6" s="22"/>
      <c r="H6" s="27"/>
    </row>
    <row r="7">
      <c r="A7" s="10" t="s">
        <v>201</v>
      </c>
      <c r="B7" s="29" t="s">
        <v>208</v>
      </c>
      <c r="C7" s="29" t="s">
        <v>208</v>
      </c>
      <c r="D7" s="29" t="s">
        <v>211</v>
      </c>
      <c r="E7" s="29"/>
      <c r="F7" s="29"/>
      <c r="G7" s="29"/>
      <c r="H7" s="27"/>
    </row>
    <row r="8">
      <c r="A8" s="10" t="s">
        <v>209</v>
      </c>
      <c r="B8" s="22" t="s">
        <v>217</v>
      </c>
      <c r="C8" s="22" t="s">
        <v>219</v>
      </c>
      <c r="D8" s="22" t="s">
        <v>221</v>
      </c>
      <c r="E8" s="22"/>
      <c r="F8" s="22"/>
      <c r="G8" s="22"/>
      <c r="H8" s="27"/>
    </row>
    <row r="9">
      <c r="A9" s="10" t="s">
        <v>215</v>
      </c>
      <c r="B9" s="29" t="s">
        <v>218</v>
      </c>
      <c r="C9" s="29" t="s">
        <v>220</v>
      </c>
      <c r="D9" s="29" t="s">
        <v>231</v>
      </c>
      <c r="E9" s="29"/>
      <c r="F9" s="29"/>
      <c r="G9" s="29"/>
      <c r="H9" s="27"/>
    </row>
    <row r="10">
      <c r="A10" s="15" t="s">
        <v>224</v>
      </c>
      <c r="B10" s="22" t="s">
        <v>240</v>
      </c>
      <c r="C10" s="22" t="s">
        <v>241</v>
      </c>
      <c r="D10" s="22" t="s">
        <v>242</v>
      </c>
      <c r="E10" s="22"/>
      <c r="F10" s="22"/>
      <c r="G10" s="22"/>
      <c r="H10" s="27"/>
    </row>
    <row r="11">
      <c r="A11" s="30"/>
      <c r="B11" s="22" t="s">
        <v>247</v>
      </c>
      <c r="C11" s="22" t="s">
        <v>249</v>
      </c>
      <c r="D11" s="22" t="s">
        <v>250</v>
      </c>
      <c r="E11" s="22"/>
      <c r="F11" s="22"/>
      <c r="G11" s="22"/>
      <c r="H11" s="27"/>
    </row>
    <row r="12">
      <c r="A12" s="30"/>
      <c r="B12" s="22" t="s">
        <v>253</v>
      </c>
      <c r="C12" s="22" t="s">
        <v>254</v>
      </c>
      <c r="D12" s="22" t="s">
        <v>255</v>
      </c>
      <c r="E12" s="22"/>
      <c r="F12" s="22"/>
      <c r="G12" s="22"/>
      <c r="H12" s="27"/>
    </row>
    <row r="13">
      <c r="A13" s="25"/>
      <c r="B13" s="22" t="s">
        <v>258</v>
      </c>
      <c r="C13" s="22" t="s">
        <v>259</v>
      </c>
      <c r="D13" s="22"/>
      <c r="E13" s="22"/>
      <c r="F13" s="22"/>
      <c r="G13" s="22"/>
      <c r="H13" s="31"/>
      <c r="I13" s="32"/>
    </row>
    <row r="14">
      <c r="A14" s="8" t="s">
        <v>262</v>
      </c>
      <c r="B14" s="9"/>
      <c r="C14" s="9"/>
      <c r="D14" s="9"/>
      <c r="E14" s="9"/>
      <c r="F14" s="9"/>
      <c r="G14" s="9"/>
      <c r="H14" s="9"/>
      <c r="I14" s="34"/>
    </row>
    <row r="15">
      <c r="A15" s="10" t="s">
        <v>5</v>
      </c>
      <c r="B15" s="11" t="s">
        <v>266</v>
      </c>
      <c r="C15" s="12"/>
      <c r="D15" s="12"/>
      <c r="E15" s="12"/>
      <c r="F15" s="12"/>
      <c r="G15" s="12"/>
      <c r="H15" s="12"/>
      <c r="I15" s="35"/>
    </row>
    <row r="16" ht="60.0" customHeight="1">
      <c r="A16" s="15" t="s">
        <v>16</v>
      </c>
      <c r="B16" s="22" t="str">
        <f t="array" ref="B16">iferror(VLOOKUP(INDIRECT(ADDRESS(ROW()+1,COLUMN(), 4)),Dex!$A$2:$C262,3,false),"")</f>
        <v/>
      </c>
      <c r="C16" s="22" t="str">
        <f t="array" ref="C16">iferror(VLOOKUP(INDIRECT(ADDRESS(ROW()+1,COLUMN(), 4)),Dex!$A$2:$C262,3,false),"")</f>
        <v/>
      </c>
      <c r="D16" s="22" t="str">
        <f t="array" ref="D16">iferror(VLOOKUP(INDIRECT(ADDRESS(ROW()+1,COLUMN(), 4)),Dex!$A$2:$C262,3,false),"")</f>
        <v/>
      </c>
      <c r="E16" s="22" t="str">
        <f t="array" ref="E16">iferror(VLOOKUP(INDIRECT(ADDRESS(ROW()+1,COLUMN(), 4)),Dex!$A$2:$C262,3,false),"")</f>
        <v/>
      </c>
      <c r="F16" s="22" t="str">
        <f t="array" ref="F16">iferror(VLOOKUP(INDIRECT(ADDRESS(ROW()+1,COLUMN(), 4)),Dex!$A$2:$C262,3,false),"")</f>
        <v/>
      </c>
      <c r="G16" s="22" t="str">
        <f t="array" ref="G16">iferror(VLOOKUP(INDIRECT(ADDRESS(ROW()+1,COLUMN(), 4)),Dex!$A$2:$C262,3,false),"")</f>
        <v/>
      </c>
      <c r="H16" s="23" t="str">
        <f t="array" ref="H16">iferror(VLOOKUP("TRAINER_PIC_Youngster",Sprites!$A$1:$B262,2,false),"")</f>
        <v/>
      </c>
      <c r="I16" s="39"/>
    </row>
    <row r="17">
      <c r="A17" s="25"/>
      <c r="B17" s="26" t="s">
        <v>27</v>
      </c>
      <c r="C17" s="26"/>
      <c r="D17" s="26"/>
      <c r="E17" s="26"/>
      <c r="F17" s="26"/>
      <c r="G17" s="26"/>
      <c r="H17" s="27"/>
      <c r="I17" s="40"/>
    </row>
    <row r="18">
      <c r="A18" s="10" t="s">
        <v>199</v>
      </c>
      <c r="B18" s="22">
        <v>0.0</v>
      </c>
      <c r="C18" s="22"/>
      <c r="D18" s="22"/>
      <c r="E18" s="22"/>
      <c r="F18" s="22"/>
      <c r="G18" s="22"/>
      <c r="H18" s="27"/>
      <c r="I18" s="40"/>
    </row>
    <row r="19">
      <c r="A19" s="10" t="s">
        <v>201</v>
      </c>
      <c r="B19" s="29" t="s">
        <v>27</v>
      </c>
      <c r="C19" s="29"/>
      <c r="D19" s="29"/>
      <c r="E19" s="29"/>
      <c r="F19" s="29"/>
      <c r="G19" s="29"/>
      <c r="H19" s="27"/>
      <c r="I19" s="40"/>
    </row>
    <row r="20">
      <c r="A20" s="10" t="s">
        <v>209</v>
      </c>
      <c r="B20" s="22" t="s">
        <v>27</v>
      </c>
      <c r="C20" s="22"/>
      <c r="D20" s="22"/>
      <c r="E20" s="22"/>
      <c r="F20" s="22"/>
      <c r="G20" s="22"/>
      <c r="H20" s="27"/>
      <c r="I20" s="40"/>
    </row>
    <row r="21">
      <c r="A21" s="10" t="s">
        <v>215</v>
      </c>
      <c r="B21" s="29" t="s">
        <v>414</v>
      </c>
      <c r="C21" s="29"/>
      <c r="D21" s="29"/>
      <c r="E21" s="29"/>
      <c r="F21" s="29"/>
      <c r="G21" s="29"/>
      <c r="H21" s="27"/>
      <c r="I21" s="40"/>
    </row>
    <row r="22">
      <c r="A22" s="15" t="s">
        <v>224</v>
      </c>
      <c r="B22" s="22" t="s">
        <v>27</v>
      </c>
      <c r="C22" s="22"/>
      <c r="D22" s="22"/>
      <c r="E22" s="22"/>
      <c r="F22" s="22"/>
      <c r="G22" s="22"/>
      <c r="H22" s="27"/>
      <c r="I22" s="40"/>
    </row>
    <row r="23">
      <c r="A23" s="30"/>
      <c r="B23" s="22"/>
      <c r="C23" s="22"/>
      <c r="D23" s="22"/>
      <c r="E23" s="22"/>
      <c r="F23" s="22"/>
      <c r="G23" s="22"/>
      <c r="H23" s="27"/>
      <c r="I23" s="40"/>
    </row>
    <row r="24">
      <c r="A24" s="30"/>
      <c r="B24" s="22"/>
      <c r="C24" s="22"/>
      <c r="D24" s="22"/>
      <c r="E24" s="22"/>
      <c r="F24" s="22"/>
      <c r="G24" s="22"/>
      <c r="H24" s="27"/>
      <c r="I24" s="40"/>
    </row>
    <row r="25">
      <c r="A25" s="25"/>
      <c r="B25" s="22"/>
      <c r="C25" s="22"/>
      <c r="D25" s="22"/>
      <c r="E25" s="22"/>
      <c r="F25" s="22"/>
      <c r="G25" s="22"/>
      <c r="H25" s="41"/>
      <c r="I25" s="42"/>
    </row>
    <row r="26">
      <c r="A26" s="10" t="s">
        <v>5</v>
      </c>
      <c r="B26" s="11" t="s">
        <v>430</v>
      </c>
      <c r="C26" s="12"/>
      <c r="D26" s="12"/>
      <c r="E26" s="12"/>
      <c r="F26" s="12"/>
      <c r="G26" s="12"/>
      <c r="H26" s="12"/>
      <c r="I26" s="14"/>
    </row>
    <row r="27" ht="60.0" customHeight="1">
      <c r="A27" s="15" t="s">
        <v>16</v>
      </c>
      <c r="B27" s="22" t="str">
        <f t="array" ref="B27">iferror(VLOOKUP(INDIRECT(ADDRESS(ROW()+1,COLUMN(), 4)),Dex!$A$2:$C262,3,false),"")</f>
        <v/>
      </c>
      <c r="C27" s="22" t="str">
        <f t="array" ref="C27">iferror(VLOOKUP(INDIRECT(ADDRESS(ROW()+1,COLUMN(), 4)),Dex!$A$2:$C262,3,false),"")</f>
        <v/>
      </c>
      <c r="D27" s="22" t="str">
        <f t="array" ref="D27">iferror(VLOOKUP(INDIRECT(ADDRESS(ROW()+1,COLUMN(), 4)),Dex!$A$2:$C262,3,false),"")</f>
        <v/>
      </c>
      <c r="E27" s="22" t="str">
        <f t="array" ref="E27">iferror(VLOOKUP(INDIRECT(ADDRESS(ROW()+1,COLUMN(), 4)),Dex!$A$2:$C262,3,false),"")</f>
        <v/>
      </c>
      <c r="F27" s="22" t="str">
        <f t="array" ref="F27">iferror(VLOOKUP(INDIRECT(ADDRESS(ROW()+1,COLUMN(), 4)),Dex!$A$2:$C262,3,false),"")</f>
        <v/>
      </c>
      <c r="G27" s="22" t="str">
        <f t="array" ref="G27">iferror(VLOOKUP(INDIRECT(ADDRESS(ROW()+1,COLUMN(), 4)),Dex!$A$2:$C262,3,false),"")</f>
        <v/>
      </c>
      <c r="H27" s="23" t="str">
        <f t="array" ref="H27">iferror(VLOOKUP("TRAINER_PIC_Youngster",Sprites!$A$1:$B262,2,false),"")</f>
        <v/>
      </c>
      <c r="I27" s="24"/>
    </row>
    <row r="28">
      <c r="A28" s="25"/>
      <c r="B28" s="26" t="s">
        <v>27</v>
      </c>
      <c r="C28" s="26"/>
      <c r="D28" s="26"/>
      <c r="E28" s="26"/>
      <c r="F28" s="26"/>
      <c r="G28" s="26"/>
      <c r="H28" s="28"/>
    </row>
    <row r="29">
      <c r="A29" s="10" t="s">
        <v>199</v>
      </c>
      <c r="B29" s="22">
        <v>0.0</v>
      </c>
      <c r="C29" s="22"/>
      <c r="D29" s="22"/>
      <c r="E29" s="22"/>
      <c r="F29" s="22"/>
      <c r="G29" s="22"/>
      <c r="H29" s="27"/>
    </row>
    <row r="30">
      <c r="A30" s="10" t="s">
        <v>201</v>
      </c>
      <c r="B30" s="29" t="s">
        <v>27</v>
      </c>
      <c r="C30" s="29"/>
      <c r="D30" s="29"/>
      <c r="E30" s="29"/>
      <c r="F30" s="29"/>
      <c r="G30" s="29"/>
      <c r="H30" s="27"/>
    </row>
    <row r="31">
      <c r="A31" s="10" t="s">
        <v>209</v>
      </c>
      <c r="B31" s="22" t="s">
        <v>27</v>
      </c>
      <c r="C31" s="22"/>
      <c r="D31" s="22"/>
      <c r="E31" s="22"/>
      <c r="F31" s="22"/>
      <c r="G31" s="22"/>
      <c r="H31" s="27"/>
    </row>
    <row r="32">
      <c r="A32" s="10" t="s">
        <v>215</v>
      </c>
      <c r="B32" s="29" t="s">
        <v>414</v>
      </c>
      <c r="C32" s="29"/>
      <c r="D32" s="29"/>
      <c r="E32" s="29"/>
      <c r="F32" s="29"/>
      <c r="G32" s="29"/>
      <c r="H32" s="27"/>
    </row>
    <row r="33">
      <c r="A33" s="15" t="s">
        <v>224</v>
      </c>
      <c r="B33" s="22" t="s">
        <v>27</v>
      </c>
      <c r="C33" s="22"/>
      <c r="D33" s="22"/>
      <c r="E33" s="22"/>
      <c r="F33" s="22"/>
      <c r="G33" s="22"/>
      <c r="H33" s="27"/>
    </row>
    <row r="34">
      <c r="A34" s="30"/>
      <c r="B34" s="22"/>
      <c r="C34" s="22"/>
      <c r="D34" s="22"/>
      <c r="E34" s="22"/>
      <c r="F34" s="22"/>
      <c r="G34" s="22"/>
      <c r="H34" s="27"/>
    </row>
    <row r="35">
      <c r="A35" s="30"/>
      <c r="B35" s="22"/>
      <c r="C35" s="22"/>
      <c r="D35" s="22"/>
      <c r="E35" s="22"/>
      <c r="F35" s="22"/>
      <c r="G35" s="22"/>
      <c r="H35" s="27"/>
    </row>
    <row r="36">
      <c r="A36" s="25"/>
      <c r="B36" s="22"/>
      <c r="C36" s="22"/>
      <c r="D36" s="22"/>
      <c r="E36" s="22"/>
      <c r="F36" s="22"/>
      <c r="G36" s="22"/>
      <c r="H36" s="41"/>
      <c r="I36" s="32"/>
    </row>
    <row r="37">
      <c r="A37" s="10" t="s">
        <v>5</v>
      </c>
      <c r="B37" s="11" t="s">
        <v>594</v>
      </c>
      <c r="C37" s="12"/>
      <c r="D37" s="12"/>
      <c r="E37" s="12"/>
      <c r="F37" s="12"/>
      <c r="G37" s="12"/>
      <c r="H37" s="12"/>
      <c r="I37" s="14"/>
    </row>
    <row r="38" ht="60.0" customHeight="1">
      <c r="A38" s="15" t="s">
        <v>16</v>
      </c>
      <c r="B38" s="22" t="str">
        <f t="array" ref="B38">iferror(VLOOKUP(INDIRECT(ADDRESS(ROW()+1,COLUMN(), 4)),Dex!$A$2:$C262,3,false),"")</f>
        <v/>
      </c>
      <c r="C38" s="22" t="str">
        <f t="array" ref="C38">iferror(VLOOKUP(INDIRECT(ADDRESS(ROW()+1,COLUMN(), 4)),Dex!$A$2:$C262,3,false),"")</f>
        <v/>
      </c>
      <c r="D38" s="22" t="str">
        <f t="array" ref="D38">iferror(VLOOKUP(INDIRECT(ADDRESS(ROW()+1,COLUMN(), 4)),Dex!$A$2:$C262,3,false),"")</f>
        <v/>
      </c>
      <c r="E38" s="22" t="str">
        <f t="array" ref="E38">iferror(VLOOKUP(INDIRECT(ADDRESS(ROW()+1,COLUMN(), 4)),Dex!$A$2:$C262,3,false),"")</f>
        <v/>
      </c>
      <c r="F38" s="22" t="str">
        <f t="array" ref="F38">iferror(VLOOKUP(INDIRECT(ADDRESS(ROW()+1,COLUMN(), 4)),Dex!$A$2:$C262,3,false),"")</f>
        <v/>
      </c>
      <c r="G38" s="22" t="str">
        <f t="array" ref="G38">iferror(VLOOKUP(INDIRECT(ADDRESS(ROW()+1,COLUMN(), 4)),Dex!$A$2:$C262,3,false),"")</f>
        <v/>
      </c>
      <c r="H38" s="23" t="str">
        <f t="array" ref="H38">iferror(VLOOKUP("TRAINER_PIC_Lass",Sprites!$A$1:$B262,2,false),"")</f>
        <v/>
      </c>
      <c r="I38" s="24"/>
    </row>
    <row r="39">
      <c r="A39" s="25"/>
      <c r="B39" s="26" t="s">
        <v>27</v>
      </c>
      <c r="C39" s="26"/>
      <c r="D39" s="26"/>
      <c r="E39" s="26"/>
      <c r="F39" s="26"/>
      <c r="G39" s="26"/>
      <c r="H39" s="28"/>
    </row>
    <row r="40">
      <c r="A40" s="10" t="s">
        <v>199</v>
      </c>
      <c r="B40" s="22">
        <v>0.0</v>
      </c>
      <c r="C40" s="22"/>
      <c r="D40" s="22"/>
      <c r="E40" s="22"/>
      <c r="F40" s="22"/>
      <c r="G40" s="22"/>
      <c r="H40" s="27"/>
    </row>
    <row r="41">
      <c r="A41" s="10" t="s">
        <v>201</v>
      </c>
      <c r="B41" s="29" t="s">
        <v>27</v>
      </c>
      <c r="C41" s="29"/>
      <c r="D41" s="29"/>
      <c r="E41" s="29"/>
      <c r="F41" s="29"/>
      <c r="G41" s="29"/>
      <c r="H41" s="27"/>
    </row>
    <row r="42">
      <c r="A42" s="10" t="s">
        <v>209</v>
      </c>
      <c r="B42" s="22" t="s">
        <v>27</v>
      </c>
      <c r="C42" s="22"/>
      <c r="D42" s="22"/>
      <c r="E42" s="22"/>
      <c r="F42" s="22"/>
      <c r="G42" s="22"/>
      <c r="H42" s="27"/>
    </row>
    <row r="43">
      <c r="A43" s="10" t="s">
        <v>215</v>
      </c>
      <c r="B43" s="29" t="s">
        <v>414</v>
      </c>
      <c r="C43" s="29"/>
      <c r="D43" s="29"/>
      <c r="E43" s="29"/>
      <c r="F43" s="29"/>
      <c r="G43" s="29"/>
      <c r="H43" s="27"/>
    </row>
    <row r="44">
      <c r="A44" s="15" t="s">
        <v>224</v>
      </c>
      <c r="B44" s="22" t="s">
        <v>27</v>
      </c>
      <c r="C44" s="22"/>
      <c r="D44" s="22"/>
      <c r="E44" s="22"/>
      <c r="F44" s="22"/>
      <c r="G44" s="22"/>
      <c r="H44" s="27"/>
    </row>
    <row r="45">
      <c r="A45" s="30"/>
      <c r="B45" s="22"/>
      <c r="C45" s="22"/>
      <c r="D45" s="22"/>
      <c r="E45" s="22"/>
      <c r="F45" s="22"/>
      <c r="G45" s="22"/>
      <c r="H45" s="27"/>
    </row>
    <row r="46">
      <c r="A46" s="30"/>
      <c r="B46" s="22"/>
      <c r="C46" s="22"/>
      <c r="D46" s="22"/>
      <c r="E46" s="22"/>
      <c r="F46" s="22"/>
      <c r="G46" s="22"/>
      <c r="H46" s="27"/>
    </row>
    <row r="47">
      <c r="A47" s="25"/>
      <c r="B47" s="22"/>
      <c r="C47" s="22"/>
      <c r="D47" s="22"/>
      <c r="E47" s="22"/>
      <c r="F47" s="22"/>
      <c r="G47" s="22"/>
      <c r="H47" s="41"/>
      <c r="I47" s="32"/>
    </row>
    <row r="48">
      <c r="A48" s="10" t="s">
        <v>5</v>
      </c>
      <c r="B48" s="11" t="s">
        <v>687</v>
      </c>
      <c r="C48" s="12"/>
      <c r="D48" s="12"/>
      <c r="E48" s="12"/>
      <c r="F48" s="12"/>
      <c r="G48" s="12"/>
      <c r="H48" s="12"/>
      <c r="I48" s="14"/>
    </row>
    <row r="49" ht="60.0" customHeight="1">
      <c r="A49" s="15" t="s">
        <v>16</v>
      </c>
      <c r="B49" s="22" t="str">
        <f t="array" ref="B49">iferror(VLOOKUP(INDIRECT(ADDRESS(ROW()+1,COLUMN(), 4)),Dex!$A$2:$C262,3,false),"")</f>
        <v/>
      </c>
      <c r="C49" s="22" t="str">
        <f t="array" ref="C49">iferror(VLOOKUP(INDIRECT(ADDRESS(ROW()+1,COLUMN(), 4)),Dex!$A$2:$C262,3,false),"")</f>
        <v/>
      </c>
      <c r="D49" s="22" t="str">
        <f t="array" ref="D49">iferror(VLOOKUP(INDIRECT(ADDRESS(ROW()+1,COLUMN(), 4)),Dex!$A$2:$C262,3,false),"")</f>
        <v/>
      </c>
      <c r="E49" s="22" t="str">
        <f t="array" ref="E49">iferror(VLOOKUP(INDIRECT(ADDRESS(ROW()+1,COLUMN(), 4)),Dex!$A$2:$C262,3,false),"")</f>
        <v/>
      </c>
      <c r="F49" s="22" t="str">
        <f t="array" ref="F49">iferror(VLOOKUP(INDIRECT(ADDRESS(ROW()+1,COLUMN(), 4)),Dex!$A$2:$C262,3,false),"")</f>
        <v/>
      </c>
      <c r="G49" s="22" t="str">
        <f t="array" ref="G49">iferror(VLOOKUP(INDIRECT(ADDRESS(ROW()+1,COLUMN(), 4)),Dex!$A$2:$C262,3,false),"")</f>
        <v/>
      </c>
      <c r="H49" s="23" t="str">
        <f t="array" ref="H49">iferror(VLOOKUP("TRAINER_PIC_Youngster",Sprites!$A$1:$B262,2,false),"")</f>
        <v/>
      </c>
      <c r="I49" s="24"/>
    </row>
    <row r="50">
      <c r="A50" s="25"/>
      <c r="B50" s="26" t="s">
        <v>27</v>
      </c>
      <c r="C50" s="26"/>
      <c r="D50" s="26"/>
      <c r="E50" s="26"/>
      <c r="F50" s="26"/>
      <c r="G50" s="26"/>
      <c r="H50" s="28"/>
    </row>
    <row r="51">
      <c r="A51" s="10" t="s">
        <v>199</v>
      </c>
      <c r="B51" s="22">
        <v>0.0</v>
      </c>
      <c r="C51" s="22"/>
      <c r="D51" s="22"/>
      <c r="E51" s="22"/>
      <c r="F51" s="22"/>
      <c r="G51" s="22"/>
      <c r="H51" s="27"/>
    </row>
    <row r="52">
      <c r="A52" s="10" t="s">
        <v>201</v>
      </c>
      <c r="B52" s="29" t="s">
        <v>27</v>
      </c>
      <c r="C52" s="29"/>
      <c r="D52" s="29"/>
      <c r="E52" s="29"/>
      <c r="F52" s="29"/>
      <c r="G52" s="29"/>
      <c r="H52" s="27"/>
    </row>
    <row r="53">
      <c r="A53" s="10" t="s">
        <v>209</v>
      </c>
      <c r="B53" s="22" t="s">
        <v>27</v>
      </c>
      <c r="C53" s="22"/>
      <c r="D53" s="22"/>
      <c r="E53" s="22"/>
      <c r="F53" s="22"/>
      <c r="G53" s="22"/>
      <c r="H53" s="27"/>
    </row>
    <row r="54">
      <c r="A54" s="10" t="s">
        <v>215</v>
      </c>
      <c r="B54" s="29" t="s">
        <v>414</v>
      </c>
      <c r="C54" s="29"/>
      <c r="D54" s="29"/>
      <c r="E54" s="29"/>
      <c r="F54" s="29"/>
      <c r="G54" s="29"/>
      <c r="H54" s="27"/>
    </row>
    <row r="55">
      <c r="A55" s="15" t="s">
        <v>224</v>
      </c>
      <c r="B55" s="22" t="s">
        <v>27</v>
      </c>
      <c r="C55" s="22"/>
      <c r="D55" s="22"/>
      <c r="E55" s="22"/>
      <c r="F55" s="22"/>
      <c r="G55" s="22"/>
      <c r="H55" s="27"/>
    </row>
    <row r="56">
      <c r="A56" s="30"/>
      <c r="B56" s="22"/>
      <c r="C56" s="22"/>
      <c r="D56" s="22"/>
      <c r="E56" s="22"/>
      <c r="F56" s="22"/>
      <c r="G56" s="22"/>
      <c r="H56" s="27"/>
    </row>
    <row r="57">
      <c r="A57" s="30"/>
      <c r="B57" s="22"/>
      <c r="C57" s="22"/>
      <c r="D57" s="22"/>
      <c r="E57" s="22"/>
      <c r="F57" s="22"/>
      <c r="G57" s="22"/>
      <c r="H57" s="27"/>
    </row>
    <row r="58">
      <c r="A58" s="25"/>
      <c r="B58" s="22"/>
      <c r="C58" s="22"/>
      <c r="D58" s="22"/>
      <c r="E58" s="22"/>
      <c r="F58" s="22"/>
      <c r="G58" s="22"/>
      <c r="H58" s="41"/>
      <c r="I58" s="32"/>
    </row>
    <row r="59">
      <c r="A59" s="8" t="s">
        <v>818</v>
      </c>
      <c r="B59" s="12"/>
      <c r="C59" s="12"/>
      <c r="D59" s="12"/>
      <c r="E59" s="12"/>
      <c r="F59" s="12"/>
      <c r="G59" s="12"/>
      <c r="H59" s="12"/>
      <c r="I59" s="34"/>
    </row>
    <row r="60">
      <c r="A60" s="10" t="s">
        <v>5</v>
      </c>
      <c r="B60" s="11" t="s">
        <v>826</v>
      </c>
      <c r="C60" s="9"/>
      <c r="D60" s="9"/>
      <c r="E60" s="9"/>
      <c r="F60" s="9"/>
      <c r="G60" s="9"/>
      <c r="H60" s="12"/>
      <c r="I60" s="14"/>
    </row>
    <row r="61" ht="60.0" customHeight="1">
      <c r="A61" s="15" t="s">
        <v>16</v>
      </c>
      <c r="B61" s="22" t="str">
        <f t="array" ref="B61">iferror(VLOOKUP(INDIRECT(ADDRESS(ROW()+1,COLUMN(), 4)),Dex!$A$2:$C262,3,false),"")</f>
        <v/>
      </c>
      <c r="C61" s="22" t="str">
        <f t="array" ref="C61">iferror(VLOOKUP(INDIRECT(ADDRESS(ROW()+1,COLUMN(), 4)),Dex!$A$2:$C262,3,false),"")</f>
        <v/>
      </c>
      <c r="D61" s="22" t="str">
        <f t="array" ref="D61">iferror(VLOOKUP(INDIRECT(ADDRESS(ROW()+1,COLUMN(), 4)),Dex!$A$2:$C262,3,false),"")</f>
        <v/>
      </c>
      <c r="E61" s="22" t="str">
        <f t="array" ref="E61">iferror(VLOOKUP(INDIRECT(ADDRESS(ROW()+1,COLUMN(), 4)),Dex!$A$2:$C262,3,false),"")</f>
        <v/>
      </c>
      <c r="F61" s="22" t="str">
        <f t="array" ref="F61">iferror(VLOOKUP(INDIRECT(ADDRESS(ROW()+1,COLUMN(), 4)),Dex!$A$2:$C262,3,false),"")</f>
        <v/>
      </c>
      <c r="G61" s="22" t="str">
        <f t="array" ref="G61">iferror(VLOOKUP(INDIRECT(ADDRESS(ROW()+1,COLUMN(), 4)),Dex!$A$2:$C262,3,false),"")</f>
        <v/>
      </c>
      <c r="H61" s="23" t="str">
        <f t="array" ref="H61">iferror(VLOOKUP("TRAINER_PIC_Aqua_Grunt_F",Sprites!$A$1:$B262,2,false),"")</f>
        <v/>
      </c>
      <c r="I61" s="24"/>
    </row>
    <row r="62">
      <c r="A62" s="25"/>
      <c r="B62" s="26" t="s">
        <v>882</v>
      </c>
      <c r="C62" s="26" t="s">
        <v>744</v>
      </c>
      <c r="D62" s="26" t="s">
        <v>710</v>
      </c>
      <c r="E62" s="26" t="s">
        <v>579</v>
      </c>
      <c r="F62" s="26"/>
      <c r="G62" s="26"/>
      <c r="H62" s="28"/>
    </row>
    <row r="63">
      <c r="A63" s="10" t="s">
        <v>199</v>
      </c>
      <c r="B63" s="22">
        <v>34.0</v>
      </c>
      <c r="C63" s="22">
        <v>33.0</v>
      </c>
      <c r="D63" s="22">
        <v>33.0</v>
      </c>
      <c r="E63" s="22">
        <v>33.0</v>
      </c>
      <c r="F63" s="22"/>
      <c r="G63" s="22"/>
      <c r="H63" s="27"/>
    </row>
    <row r="64">
      <c r="A64" s="10" t="s">
        <v>201</v>
      </c>
      <c r="B64" s="29" t="s">
        <v>546</v>
      </c>
      <c r="C64" s="29" t="s">
        <v>211</v>
      </c>
      <c r="D64" s="29" t="s">
        <v>211</v>
      </c>
      <c r="E64" s="29" t="s">
        <v>345</v>
      </c>
      <c r="F64" s="29"/>
      <c r="G64" s="29"/>
      <c r="H64" s="27"/>
    </row>
    <row r="65">
      <c r="A65" s="10" t="s">
        <v>209</v>
      </c>
      <c r="B65" s="22" t="s">
        <v>896</v>
      </c>
      <c r="C65" s="22" t="s">
        <v>221</v>
      </c>
      <c r="D65" s="22" t="s">
        <v>899</v>
      </c>
      <c r="E65" s="22" t="s">
        <v>901</v>
      </c>
      <c r="F65" s="22"/>
      <c r="G65" s="22"/>
      <c r="H65" s="27"/>
    </row>
    <row r="66">
      <c r="A66" s="10" t="s">
        <v>215</v>
      </c>
      <c r="B66" s="29" t="s">
        <v>220</v>
      </c>
      <c r="C66" s="29" t="s">
        <v>906</v>
      </c>
      <c r="D66" s="29" t="s">
        <v>222</v>
      </c>
      <c r="E66" s="29" t="s">
        <v>542</v>
      </c>
      <c r="F66" s="29"/>
      <c r="G66" s="29"/>
      <c r="H66" s="27"/>
    </row>
    <row r="67">
      <c r="A67" s="15" t="s">
        <v>224</v>
      </c>
      <c r="B67" s="22" t="s">
        <v>549</v>
      </c>
      <c r="C67" s="22" t="s">
        <v>920</v>
      </c>
      <c r="D67" s="22" t="s">
        <v>360</v>
      </c>
      <c r="E67" s="22" t="s">
        <v>917</v>
      </c>
      <c r="F67" s="22"/>
      <c r="G67" s="22"/>
      <c r="H67" s="27"/>
    </row>
    <row r="68">
      <c r="A68" s="30"/>
      <c r="B68" s="22" t="s">
        <v>432</v>
      </c>
      <c r="C68" s="22" t="s">
        <v>924</v>
      </c>
      <c r="D68" s="22" t="s">
        <v>926</v>
      </c>
      <c r="E68" s="22" t="s">
        <v>927</v>
      </c>
      <c r="F68" s="22"/>
      <c r="G68" s="22"/>
      <c r="H68" s="27"/>
    </row>
    <row r="69">
      <c r="A69" s="30"/>
      <c r="B69" s="22" t="s">
        <v>930</v>
      </c>
      <c r="C69" s="22" t="s">
        <v>367</v>
      </c>
      <c r="D69" s="22" t="s">
        <v>355</v>
      </c>
      <c r="E69" s="22" t="s">
        <v>700</v>
      </c>
      <c r="F69" s="22"/>
      <c r="G69" s="22"/>
      <c r="H69" s="28"/>
    </row>
    <row r="70">
      <c r="A70" s="25"/>
      <c r="B70" s="22" t="s">
        <v>936</v>
      </c>
      <c r="C70" s="22" t="s">
        <v>937</v>
      </c>
      <c r="D70" s="22" t="s">
        <v>938</v>
      </c>
      <c r="E70" s="22" t="s">
        <v>941</v>
      </c>
      <c r="F70" s="22"/>
      <c r="G70" s="22"/>
      <c r="H70" s="41"/>
      <c r="I70" s="32"/>
    </row>
    <row r="71">
      <c r="A71" s="8" t="s">
        <v>948</v>
      </c>
      <c r="B71" s="9"/>
      <c r="C71" s="9"/>
      <c r="D71" s="9"/>
      <c r="E71" s="9"/>
      <c r="F71" s="9"/>
      <c r="G71" s="9"/>
      <c r="H71" s="12"/>
      <c r="I71" s="9"/>
    </row>
    <row r="72">
      <c r="A72" s="10" t="s">
        <v>5</v>
      </c>
      <c r="B72" s="11" t="s">
        <v>956</v>
      </c>
      <c r="C72" s="9"/>
      <c r="D72" s="9"/>
      <c r="E72" s="9"/>
      <c r="F72" s="9"/>
      <c r="G72" s="9"/>
      <c r="H72" s="12"/>
      <c r="I72" s="14"/>
    </row>
    <row r="73" ht="60.0" customHeight="1">
      <c r="A73" s="15" t="s">
        <v>16</v>
      </c>
      <c r="B73" s="22" t="str">
        <f t="array" ref="B73">iferror(VLOOKUP(INDIRECT(ADDRESS(ROW()+1,COLUMN(), 4)),Dex!$A$2:$C262,3,false),"")</f>
        <v/>
      </c>
      <c r="C73" s="22" t="str">
        <f t="array" ref="C73">iferror(VLOOKUP(INDIRECT(ADDRESS(ROW()+1,COLUMN(), 4)),Dex!$A$2:$C262,3,false),"")</f>
        <v/>
      </c>
      <c r="D73" s="22" t="str">
        <f t="array" ref="D73">iferror(VLOOKUP(INDIRECT(ADDRESS(ROW()+1,COLUMN(), 4)),Dex!$A$2:$C262,3,false),"")</f>
        <v/>
      </c>
      <c r="E73" s="22" t="str">
        <f t="array" ref="E73">iferror(VLOOKUP(INDIRECT(ADDRESS(ROW()+1,COLUMN(), 4)),Dex!$A$2:$C262,3,false),"")</f>
        <v/>
      </c>
      <c r="F73" s="22" t="str">
        <f t="array" ref="F73">iferror(VLOOKUP(INDIRECT(ADDRESS(ROW()+1,COLUMN(), 4)),Dex!$A$2:$C262,3,false),"")</f>
        <v/>
      </c>
      <c r="G73" s="22" t="str">
        <f t="array" ref="G73">iferror(VLOOKUP(INDIRECT(ADDRESS(ROW()+1,COLUMN(), 4)),Dex!$A$2:$C262,3,false),"")</f>
        <v/>
      </c>
      <c r="H73" s="23" t="str">
        <f t="array" ref="H73">iferror(VLOOKUP("TRAINER_PIC_Youngster",Sprites!$A$1:$B262,2,false),"")</f>
        <v/>
      </c>
      <c r="I73" s="24"/>
    </row>
    <row r="74">
      <c r="A74" s="25"/>
      <c r="B74" s="26" t="s">
        <v>1041</v>
      </c>
      <c r="C74" s="26" t="s">
        <v>1044</v>
      </c>
      <c r="D74" s="26" t="s">
        <v>1046</v>
      </c>
      <c r="E74" s="26"/>
      <c r="F74" s="26"/>
      <c r="G74" s="26"/>
      <c r="H74" s="28"/>
    </row>
    <row r="75">
      <c r="A75" s="10" t="s">
        <v>199</v>
      </c>
      <c r="B75" s="22">
        <v>33.0</v>
      </c>
      <c r="C75" s="22">
        <v>33.0</v>
      </c>
      <c r="D75" s="22">
        <v>34.0</v>
      </c>
      <c r="E75" s="22"/>
      <c r="F75" s="22"/>
      <c r="G75" s="22"/>
      <c r="H75" s="28"/>
    </row>
    <row r="76">
      <c r="A76" s="10" t="s">
        <v>201</v>
      </c>
      <c r="B76" s="29" t="s">
        <v>1052</v>
      </c>
      <c r="C76" s="29" t="s">
        <v>1054</v>
      </c>
      <c r="D76" s="29" t="s">
        <v>211</v>
      </c>
      <c r="E76" s="29"/>
      <c r="F76" s="29"/>
      <c r="G76" s="29"/>
      <c r="H76" s="27"/>
    </row>
    <row r="77">
      <c r="A77" s="10" t="s">
        <v>209</v>
      </c>
      <c r="B77" s="22" t="s">
        <v>1057</v>
      </c>
      <c r="C77" s="22" t="s">
        <v>1059</v>
      </c>
      <c r="D77" s="22" t="s">
        <v>1060</v>
      </c>
      <c r="E77" s="22"/>
      <c r="F77" s="22"/>
      <c r="G77" s="22"/>
      <c r="H77" s="27"/>
    </row>
    <row r="78">
      <c r="A78" s="10" t="s">
        <v>215</v>
      </c>
      <c r="B78" s="29" t="s">
        <v>542</v>
      </c>
      <c r="C78" s="29" t="s">
        <v>220</v>
      </c>
      <c r="D78" s="29" t="s">
        <v>231</v>
      </c>
      <c r="E78" s="29"/>
      <c r="F78" s="29"/>
      <c r="G78" s="29"/>
      <c r="H78" s="27"/>
    </row>
    <row r="79">
      <c r="A79" s="15" t="s">
        <v>224</v>
      </c>
      <c r="B79" s="22" t="s">
        <v>1064</v>
      </c>
      <c r="C79" s="22" t="s">
        <v>1065</v>
      </c>
      <c r="D79" s="22" t="s">
        <v>249</v>
      </c>
      <c r="E79" s="22"/>
      <c r="F79" s="22"/>
      <c r="G79" s="22"/>
      <c r="H79" s="27"/>
    </row>
    <row r="80">
      <c r="A80" s="30"/>
      <c r="B80" s="22" t="s">
        <v>810</v>
      </c>
      <c r="C80" s="22" t="s">
        <v>1068</v>
      </c>
      <c r="D80" s="22" t="s">
        <v>1069</v>
      </c>
      <c r="E80" s="22"/>
      <c r="F80" s="22"/>
      <c r="G80" s="22"/>
      <c r="H80" s="27"/>
    </row>
    <row r="81">
      <c r="A81" s="30"/>
      <c r="B81" s="22" t="s">
        <v>565</v>
      </c>
      <c r="C81" s="22" t="s">
        <v>254</v>
      </c>
      <c r="D81" s="22" t="s">
        <v>243</v>
      </c>
      <c r="E81" s="22"/>
      <c r="F81" s="22"/>
      <c r="G81" s="22"/>
      <c r="H81" s="28"/>
    </row>
    <row r="82">
      <c r="A82" s="25"/>
      <c r="B82" s="22"/>
      <c r="C82" s="22"/>
      <c r="D82" s="22" t="s">
        <v>1072</v>
      </c>
      <c r="E82" s="22"/>
      <c r="F82" s="22"/>
      <c r="G82" s="22"/>
      <c r="H82" s="41"/>
      <c r="I82" s="32"/>
    </row>
    <row r="83">
      <c r="A83" s="10" t="s">
        <v>5</v>
      </c>
      <c r="B83" s="11" t="s">
        <v>1074</v>
      </c>
      <c r="C83" s="9"/>
      <c r="D83" s="9"/>
      <c r="E83" s="9"/>
      <c r="F83" s="9"/>
      <c r="G83" s="9"/>
      <c r="H83" s="12"/>
      <c r="I83" s="14"/>
    </row>
    <row r="84" ht="60.0" customHeight="1">
      <c r="A84" s="15" t="s">
        <v>16</v>
      </c>
      <c r="B84" s="22" t="str">
        <f t="array" ref="B84">iferror(VLOOKUP(INDIRECT(ADDRESS(ROW()+1,COLUMN(), 4)),Dex!$A$2:$C262,3,false),"")</f>
        <v/>
      </c>
      <c r="C84" s="22" t="str">
        <f t="array" ref="C84">iferror(VLOOKUP(INDIRECT(ADDRESS(ROW()+1,COLUMN(), 4)),Dex!$A$2:$C262,3,false),"")</f>
        <v/>
      </c>
      <c r="D84" s="22" t="str">
        <f t="array" ref="D84">iferror(VLOOKUP(INDIRECT(ADDRESS(ROW()+1,COLUMN(), 4)),Dex!$A$2:$C262,3,false),"")</f>
        <v/>
      </c>
      <c r="E84" s="22" t="str">
        <f t="array" ref="E84">iferror(VLOOKUP(INDIRECT(ADDRESS(ROW()+1,COLUMN(), 4)),Dex!$A$2:$C262,3,false),"")</f>
        <v/>
      </c>
      <c r="F84" s="22" t="str">
        <f t="array" ref="F84">iferror(VLOOKUP(INDIRECT(ADDRESS(ROW()+1,COLUMN(), 4)),Dex!$A$2:$C262,3,false),"")</f>
        <v/>
      </c>
      <c r="G84" s="22" t="str">
        <f t="array" ref="G84">iferror(VLOOKUP(INDIRECT(ADDRESS(ROW()+1,COLUMN(), 4)),Dex!$A$2:$C262,3,false),"")</f>
        <v/>
      </c>
      <c r="H84" s="23" t="str">
        <f t="array" ref="H84">iferror(VLOOKUP("TRAINER_PIC_Bug_Catcher",Sprites!$A$1:$B262,2,false),"")</f>
        <v/>
      </c>
      <c r="I84" s="24"/>
    </row>
    <row r="85">
      <c r="A85" s="25"/>
      <c r="B85" s="26" t="s">
        <v>1062</v>
      </c>
      <c r="C85" s="26" t="s">
        <v>101</v>
      </c>
      <c r="D85" s="26" t="s">
        <v>1141</v>
      </c>
      <c r="E85" s="26" t="s">
        <v>510</v>
      </c>
      <c r="F85" s="26"/>
      <c r="G85" s="26"/>
      <c r="H85" s="28"/>
    </row>
    <row r="86">
      <c r="A86" s="10" t="s">
        <v>199</v>
      </c>
      <c r="B86" s="22">
        <v>33.0</v>
      </c>
      <c r="C86" s="22">
        <v>33.0</v>
      </c>
      <c r="D86" s="22">
        <v>33.0</v>
      </c>
      <c r="E86" s="22">
        <v>34.0</v>
      </c>
      <c r="F86" s="22"/>
      <c r="G86" s="22"/>
      <c r="H86" s="28"/>
    </row>
    <row r="87">
      <c r="A87" s="10" t="s">
        <v>201</v>
      </c>
      <c r="B87" s="29" t="s">
        <v>1146</v>
      </c>
      <c r="C87" s="29" t="s">
        <v>1147</v>
      </c>
      <c r="D87" s="29" t="s">
        <v>1148</v>
      </c>
      <c r="E87" s="29" t="s">
        <v>1150</v>
      </c>
      <c r="F87" s="29"/>
      <c r="G87" s="29"/>
      <c r="H87" s="27"/>
    </row>
    <row r="88">
      <c r="A88" s="10" t="s">
        <v>209</v>
      </c>
      <c r="B88" s="22" t="s">
        <v>1152</v>
      </c>
      <c r="C88" s="22" t="s">
        <v>348</v>
      </c>
      <c r="D88" s="22" t="s">
        <v>1059</v>
      </c>
      <c r="E88" s="22" t="s">
        <v>1153</v>
      </c>
      <c r="F88" s="22"/>
      <c r="G88" s="22"/>
      <c r="H88" s="27"/>
    </row>
    <row r="89">
      <c r="A89" s="10" t="s">
        <v>215</v>
      </c>
      <c r="B89" s="29" t="s">
        <v>218</v>
      </c>
      <c r="C89" s="29" t="s">
        <v>220</v>
      </c>
      <c r="D89" s="29" t="s">
        <v>220</v>
      </c>
      <c r="E89" s="29" t="s">
        <v>231</v>
      </c>
      <c r="F89" s="29"/>
      <c r="G89" s="29"/>
      <c r="H89" s="27"/>
    </row>
    <row r="90">
      <c r="A90" s="15" t="s">
        <v>224</v>
      </c>
      <c r="B90" s="22" t="s">
        <v>1158</v>
      </c>
      <c r="C90" s="22" t="s">
        <v>1069</v>
      </c>
      <c r="D90" s="22" t="s">
        <v>1159</v>
      </c>
      <c r="E90" s="22" t="s">
        <v>242</v>
      </c>
      <c r="F90" s="22"/>
      <c r="G90" s="22"/>
      <c r="H90" s="27"/>
    </row>
    <row r="91">
      <c r="A91" s="30"/>
      <c r="B91" s="22" t="s">
        <v>240</v>
      </c>
      <c r="C91" s="22" t="s">
        <v>1162</v>
      </c>
      <c r="D91" s="22" t="s">
        <v>1163</v>
      </c>
      <c r="E91" s="22" t="s">
        <v>549</v>
      </c>
      <c r="F91" s="22"/>
      <c r="G91" s="22"/>
      <c r="H91" s="27"/>
    </row>
    <row r="92">
      <c r="A92" s="30"/>
      <c r="B92" s="22" t="s">
        <v>1165</v>
      </c>
      <c r="C92" s="22" t="s">
        <v>917</v>
      </c>
      <c r="D92" s="22" t="s">
        <v>1166</v>
      </c>
      <c r="E92" s="22" t="s">
        <v>700</v>
      </c>
      <c r="F92" s="22"/>
      <c r="G92" s="22"/>
      <c r="H92" s="28"/>
    </row>
    <row r="93">
      <c r="A93" s="25"/>
      <c r="B93" s="22" t="s">
        <v>474</v>
      </c>
      <c r="C93" s="22" t="s">
        <v>1169</v>
      </c>
      <c r="D93" s="22" t="s">
        <v>1170</v>
      </c>
      <c r="E93" s="22" t="s">
        <v>702</v>
      </c>
      <c r="F93" s="22"/>
      <c r="G93" s="22"/>
      <c r="H93" s="41"/>
      <c r="I93" s="32"/>
    </row>
    <row r="94">
      <c r="A94" s="10" t="s">
        <v>5</v>
      </c>
      <c r="B94" s="11" t="s">
        <v>1173</v>
      </c>
      <c r="C94" s="9"/>
      <c r="D94" s="9"/>
      <c r="E94" s="9"/>
      <c r="F94" s="9"/>
      <c r="G94" s="9"/>
      <c r="H94" s="12"/>
      <c r="I94" s="14"/>
    </row>
    <row r="95" ht="60.0" customHeight="1">
      <c r="A95" s="15" t="s">
        <v>16</v>
      </c>
      <c r="B95" s="22" t="str">
        <f t="array" ref="B95">iferror(VLOOKUP(INDIRECT(ADDRESS(ROW()+1,COLUMN(), 4)),Dex!$A$2:$C262,3,false),"")</f>
        <v/>
      </c>
      <c r="C95" s="22" t="str">
        <f t="array" ref="C95">iferror(VLOOKUP(INDIRECT(ADDRESS(ROW()+1,COLUMN(), 4)),Dex!$A$2:$C262,3,false),"")</f>
        <v/>
      </c>
      <c r="D95" s="22" t="str">
        <f t="array" ref="D95">iferror(VLOOKUP(INDIRECT(ADDRESS(ROW()+1,COLUMN(), 4)),Dex!$A$2:$C262,3,false),"")</f>
        <v/>
      </c>
      <c r="E95" s="22" t="str">
        <f t="array" ref="E95">iferror(VLOOKUP(INDIRECT(ADDRESS(ROW()+1,COLUMN(), 4)),Dex!$A$2:$C262,3,false),"")</f>
        <v/>
      </c>
      <c r="F95" s="22" t="str">
        <f t="array" ref="F95">iferror(VLOOKUP(INDIRECT(ADDRESS(ROW()+1,COLUMN(), 4)),Dex!$A$2:$C262,3,false),"")</f>
        <v/>
      </c>
      <c r="G95" s="22" t="str">
        <f t="array" ref="G95">iferror(VLOOKUP(INDIRECT(ADDRESS(ROW()+1,COLUMN(), 4)),Dex!$A$2:$C262,3,false),"")</f>
        <v/>
      </c>
      <c r="H95" s="23" t="str">
        <f t="array" ref="H95">iferror(VLOOKUP("TRAINER_PIC_Youngster",Sprites!$A$1:$B262,2,false),"")</f>
        <v/>
      </c>
      <c r="I95" s="24"/>
    </row>
    <row r="96">
      <c r="A96" s="25"/>
      <c r="B96" s="26" t="s">
        <v>1237</v>
      </c>
      <c r="C96" s="26" t="s">
        <v>1238</v>
      </c>
      <c r="D96" s="26" t="s">
        <v>1239</v>
      </c>
      <c r="E96" s="26" t="s">
        <v>1021</v>
      </c>
      <c r="F96" s="26"/>
      <c r="G96" s="26"/>
      <c r="H96" s="28"/>
    </row>
    <row r="97">
      <c r="A97" s="10" t="s">
        <v>199</v>
      </c>
      <c r="B97" s="22">
        <v>33.0</v>
      </c>
      <c r="C97" s="22">
        <v>33.0</v>
      </c>
      <c r="D97" s="22">
        <v>33.0</v>
      </c>
      <c r="E97" s="22">
        <v>34.0</v>
      </c>
      <c r="F97" s="22"/>
      <c r="G97" s="22"/>
      <c r="H97" s="28"/>
    </row>
    <row r="98">
      <c r="A98" s="10" t="s">
        <v>201</v>
      </c>
      <c r="B98" s="29" t="s">
        <v>645</v>
      </c>
      <c r="C98" s="29" t="s">
        <v>1023</v>
      </c>
      <c r="D98" s="29" t="s">
        <v>1242</v>
      </c>
      <c r="E98" s="29" t="s">
        <v>645</v>
      </c>
      <c r="F98" s="29"/>
      <c r="G98" s="29"/>
      <c r="H98" s="27"/>
    </row>
    <row r="99">
      <c r="A99" s="10" t="s">
        <v>209</v>
      </c>
      <c r="B99" s="22" t="s">
        <v>1244</v>
      </c>
      <c r="C99" s="22" t="s">
        <v>1245</v>
      </c>
      <c r="D99" s="22" t="s">
        <v>901</v>
      </c>
      <c r="E99" s="22" t="s">
        <v>1244</v>
      </c>
      <c r="F99" s="22"/>
      <c r="G99" s="22"/>
      <c r="H99" s="27"/>
    </row>
    <row r="100">
      <c r="A100" s="10" t="s">
        <v>215</v>
      </c>
      <c r="B100" s="29" t="s">
        <v>906</v>
      </c>
      <c r="C100" s="29" t="s">
        <v>419</v>
      </c>
      <c r="D100" s="29" t="s">
        <v>542</v>
      </c>
      <c r="E100" s="29" t="s">
        <v>222</v>
      </c>
      <c r="F100" s="29"/>
      <c r="G100" s="29"/>
      <c r="H100" s="27"/>
    </row>
    <row r="101">
      <c r="A101" s="15" t="s">
        <v>224</v>
      </c>
      <c r="B101" s="22" t="s">
        <v>926</v>
      </c>
      <c r="C101" s="22" t="s">
        <v>1248</v>
      </c>
      <c r="D101" s="22" t="s">
        <v>1128</v>
      </c>
      <c r="E101" s="22" t="s">
        <v>1250</v>
      </c>
      <c r="F101" s="22"/>
      <c r="G101" s="22"/>
      <c r="H101" s="27"/>
    </row>
    <row r="102">
      <c r="A102" s="30"/>
      <c r="B102" s="22" t="s">
        <v>1251</v>
      </c>
      <c r="C102" s="22" t="s">
        <v>1252</v>
      </c>
      <c r="D102" s="22" t="s">
        <v>941</v>
      </c>
      <c r="E102" s="22" t="s">
        <v>926</v>
      </c>
      <c r="F102" s="22"/>
      <c r="G102" s="22"/>
      <c r="H102" s="27"/>
    </row>
    <row r="103">
      <c r="A103" s="30"/>
      <c r="B103" s="22" t="s">
        <v>357</v>
      </c>
      <c r="C103" s="22" t="s">
        <v>253</v>
      </c>
      <c r="D103" s="22" t="s">
        <v>367</v>
      </c>
      <c r="E103" s="22" t="s">
        <v>1251</v>
      </c>
      <c r="F103" s="22"/>
      <c r="G103" s="22"/>
      <c r="H103" s="28"/>
    </row>
    <row r="104">
      <c r="A104" s="25"/>
      <c r="B104" s="22" t="s">
        <v>254</v>
      </c>
      <c r="C104" s="22" t="s">
        <v>1256</v>
      </c>
      <c r="D104" s="22" t="s">
        <v>951</v>
      </c>
      <c r="E104" s="22" t="s">
        <v>1031</v>
      </c>
      <c r="F104" s="22"/>
      <c r="G104" s="22"/>
      <c r="H104" s="41"/>
      <c r="I104" s="32"/>
    </row>
    <row r="105">
      <c r="A105" s="10" t="s">
        <v>5</v>
      </c>
      <c r="B105" s="11" t="s">
        <v>1259</v>
      </c>
      <c r="C105" s="12"/>
      <c r="D105" s="12"/>
      <c r="E105" s="12"/>
      <c r="F105" s="12"/>
      <c r="G105" s="12"/>
      <c r="H105" s="12"/>
      <c r="I105" s="14"/>
    </row>
    <row r="106" ht="60.0" customHeight="1">
      <c r="A106" s="15" t="s">
        <v>16</v>
      </c>
      <c r="B106" s="22" t="str">
        <f t="array" ref="B106">iferror(VLOOKUP(INDIRECT(ADDRESS(ROW()+1,COLUMN(), 4)),Dex!$A$2:$C262,3,false),"")</f>
        <v/>
      </c>
      <c r="C106" s="22" t="str">
        <f t="array" ref="C106">iferror(VLOOKUP(INDIRECT(ADDRESS(ROW()+1,COLUMN(), 4)),Dex!$A$2:$C262,3,false),"")</f>
        <v/>
      </c>
      <c r="D106" s="22" t="str">
        <f t="array" ref="D106">iferror(VLOOKUP(INDIRECT(ADDRESS(ROW()+1,COLUMN(), 4)),Dex!$A$2:$C262,3,false),"")</f>
        <v/>
      </c>
      <c r="E106" s="22" t="str">
        <f t="array" ref="E106">iferror(VLOOKUP(INDIRECT(ADDRESS(ROW()+1,COLUMN(), 4)),Dex!$A$2:$C262,3,false),"")</f>
        <v/>
      </c>
      <c r="F106" s="22" t="str">
        <f t="array" ref="F106">iferror(VLOOKUP(INDIRECT(ADDRESS(ROW()+1,COLUMN(), 4)),Dex!$A$2:$C262,3,false),"")</f>
        <v/>
      </c>
      <c r="G106" s="22" t="str">
        <f t="array" ref="G106">iferror(VLOOKUP(INDIRECT(ADDRESS(ROW()+1,COLUMN(), 4)),Dex!$A$2:$C262,3,false),"")</f>
        <v/>
      </c>
      <c r="H106" s="23" t="str">
        <f t="array" ref="H106">iferror(VLOOKUP("TRAINER_PIC_Lass",Sprites!$A$1:$B262,2,false),"")</f>
        <v/>
      </c>
      <c r="I106" s="24"/>
    </row>
    <row r="107">
      <c r="A107" s="25"/>
      <c r="B107" s="26" t="s">
        <v>1320</v>
      </c>
      <c r="C107" s="26" t="s">
        <v>1322</v>
      </c>
      <c r="D107" s="26" t="s">
        <v>512</v>
      </c>
      <c r="E107" s="26" t="s">
        <v>708</v>
      </c>
      <c r="F107" s="26" t="s">
        <v>326</v>
      </c>
      <c r="G107" s="26"/>
      <c r="H107" s="28"/>
    </row>
    <row r="108">
      <c r="A108" s="10" t="s">
        <v>199</v>
      </c>
      <c r="B108" s="22">
        <v>34.0</v>
      </c>
      <c r="C108" s="22">
        <v>34.0</v>
      </c>
      <c r="D108" s="22">
        <v>34.0</v>
      </c>
      <c r="E108" s="22">
        <v>34.0</v>
      </c>
      <c r="F108" s="22">
        <v>35.0</v>
      </c>
      <c r="G108" s="22"/>
      <c r="H108" s="28"/>
    </row>
    <row r="109">
      <c r="A109" s="10" t="s">
        <v>201</v>
      </c>
      <c r="B109" s="29" t="s">
        <v>644</v>
      </c>
      <c r="C109" s="29" t="s">
        <v>1330</v>
      </c>
      <c r="D109" s="29" t="s">
        <v>1332</v>
      </c>
      <c r="E109" s="29" t="s">
        <v>1333</v>
      </c>
      <c r="F109" s="29" t="s">
        <v>1334</v>
      </c>
      <c r="G109" s="29"/>
      <c r="H109" s="27"/>
    </row>
    <row r="110">
      <c r="A110" s="10" t="s">
        <v>209</v>
      </c>
      <c r="B110" s="22" t="s">
        <v>1336</v>
      </c>
      <c r="C110" s="22" t="s">
        <v>1337</v>
      </c>
      <c r="D110" s="22" t="s">
        <v>1339</v>
      </c>
      <c r="E110" s="22" t="s">
        <v>415</v>
      </c>
      <c r="F110" s="22" t="s">
        <v>1341</v>
      </c>
      <c r="G110" s="22"/>
      <c r="H110" s="27"/>
    </row>
    <row r="111">
      <c r="A111" s="10" t="s">
        <v>215</v>
      </c>
      <c r="B111" s="29" t="s">
        <v>231</v>
      </c>
      <c r="C111" s="29" t="s">
        <v>1343</v>
      </c>
      <c r="D111" s="29" t="s">
        <v>231</v>
      </c>
      <c r="E111" s="29" t="s">
        <v>419</v>
      </c>
      <c r="F111" s="29" t="s">
        <v>1343</v>
      </c>
      <c r="G111" s="29"/>
      <c r="H111" s="27"/>
    </row>
    <row r="112">
      <c r="A112" s="15" t="s">
        <v>224</v>
      </c>
      <c r="B112" s="22" t="s">
        <v>361</v>
      </c>
      <c r="C112" s="22" t="s">
        <v>570</v>
      </c>
      <c r="D112" s="22" t="s">
        <v>806</v>
      </c>
      <c r="E112" s="22" t="s">
        <v>360</v>
      </c>
      <c r="F112" s="22" t="s">
        <v>552</v>
      </c>
      <c r="G112" s="22"/>
      <c r="H112" s="27"/>
    </row>
    <row r="113">
      <c r="A113" s="30"/>
      <c r="B113" s="22" t="s">
        <v>372</v>
      </c>
      <c r="C113" s="22" t="s">
        <v>356</v>
      </c>
      <c r="D113" s="22" t="s">
        <v>1224</v>
      </c>
      <c r="E113" s="22" t="s">
        <v>1347</v>
      </c>
      <c r="F113" s="22" t="s">
        <v>1250</v>
      </c>
      <c r="G113" s="22"/>
      <c r="H113" s="27"/>
    </row>
    <row r="114">
      <c r="A114" s="30"/>
      <c r="B114" s="22" t="s">
        <v>1351</v>
      </c>
      <c r="C114" s="22" t="s">
        <v>372</v>
      </c>
      <c r="D114" s="22" t="s">
        <v>1353</v>
      </c>
      <c r="E114" s="22" t="s">
        <v>1354</v>
      </c>
      <c r="F114" s="22" t="s">
        <v>463</v>
      </c>
      <c r="G114" s="22"/>
      <c r="H114" s="28"/>
    </row>
    <row r="115">
      <c r="A115" s="25"/>
      <c r="B115" s="22" t="s">
        <v>1227</v>
      </c>
      <c r="C115" s="22" t="s">
        <v>1359</v>
      </c>
      <c r="D115" s="22" t="s">
        <v>1360</v>
      </c>
      <c r="E115" s="22" t="s">
        <v>426</v>
      </c>
      <c r="F115" s="22" t="s">
        <v>560</v>
      </c>
      <c r="G115" s="22"/>
      <c r="H115" s="41"/>
      <c r="I115" s="32"/>
    </row>
    <row r="116">
      <c r="A116" s="8" t="s">
        <v>1364</v>
      </c>
      <c r="B116" s="9"/>
      <c r="C116" s="9"/>
      <c r="D116" s="9"/>
      <c r="E116" s="9"/>
      <c r="F116" s="9"/>
      <c r="G116" s="9"/>
      <c r="H116" s="9"/>
      <c r="I116" s="34"/>
    </row>
    <row r="117">
      <c r="A117" s="10" t="s">
        <v>5</v>
      </c>
      <c r="B117" s="11" t="s">
        <v>1370</v>
      </c>
      <c r="C117" s="12"/>
      <c r="D117" s="12"/>
      <c r="E117" s="12"/>
      <c r="F117" s="12"/>
      <c r="G117" s="12"/>
      <c r="H117" s="12"/>
      <c r="I117" s="13"/>
    </row>
    <row r="118" ht="60.0" customHeight="1">
      <c r="A118" s="15" t="s">
        <v>16</v>
      </c>
      <c r="B118" s="22" t="str">
        <f t="array" ref="B118">iferror(VLOOKUP(INDIRECT(ADDRESS(ROW()+1,COLUMN(), 4)),Dex!$A$2:$C262,3,false),"")</f>
        <v/>
      </c>
      <c r="C118" s="22" t="str">
        <f t="array" ref="C118">iferror(VLOOKUP(INDIRECT(ADDRESS(ROW()+1,COLUMN(), 4)),Dex!$A$2:$C262,3,false),"")</f>
        <v/>
      </c>
      <c r="D118" s="22" t="str">
        <f t="array" ref="D118">iferror(VLOOKUP(INDIRECT(ADDRESS(ROW()+1,COLUMN(), 4)),Dex!$A$2:$C262,3,false),"")</f>
        <v/>
      </c>
      <c r="E118" s="22" t="str">
        <f t="array" ref="E118">iferror(VLOOKUP(INDIRECT(ADDRESS(ROW()+1,COLUMN(), 4)),Dex!$A$2:$C262,3,false),"")</f>
        <v/>
      </c>
      <c r="F118" s="22" t="str">
        <f t="array" ref="F118">iferror(VLOOKUP(INDIRECT(ADDRESS(ROW()+1,COLUMN(), 4)),Dex!$A$2:$C262,3,false),"")</f>
        <v/>
      </c>
      <c r="G118" s="22" t="str">
        <f t="array" ref="G118">iferror(VLOOKUP(INDIRECT(ADDRESS(ROW()+1,COLUMN(), 4)),Dex!$A$2:$C262,3,false),"")</f>
        <v/>
      </c>
      <c r="H118" s="23" t="str">
        <f t="array" ref="H118">iferror(VLOOKUP("TRAINER_PIC_Youngster",Sprites!$A$1:$B262,2,false),"")</f>
        <v/>
      </c>
      <c r="I118" s="24"/>
    </row>
    <row r="119">
      <c r="A119" s="25"/>
      <c r="B119" s="26" t="s">
        <v>132</v>
      </c>
      <c r="C119" s="26" t="s">
        <v>129</v>
      </c>
      <c r="D119" s="26" t="s">
        <v>506</v>
      </c>
      <c r="E119" s="26"/>
      <c r="F119" s="26"/>
      <c r="G119" s="26"/>
      <c r="H119" s="28"/>
    </row>
    <row r="120">
      <c r="A120" s="10" t="s">
        <v>199</v>
      </c>
      <c r="B120" s="22">
        <v>34.0</v>
      </c>
      <c r="C120" s="22">
        <v>34.0</v>
      </c>
      <c r="D120" s="22">
        <v>35.0</v>
      </c>
      <c r="E120" s="22"/>
      <c r="F120" s="22"/>
      <c r="G120" s="22"/>
      <c r="H120" s="28"/>
    </row>
    <row r="121">
      <c r="A121" s="10" t="s">
        <v>201</v>
      </c>
      <c r="B121" s="29" t="s">
        <v>1455</v>
      </c>
      <c r="C121" s="29" t="s">
        <v>406</v>
      </c>
      <c r="D121" s="29" t="s">
        <v>1456</v>
      </c>
      <c r="E121" s="29"/>
      <c r="F121" s="29"/>
      <c r="G121" s="29"/>
      <c r="H121" s="27"/>
    </row>
    <row r="122">
      <c r="A122" s="10" t="s">
        <v>209</v>
      </c>
      <c r="B122" s="22" t="s">
        <v>1459</v>
      </c>
      <c r="C122" s="22" t="s">
        <v>458</v>
      </c>
      <c r="D122" s="22" t="s">
        <v>210</v>
      </c>
      <c r="E122" s="22"/>
      <c r="F122" s="22"/>
      <c r="G122" s="22"/>
      <c r="H122" s="27"/>
    </row>
    <row r="123">
      <c r="A123" s="10" t="s">
        <v>215</v>
      </c>
      <c r="B123" s="29" t="s">
        <v>220</v>
      </c>
      <c r="C123" s="29" t="s">
        <v>231</v>
      </c>
      <c r="D123" s="29" t="s">
        <v>231</v>
      </c>
      <c r="E123" s="29"/>
      <c r="F123" s="29"/>
      <c r="G123" s="29"/>
      <c r="H123" s="27"/>
    </row>
    <row r="124">
      <c r="A124" s="15" t="s">
        <v>224</v>
      </c>
      <c r="B124" s="22" t="s">
        <v>366</v>
      </c>
      <c r="C124" s="22" t="s">
        <v>1466</v>
      </c>
      <c r="D124" s="22" t="s">
        <v>811</v>
      </c>
      <c r="E124" s="22"/>
      <c r="F124" s="22"/>
      <c r="G124" s="22"/>
      <c r="H124" s="27"/>
    </row>
    <row r="125">
      <c r="A125" s="30"/>
      <c r="B125" s="22" t="s">
        <v>472</v>
      </c>
      <c r="C125" s="22" t="s">
        <v>472</v>
      </c>
      <c r="D125" s="22" t="s">
        <v>700</v>
      </c>
      <c r="E125" s="22"/>
      <c r="F125" s="22"/>
      <c r="G125" s="22"/>
      <c r="H125" s="28"/>
    </row>
    <row r="126">
      <c r="A126" s="30"/>
      <c r="B126" s="22"/>
      <c r="C126" s="22"/>
      <c r="D126" s="22" t="s">
        <v>702</v>
      </c>
      <c r="E126" s="22"/>
      <c r="F126" s="22"/>
      <c r="G126" s="22"/>
      <c r="H126" s="28"/>
    </row>
    <row r="127">
      <c r="A127" s="25"/>
      <c r="B127" s="22"/>
      <c r="C127" s="22"/>
      <c r="D127" s="22" t="s">
        <v>698</v>
      </c>
      <c r="E127" s="22"/>
      <c r="F127" s="22"/>
      <c r="G127" s="22"/>
      <c r="H127" s="31"/>
      <c r="I127" s="32"/>
    </row>
    <row r="128">
      <c r="A128" s="10" t="s">
        <v>5</v>
      </c>
      <c r="B128" s="11" t="s">
        <v>1468</v>
      </c>
      <c r="C128" s="12"/>
      <c r="D128" s="12"/>
      <c r="E128" s="12"/>
      <c r="F128" s="12"/>
      <c r="G128" s="12"/>
      <c r="H128" s="12"/>
      <c r="I128" s="14"/>
    </row>
    <row r="129" ht="60.0" customHeight="1">
      <c r="A129" s="15" t="s">
        <v>16</v>
      </c>
      <c r="B129" s="22" t="str">
        <f t="array" ref="B129">iferror(VLOOKUP(INDIRECT(ADDRESS(ROW()+1,COLUMN(), 4)),Dex!$A$2:$C262,3,false),"")</f>
        <v/>
      </c>
      <c r="C129" s="22" t="str">
        <f t="array" ref="C129">iferror(VLOOKUP(INDIRECT(ADDRESS(ROW()+1,COLUMN(), 4)),Dex!$A$2:$C262,3,false),"")</f>
        <v/>
      </c>
      <c r="D129" s="22" t="str">
        <f t="array" ref="D129">iferror(VLOOKUP(INDIRECT(ADDRESS(ROW()+1,COLUMN(), 4)),Dex!$A$2:$C262,3,false),"")</f>
        <v/>
      </c>
      <c r="E129" s="22" t="str">
        <f t="array" ref="E129">iferror(VLOOKUP(INDIRECT(ADDRESS(ROW()+1,COLUMN(), 4)),Dex!$A$2:$C262,3,false),"")</f>
        <v/>
      </c>
      <c r="F129" s="22" t="str">
        <f t="array" ref="F129">iferror(VLOOKUP(INDIRECT(ADDRESS(ROW()+1,COLUMN(), 4)),Dex!$A$2:$C262,3,false),"")</f>
        <v/>
      </c>
      <c r="G129" s="22" t="str">
        <f t="array" ref="G129">iferror(VLOOKUP(INDIRECT(ADDRESS(ROW()+1,COLUMN(), 4)),Dex!$A$2:$C262,3,false),"")</f>
        <v/>
      </c>
      <c r="H129" s="23" t="str">
        <f t="array" ref="H129">iferror(VLOOKUP("TRAINER_PIC_Fisherman",Sprites!$A$1:$B262,2,false),"")</f>
        <v/>
      </c>
      <c r="I129" s="24"/>
    </row>
    <row r="130">
      <c r="A130" s="25"/>
      <c r="B130" s="26" t="s">
        <v>1533</v>
      </c>
      <c r="C130" s="26" t="s">
        <v>530</v>
      </c>
      <c r="D130" s="26" t="s">
        <v>532</v>
      </c>
      <c r="E130" s="26" t="s">
        <v>423</v>
      </c>
      <c r="F130" s="26" t="s">
        <v>865</v>
      </c>
      <c r="G130" s="26"/>
      <c r="H130" s="28"/>
    </row>
    <row r="131">
      <c r="A131" s="10" t="s">
        <v>199</v>
      </c>
      <c r="B131" s="22">
        <v>36.0</v>
      </c>
      <c r="C131" s="22">
        <v>34.0</v>
      </c>
      <c r="D131" s="22">
        <v>34.0</v>
      </c>
      <c r="E131" s="22">
        <v>34.0</v>
      </c>
      <c r="F131" s="22">
        <v>38.0</v>
      </c>
      <c r="G131" s="22"/>
      <c r="H131" s="28"/>
    </row>
    <row r="132">
      <c r="A132" s="10" t="s">
        <v>201</v>
      </c>
      <c r="B132" s="29" t="s">
        <v>645</v>
      </c>
      <c r="C132" s="29" t="s">
        <v>203</v>
      </c>
      <c r="D132" s="29" t="s">
        <v>1546</v>
      </c>
      <c r="E132" s="29" t="s">
        <v>781</v>
      </c>
      <c r="F132" s="29" t="s">
        <v>455</v>
      </c>
      <c r="G132" s="29"/>
      <c r="H132" s="27"/>
    </row>
    <row r="133">
      <c r="A133" s="10" t="s">
        <v>209</v>
      </c>
      <c r="B133" s="22" t="s">
        <v>1550</v>
      </c>
      <c r="C133" s="22" t="s">
        <v>1025</v>
      </c>
      <c r="D133" s="22" t="s">
        <v>1283</v>
      </c>
      <c r="E133" s="22" t="s">
        <v>219</v>
      </c>
      <c r="F133" s="22" t="s">
        <v>1152</v>
      </c>
      <c r="G133" s="22"/>
      <c r="H133" s="27"/>
    </row>
    <row r="134">
      <c r="A134" s="10" t="s">
        <v>215</v>
      </c>
      <c r="B134" s="29" t="s">
        <v>417</v>
      </c>
      <c r="C134" s="29" t="s">
        <v>564</v>
      </c>
      <c r="D134" s="29" t="s">
        <v>461</v>
      </c>
      <c r="E134" s="29" t="s">
        <v>231</v>
      </c>
      <c r="F134" s="29" t="s">
        <v>419</v>
      </c>
      <c r="G134" s="29"/>
      <c r="H134" s="27"/>
    </row>
    <row r="135">
      <c r="A135" s="15" t="s">
        <v>224</v>
      </c>
      <c r="B135" s="22" t="s">
        <v>1554</v>
      </c>
      <c r="C135" s="22" t="s">
        <v>362</v>
      </c>
      <c r="D135" s="22" t="s">
        <v>1555</v>
      </c>
      <c r="E135" s="22" t="s">
        <v>1556</v>
      </c>
      <c r="F135" s="22" t="s">
        <v>1557</v>
      </c>
      <c r="G135" s="22"/>
      <c r="H135" s="27"/>
    </row>
    <row r="136">
      <c r="A136" s="30"/>
      <c r="B136" s="22" t="s">
        <v>1560</v>
      </c>
      <c r="C136" s="22" t="s">
        <v>1250</v>
      </c>
      <c r="D136" s="22" t="s">
        <v>367</v>
      </c>
      <c r="E136" s="22" t="s">
        <v>809</v>
      </c>
      <c r="F136" s="22" t="s">
        <v>814</v>
      </c>
      <c r="G136" s="22"/>
      <c r="H136" s="28"/>
    </row>
    <row r="137">
      <c r="A137" s="30"/>
      <c r="B137" s="22" t="s">
        <v>917</v>
      </c>
      <c r="C137" s="22" t="s">
        <v>1562</v>
      </c>
      <c r="D137" s="22" t="s">
        <v>366</v>
      </c>
      <c r="E137" s="22"/>
      <c r="F137" s="22" t="s">
        <v>1563</v>
      </c>
      <c r="G137" s="22"/>
      <c r="H137" s="28"/>
    </row>
    <row r="138">
      <c r="A138" s="25"/>
      <c r="B138" s="22" t="s">
        <v>1169</v>
      </c>
      <c r="C138" s="22" t="s">
        <v>1564</v>
      </c>
      <c r="D138" s="22" t="s">
        <v>1353</v>
      </c>
      <c r="E138" s="22"/>
      <c r="F138" s="22" t="s">
        <v>1562</v>
      </c>
      <c r="G138" s="22"/>
      <c r="H138" s="31"/>
      <c r="I138" s="32"/>
    </row>
    <row r="139">
      <c r="A139" s="10" t="s">
        <v>5</v>
      </c>
      <c r="B139" s="11" t="s">
        <v>1565</v>
      </c>
      <c r="C139" s="12"/>
      <c r="D139" s="12"/>
      <c r="E139" s="12"/>
      <c r="F139" s="12"/>
      <c r="G139" s="12"/>
      <c r="H139" s="12"/>
      <c r="I139" s="13"/>
    </row>
    <row r="140" ht="60.0" customHeight="1">
      <c r="A140" s="15" t="s">
        <v>16</v>
      </c>
      <c r="B140" s="22" t="str">
        <f t="array" ref="B140">iferror(VLOOKUP(INDIRECT(ADDRESS(ROW()+1,COLUMN(), 4)),Dex!$A$2:$C262,3,false),"")</f>
        <v/>
      </c>
      <c r="C140" s="22" t="str">
        <f t="array" ref="C140">iferror(VLOOKUP(INDIRECT(ADDRESS(ROW()+1,COLUMN(), 4)),Dex!$A$2:$C262,3,false),"")</f>
        <v/>
      </c>
      <c r="D140" s="22" t="str">
        <f t="array" ref="D140">iferror(VLOOKUP(INDIRECT(ADDRESS(ROW()+1,COLUMN(), 4)),Dex!$A$2:$C262,3,false),"")</f>
        <v/>
      </c>
      <c r="E140" s="22" t="str">
        <f t="array" ref="E140">iferror(VLOOKUP(INDIRECT(ADDRESS(ROW()+1,COLUMN(), 4)),Dex!$A$2:$C262,3,false),"")</f>
        <v/>
      </c>
      <c r="F140" s="22" t="str">
        <f t="array" ref="F140">iferror(VLOOKUP(INDIRECT(ADDRESS(ROW()+1,COLUMN(), 4)),Dex!$A$2:$C262,3,false),"")</f>
        <v/>
      </c>
      <c r="G140" s="22" t="str">
        <f t="array" ref="G140">iferror(VLOOKUP(INDIRECT(ADDRESS(ROW()+1,COLUMN(), 4)),Dex!$A$2:$C262,3,false),"")</f>
        <v/>
      </c>
      <c r="H140" s="23" t="str">
        <f t="array" ref="H140">iferror(VLOOKUP("TRAINER_PIC_Lady",Sprites!$A$1:$B262,2,false),"")</f>
        <v/>
      </c>
      <c r="I140" s="24"/>
    </row>
    <row r="141">
      <c r="A141" s="25"/>
      <c r="B141" s="26" t="s">
        <v>743</v>
      </c>
      <c r="C141" s="26" t="s">
        <v>520</v>
      </c>
      <c r="D141" s="26" t="s">
        <v>966</v>
      </c>
      <c r="E141" s="26" t="s">
        <v>182</v>
      </c>
      <c r="F141" s="26"/>
      <c r="G141" s="26"/>
      <c r="H141" s="28"/>
    </row>
    <row r="142">
      <c r="A142" s="10" t="s">
        <v>199</v>
      </c>
      <c r="B142" s="22">
        <v>34.0</v>
      </c>
      <c r="C142" s="22">
        <v>35.0</v>
      </c>
      <c r="D142" s="22">
        <v>35.0</v>
      </c>
      <c r="E142" s="22">
        <v>34.0</v>
      </c>
      <c r="F142" s="22"/>
      <c r="G142" s="22"/>
      <c r="H142" s="28"/>
    </row>
    <row r="143">
      <c r="A143" s="10" t="s">
        <v>201</v>
      </c>
      <c r="B143" s="29" t="s">
        <v>343</v>
      </c>
      <c r="C143" s="29" t="s">
        <v>1616</v>
      </c>
      <c r="D143" s="29" t="s">
        <v>1242</v>
      </c>
      <c r="E143" s="29" t="s">
        <v>645</v>
      </c>
      <c r="F143" s="29"/>
      <c r="G143" s="29"/>
      <c r="H143" s="27"/>
    </row>
    <row r="144">
      <c r="A144" s="10" t="s">
        <v>209</v>
      </c>
      <c r="B144" s="22" t="s">
        <v>1618</v>
      </c>
      <c r="C144" s="22" t="s">
        <v>900</v>
      </c>
      <c r="D144" s="22" t="s">
        <v>541</v>
      </c>
      <c r="E144" s="22" t="s">
        <v>1619</v>
      </c>
      <c r="F144" s="22"/>
      <c r="G144" s="22"/>
      <c r="H144" s="27"/>
    </row>
    <row r="145">
      <c r="A145" s="10" t="s">
        <v>215</v>
      </c>
      <c r="B145" s="29" t="s">
        <v>231</v>
      </c>
      <c r="C145" s="29" t="s">
        <v>906</v>
      </c>
      <c r="D145" s="29" t="s">
        <v>220</v>
      </c>
      <c r="E145" s="29" t="s">
        <v>906</v>
      </c>
      <c r="F145" s="29"/>
      <c r="G145" s="29"/>
      <c r="H145" s="27"/>
    </row>
    <row r="146">
      <c r="A146" s="15" t="s">
        <v>224</v>
      </c>
      <c r="B146" s="22" t="s">
        <v>424</v>
      </c>
      <c r="C146" s="22" t="s">
        <v>424</v>
      </c>
      <c r="D146" s="22" t="s">
        <v>254</v>
      </c>
      <c r="E146" s="22" t="s">
        <v>424</v>
      </c>
      <c r="F146" s="22"/>
      <c r="G146" s="22"/>
      <c r="H146" s="27"/>
    </row>
    <row r="147">
      <c r="A147" s="30"/>
      <c r="B147" s="22" t="s">
        <v>810</v>
      </c>
      <c r="C147" s="22" t="s">
        <v>232</v>
      </c>
      <c r="D147" s="22" t="s">
        <v>1629</v>
      </c>
      <c r="E147" s="22" t="s">
        <v>1557</v>
      </c>
      <c r="F147" s="22"/>
      <c r="G147" s="22"/>
      <c r="H147" s="28"/>
    </row>
    <row r="148">
      <c r="A148" s="30"/>
      <c r="B148" s="22" t="s">
        <v>1630</v>
      </c>
      <c r="C148" s="22" t="s">
        <v>1631</v>
      </c>
      <c r="D148" s="22" t="s">
        <v>698</v>
      </c>
      <c r="E148" s="22" t="s">
        <v>1551</v>
      </c>
      <c r="F148" s="22"/>
      <c r="G148" s="22"/>
      <c r="H148" s="28"/>
    </row>
    <row r="149">
      <c r="A149" s="25"/>
      <c r="B149" s="22"/>
      <c r="C149" s="22" t="s">
        <v>1616</v>
      </c>
      <c r="D149" s="22" t="s">
        <v>1633</v>
      </c>
      <c r="E149" s="22" t="s">
        <v>920</v>
      </c>
      <c r="F149" s="22"/>
      <c r="G149" s="22"/>
      <c r="H149" s="31"/>
      <c r="I149" s="32"/>
    </row>
    <row r="150">
      <c r="A150" s="8" t="s">
        <v>1637</v>
      </c>
      <c r="B150" s="9"/>
      <c r="C150" s="12"/>
      <c r="D150" s="12"/>
      <c r="E150" s="12"/>
      <c r="F150" s="12"/>
      <c r="G150" s="12"/>
      <c r="H150" s="12"/>
      <c r="I150" s="34"/>
    </row>
    <row r="151">
      <c r="A151" s="10" t="s">
        <v>5</v>
      </c>
      <c r="B151" s="11" t="s">
        <v>1644</v>
      </c>
      <c r="C151" s="12"/>
      <c r="D151" s="12"/>
      <c r="E151" s="12"/>
      <c r="F151" s="12"/>
      <c r="G151" s="12"/>
      <c r="H151" s="12"/>
      <c r="I151" s="14"/>
    </row>
    <row r="152" ht="60.0" customHeight="1">
      <c r="A152" s="15" t="s">
        <v>16</v>
      </c>
      <c r="B152" s="22" t="str">
        <f t="array" ref="B152">iferror(VLOOKUP(INDIRECT(ADDRESS(ROW()+1,COLUMN(), 4)),Dex!$A$2:$C262,3,false),"")</f>
        <v/>
      </c>
      <c r="C152" s="22" t="str">
        <f t="array" ref="C152">iferror(VLOOKUP(INDIRECT(ADDRESS(ROW()+1,COLUMN(), 4)),Dex!$A$2:$C262,3,false),"")</f>
        <v/>
      </c>
      <c r="D152" s="22" t="str">
        <f t="array" ref="D152">iferror(VLOOKUP(INDIRECT(ADDRESS(ROW()+1,COLUMN(), 4)),Dex!$A$2:$C262,3,false),"")</f>
        <v/>
      </c>
      <c r="E152" s="22" t="str">
        <f t="array" ref="E152">iferror(VLOOKUP(INDIRECT(ADDRESS(ROW()+1,COLUMN(), 4)),Dex!$A$2:$C262,3,false),"")</f>
        <v/>
      </c>
      <c r="F152" s="22" t="str">
        <f t="array" ref="F152">iferror(VLOOKUP(INDIRECT(ADDRESS(ROW()+1,COLUMN(), 4)),Dex!$A$2:$C262,3,false),"")</f>
        <v/>
      </c>
      <c r="G152" s="22" t="str">
        <f t="array" ref="G152">iferror(VLOOKUP(INDIRECT(ADDRESS(ROW()+1,COLUMN(), 4)),Dex!$A$2:$C262,3,false),"")</f>
        <v/>
      </c>
      <c r="H152" s="23" t="str">
        <f t="array" ref="H152">iferror(VLOOKUP("TRAINER_PIC_Bug_Catcher",Sprites!$A$1:$B262,2,false),"")</f>
        <v/>
      </c>
      <c r="I152" s="24"/>
    </row>
    <row r="153">
      <c r="A153" s="25"/>
      <c r="B153" s="26" t="s">
        <v>1474</v>
      </c>
      <c r="C153" s="26" t="s">
        <v>1702</v>
      </c>
      <c r="D153" s="26" t="s">
        <v>601</v>
      </c>
      <c r="E153" s="26" t="s">
        <v>1182</v>
      </c>
      <c r="F153" s="26"/>
      <c r="G153" s="26"/>
      <c r="H153" s="28"/>
    </row>
    <row r="154">
      <c r="A154" s="10" t="s">
        <v>199</v>
      </c>
      <c r="B154" s="22">
        <v>35.0</v>
      </c>
      <c r="C154" s="22">
        <v>35.0</v>
      </c>
      <c r="D154" s="22">
        <v>35.0</v>
      </c>
      <c r="E154" s="22">
        <v>35.0</v>
      </c>
      <c r="F154" s="22"/>
      <c r="G154" s="22"/>
      <c r="H154" s="28"/>
    </row>
    <row r="155">
      <c r="A155" s="10" t="s">
        <v>201</v>
      </c>
      <c r="B155" s="29" t="s">
        <v>1707</v>
      </c>
      <c r="C155" s="29" t="s">
        <v>451</v>
      </c>
      <c r="D155" s="29" t="s">
        <v>645</v>
      </c>
      <c r="E155" s="29" t="s">
        <v>406</v>
      </c>
      <c r="F155" s="29"/>
      <c r="G155" s="29"/>
      <c r="H155" s="27"/>
    </row>
    <row r="156">
      <c r="A156" s="10" t="s">
        <v>209</v>
      </c>
      <c r="B156" s="22" t="s">
        <v>899</v>
      </c>
      <c r="C156" s="22" t="s">
        <v>1711</v>
      </c>
      <c r="D156" s="22" t="s">
        <v>900</v>
      </c>
      <c r="E156" s="22" t="s">
        <v>459</v>
      </c>
      <c r="F156" s="22"/>
      <c r="G156" s="22"/>
      <c r="H156" s="27"/>
    </row>
    <row r="157">
      <c r="A157" s="10" t="s">
        <v>215</v>
      </c>
      <c r="B157" s="29" t="s">
        <v>419</v>
      </c>
      <c r="C157" s="29" t="s">
        <v>414</v>
      </c>
      <c r="D157" s="29" t="s">
        <v>218</v>
      </c>
      <c r="E157" s="29" t="s">
        <v>220</v>
      </c>
      <c r="F157" s="29"/>
      <c r="G157" s="29"/>
      <c r="H157" s="27"/>
    </row>
    <row r="158">
      <c r="A158" s="15" t="s">
        <v>224</v>
      </c>
      <c r="B158" s="22" t="s">
        <v>360</v>
      </c>
      <c r="C158" s="22" t="s">
        <v>1713</v>
      </c>
      <c r="D158" s="22" t="s">
        <v>803</v>
      </c>
      <c r="E158" s="22" t="s">
        <v>552</v>
      </c>
      <c r="F158" s="22"/>
      <c r="G158" s="22"/>
      <c r="H158" s="28"/>
    </row>
    <row r="159">
      <c r="A159" s="30"/>
      <c r="B159" s="22" t="s">
        <v>232</v>
      </c>
      <c r="C159" s="22" t="s">
        <v>1539</v>
      </c>
      <c r="D159" s="22" t="s">
        <v>810</v>
      </c>
      <c r="E159" s="22" t="s">
        <v>1466</v>
      </c>
      <c r="F159" s="22"/>
      <c r="G159" s="22"/>
      <c r="H159" s="28"/>
    </row>
    <row r="160">
      <c r="A160" s="30"/>
      <c r="B160" s="22" t="s">
        <v>1250</v>
      </c>
      <c r="C160" s="22" t="s">
        <v>1716</v>
      </c>
      <c r="D160" s="22" t="s">
        <v>796</v>
      </c>
      <c r="E160" s="22" t="s">
        <v>951</v>
      </c>
      <c r="F160" s="22"/>
      <c r="G160" s="22"/>
      <c r="H160" s="27"/>
    </row>
    <row r="161">
      <c r="A161" s="25"/>
      <c r="B161" s="22" t="s">
        <v>1718</v>
      </c>
      <c r="C161" s="22" t="s">
        <v>367</v>
      </c>
      <c r="D161" s="22" t="s">
        <v>232</v>
      </c>
      <c r="E161" s="22" t="s">
        <v>237</v>
      </c>
      <c r="F161" s="22"/>
      <c r="G161" s="22"/>
      <c r="H161" s="41"/>
      <c r="I161" s="32"/>
    </row>
    <row r="162">
      <c r="A162" s="10" t="s">
        <v>5</v>
      </c>
      <c r="B162" s="11" t="s">
        <v>1720</v>
      </c>
      <c r="C162" s="12"/>
      <c r="D162" s="12"/>
      <c r="E162" s="12"/>
      <c r="F162" s="12"/>
      <c r="G162" s="12"/>
      <c r="H162" s="12"/>
      <c r="I162" s="14"/>
    </row>
    <row r="163" ht="60.0" customHeight="1">
      <c r="A163" s="15" t="s">
        <v>16</v>
      </c>
      <c r="B163" s="22" t="str">
        <f t="array" ref="B163">iferror(VLOOKUP(INDIRECT(ADDRESS(ROW()+1,COLUMN(), 4)),Dex!$A$2:$C262,3,false),"")</f>
        <v/>
      </c>
      <c r="C163" s="22" t="str">
        <f t="array" ref="C163">iferror(VLOOKUP(INDIRECT(ADDRESS(ROW()+1,COLUMN(), 4)),Dex!$A$2:$C262,3,false),"")</f>
        <v/>
      </c>
      <c r="D163" s="22" t="str">
        <f t="array" ref="D163">iferror(VLOOKUP(INDIRECT(ADDRESS(ROW()+1,COLUMN(), 4)),Dex!$A$2:$C262,3,false),"")</f>
        <v/>
      </c>
      <c r="E163" s="22" t="str">
        <f t="array" ref="E163">iferror(VLOOKUP(INDIRECT(ADDRESS(ROW()+1,COLUMN(), 4)),Dex!$A$2:$C262,3,false),"")</f>
        <v/>
      </c>
      <c r="F163" s="22" t="str">
        <f t="array" ref="F163">iferror(VLOOKUP(INDIRECT(ADDRESS(ROW()+1,COLUMN(), 4)),Dex!$A$2:$C262,3,false),"")</f>
        <v/>
      </c>
      <c r="G163" s="22" t="str">
        <f t="array" ref="G163">iferror(VLOOKUP(INDIRECT(ADDRESS(ROW()+1,COLUMN(), 4)),Dex!$A$2:$C262,3,false),"")</f>
        <v/>
      </c>
      <c r="H163" s="23" t="str">
        <f t="array" ref="H163">iferror(VLOOKUP("TRAINER_PIC_Bug_Catcher",Sprites!$A$1:$B262,2,false),"")</f>
        <v/>
      </c>
      <c r="I163" s="24"/>
    </row>
    <row r="164">
      <c r="A164" s="25"/>
      <c r="B164" s="26" t="s">
        <v>204</v>
      </c>
      <c r="C164" s="26" t="s">
        <v>111</v>
      </c>
      <c r="D164" s="26" t="s">
        <v>305</v>
      </c>
      <c r="E164" s="26" t="s">
        <v>374</v>
      </c>
      <c r="F164" s="26"/>
      <c r="G164" s="26"/>
      <c r="H164" s="28"/>
    </row>
    <row r="165">
      <c r="A165" s="10" t="s">
        <v>199</v>
      </c>
      <c r="B165" s="22">
        <v>35.0</v>
      </c>
      <c r="C165" s="22">
        <v>35.0</v>
      </c>
      <c r="D165" s="22">
        <v>36.0</v>
      </c>
      <c r="E165" s="22">
        <v>35.0</v>
      </c>
      <c r="F165" s="22"/>
      <c r="G165" s="22"/>
      <c r="H165" s="28"/>
    </row>
    <row r="166">
      <c r="A166" s="10" t="s">
        <v>201</v>
      </c>
      <c r="B166" s="29" t="s">
        <v>644</v>
      </c>
      <c r="C166" s="29" t="s">
        <v>1332</v>
      </c>
      <c r="D166" s="29" t="s">
        <v>1781</v>
      </c>
      <c r="E166" s="29" t="s">
        <v>1782</v>
      </c>
      <c r="F166" s="29"/>
      <c r="G166" s="29"/>
      <c r="H166" s="27"/>
    </row>
    <row r="167">
      <c r="A167" s="10" t="s">
        <v>209</v>
      </c>
      <c r="B167" s="22" t="s">
        <v>1783</v>
      </c>
      <c r="C167" s="22" t="s">
        <v>1339</v>
      </c>
      <c r="D167" s="22" t="s">
        <v>785</v>
      </c>
      <c r="E167" s="22" t="s">
        <v>1785</v>
      </c>
      <c r="F167" s="22"/>
      <c r="G167" s="22"/>
      <c r="H167" s="27"/>
    </row>
    <row r="168">
      <c r="A168" s="10" t="s">
        <v>215</v>
      </c>
      <c r="B168" s="29" t="s">
        <v>220</v>
      </c>
      <c r="C168" s="29" t="s">
        <v>231</v>
      </c>
      <c r="D168" s="29" t="s">
        <v>231</v>
      </c>
      <c r="E168" s="29" t="s">
        <v>220</v>
      </c>
      <c r="F168" s="29"/>
      <c r="G168" s="29"/>
      <c r="H168" s="27"/>
    </row>
    <row r="169">
      <c r="A169" s="15" t="s">
        <v>224</v>
      </c>
      <c r="B169" s="22" t="s">
        <v>477</v>
      </c>
      <c r="C169" s="22" t="s">
        <v>1787</v>
      </c>
      <c r="D169" s="22" t="s">
        <v>1788</v>
      </c>
      <c r="E169" s="22" t="s">
        <v>1789</v>
      </c>
      <c r="F169" s="22"/>
      <c r="G169" s="22"/>
      <c r="H169" s="28"/>
    </row>
    <row r="170">
      <c r="A170" s="30"/>
      <c r="B170" s="22" t="s">
        <v>1163</v>
      </c>
      <c r="C170" s="22" t="s">
        <v>477</v>
      </c>
      <c r="D170" s="22" t="s">
        <v>1791</v>
      </c>
      <c r="E170" s="22" t="s">
        <v>463</v>
      </c>
      <c r="F170" s="22"/>
      <c r="G170" s="22"/>
      <c r="H170" s="28"/>
    </row>
    <row r="171">
      <c r="A171" s="30"/>
      <c r="B171" s="22" t="s">
        <v>1769</v>
      </c>
      <c r="C171" s="22" t="s">
        <v>1793</v>
      </c>
      <c r="D171" s="22" t="s">
        <v>1796</v>
      </c>
      <c r="E171" s="22" t="s">
        <v>356</v>
      </c>
      <c r="F171" s="22"/>
      <c r="G171" s="22"/>
      <c r="H171" s="27"/>
    </row>
    <row r="172">
      <c r="A172" s="25"/>
      <c r="B172" s="22" t="s">
        <v>1031</v>
      </c>
      <c r="C172" s="22" t="s">
        <v>1798</v>
      </c>
      <c r="D172" s="22" t="s">
        <v>549</v>
      </c>
      <c r="E172" s="22" t="s">
        <v>1799</v>
      </c>
      <c r="F172" s="22"/>
      <c r="G172" s="22"/>
      <c r="H172" s="41"/>
      <c r="I172" s="32"/>
    </row>
    <row r="173">
      <c r="A173" s="10" t="s">
        <v>5</v>
      </c>
      <c r="B173" s="11" t="s">
        <v>1801</v>
      </c>
      <c r="C173" s="12"/>
      <c r="D173" s="12"/>
      <c r="E173" s="12"/>
      <c r="F173" s="12"/>
      <c r="G173" s="12"/>
      <c r="H173" s="12"/>
      <c r="I173" s="14"/>
    </row>
    <row r="174" ht="60.0" customHeight="1">
      <c r="A174" s="15" t="s">
        <v>16</v>
      </c>
      <c r="B174" s="22" t="str">
        <f t="array" ref="B174">iferror(VLOOKUP(INDIRECT(ADDRESS(ROW()+1,COLUMN(), 4)),Dex!$A$2:$C262,3,false),"")</f>
        <v/>
      </c>
      <c r="C174" s="22" t="str">
        <f t="array" ref="C174">iferror(VLOOKUP(INDIRECT(ADDRESS(ROW()+1,COLUMN(), 4)),Dex!$A$2:$C262,3,false),"")</f>
        <v/>
      </c>
      <c r="D174" s="22" t="str">
        <f t="array" ref="D174">iferror(VLOOKUP(INDIRECT(ADDRESS(ROW()+1,COLUMN(), 4)),Dex!$A$2:$C262,3,false),"")</f>
        <v/>
      </c>
      <c r="E174" s="22" t="str">
        <f t="array" ref="E174">iferror(VLOOKUP(INDIRECT(ADDRESS(ROW()+1,COLUMN(), 4)),Dex!$A$2:$C262,3,false),"")</f>
        <v/>
      </c>
      <c r="F174" s="22" t="str">
        <f t="array" ref="F174">iferror(VLOOKUP(INDIRECT(ADDRESS(ROW()+1,COLUMN(), 4)),Dex!$A$2:$C262,3,false),"")</f>
        <v/>
      </c>
      <c r="G174" s="22" t="str">
        <f t="array" ref="G174">iferror(VLOOKUP(INDIRECT(ADDRESS(ROW()+1,COLUMN(), 4)),Dex!$A$2:$C262,3,false),"")</f>
        <v/>
      </c>
      <c r="H174" s="23" t="str">
        <f t="array" ref="H174">iferror(VLOOKUP("TRAINER_PIC_Aqua_Grunt_M",Sprites!$A$1:$B262,2,false),"")</f>
        <v/>
      </c>
      <c r="I174" s="24"/>
    </row>
    <row r="175">
      <c r="A175" s="25"/>
      <c r="B175" s="26" t="s">
        <v>1648</v>
      </c>
      <c r="C175" s="26" t="s">
        <v>1004</v>
      </c>
      <c r="D175" s="26" t="s">
        <v>1860</v>
      </c>
      <c r="E175" s="26" t="s">
        <v>598</v>
      </c>
      <c r="F175" s="26"/>
      <c r="G175" s="26"/>
      <c r="H175" s="28"/>
    </row>
    <row r="176">
      <c r="A176" s="10" t="s">
        <v>199</v>
      </c>
      <c r="B176" s="22">
        <v>36.0</v>
      </c>
      <c r="C176" s="22">
        <v>35.0</v>
      </c>
      <c r="D176" s="22">
        <v>35.0</v>
      </c>
      <c r="E176" s="22">
        <v>35.0</v>
      </c>
      <c r="F176" s="22"/>
      <c r="G176" s="22"/>
      <c r="H176" s="28"/>
    </row>
    <row r="177">
      <c r="A177" s="10" t="s">
        <v>201</v>
      </c>
      <c r="B177" s="29" t="s">
        <v>343</v>
      </c>
      <c r="C177" s="29" t="s">
        <v>1242</v>
      </c>
      <c r="D177" s="29" t="s">
        <v>1148</v>
      </c>
      <c r="E177" s="29" t="s">
        <v>455</v>
      </c>
      <c r="F177" s="29"/>
      <c r="G177" s="29"/>
      <c r="H177" s="27"/>
    </row>
    <row r="178">
      <c r="A178" s="10" t="s">
        <v>209</v>
      </c>
      <c r="B178" s="22" t="s">
        <v>1864</v>
      </c>
      <c r="C178" s="22" t="s">
        <v>1865</v>
      </c>
      <c r="D178" s="22" t="s">
        <v>1866</v>
      </c>
      <c r="E178" s="22" t="s">
        <v>911</v>
      </c>
      <c r="F178" s="22"/>
      <c r="G178" s="22"/>
      <c r="H178" s="27"/>
    </row>
    <row r="179">
      <c r="A179" s="10" t="s">
        <v>215</v>
      </c>
      <c r="B179" s="29" t="s">
        <v>1868</v>
      </c>
      <c r="C179" s="29" t="s">
        <v>419</v>
      </c>
      <c r="D179" s="29" t="s">
        <v>419</v>
      </c>
      <c r="E179" s="29" t="s">
        <v>218</v>
      </c>
      <c r="F179" s="29"/>
      <c r="G179" s="29"/>
      <c r="H179" s="27"/>
    </row>
    <row r="180">
      <c r="A180" s="15" t="s">
        <v>224</v>
      </c>
      <c r="B180" s="22" t="s">
        <v>946</v>
      </c>
      <c r="C180" s="22" t="s">
        <v>1870</v>
      </c>
      <c r="D180" s="22" t="s">
        <v>253</v>
      </c>
      <c r="E180" s="22" t="s">
        <v>1871</v>
      </c>
      <c r="F180" s="22"/>
      <c r="G180" s="22"/>
      <c r="H180" s="28"/>
    </row>
    <row r="181">
      <c r="A181" s="30"/>
      <c r="B181" s="22" t="s">
        <v>356</v>
      </c>
      <c r="C181" s="22" t="s">
        <v>1873</v>
      </c>
      <c r="D181" s="22" t="s">
        <v>357</v>
      </c>
      <c r="E181" s="22" t="s">
        <v>1874</v>
      </c>
      <c r="F181" s="22"/>
      <c r="G181" s="22"/>
      <c r="H181" s="28"/>
    </row>
    <row r="182">
      <c r="A182" s="30"/>
      <c r="B182" s="22" t="s">
        <v>234</v>
      </c>
      <c r="C182" s="22" t="s">
        <v>236</v>
      </c>
      <c r="D182" s="22" t="s">
        <v>1769</v>
      </c>
      <c r="E182" s="22" t="s">
        <v>552</v>
      </c>
      <c r="F182" s="22"/>
      <c r="G182" s="22"/>
      <c r="H182" s="27"/>
    </row>
    <row r="183">
      <c r="A183" s="25"/>
      <c r="B183" s="22" t="s">
        <v>950</v>
      </c>
      <c r="C183" s="22" t="s">
        <v>1878</v>
      </c>
      <c r="D183" s="22" t="s">
        <v>355</v>
      </c>
      <c r="E183" s="22" t="s">
        <v>1535</v>
      </c>
      <c r="F183" s="22"/>
      <c r="G183" s="22"/>
      <c r="H183" s="41"/>
      <c r="I183" s="32"/>
    </row>
    <row r="184">
      <c r="A184" s="8" t="s">
        <v>1364</v>
      </c>
      <c r="B184" s="9"/>
      <c r="C184" s="9"/>
      <c r="D184" s="9"/>
      <c r="E184" s="9"/>
      <c r="F184" s="9"/>
      <c r="G184" s="9"/>
      <c r="H184" s="9"/>
      <c r="I184" s="34"/>
    </row>
    <row r="185">
      <c r="A185" s="10" t="s">
        <v>5</v>
      </c>
      <c r="B185" s="11" t="s">
        <v>1881</v>
      </c>
      <c r="C185" s="12"/>
      <c r="D185" s="12"/>
      <c r="E185" s="12"/>
      <c r="F185" s="12"/>
      <c r="G185" s="12"/>
      <c r="H185" s="12"/>
      <c r="I185" s="14"/>
    </row>
    <row r="186" ht="60.0" customHeight="1">
      <c r="A186" s="15" t="s">
        <v>16</v>
      </c>
      <c r="B186" s="22" t="str">
        <f t="array" ref="B186">iferror(VLOOKUP(INDIRECT(ADDRESS(ROW()+1,COLUMN(), 4)),Dex!$A$2:$C262,3,false),"")</f>
        <v/>
      </c>
      <c r="C186" s="22" t="str">
        <f t="array" ref="C186">iferror(VLOOKUP(INDIRECT(ADDRESS(ROW()+1,COLUMN(), 4)),Dex!$A$2:$C262,3,false),"")</f>
        <v/>
      </c>
      <c r="D186" s="22" t="str">
        <f t="array" ref="D186">iferror(VLOOKUP(INDIRECT(ADDRESS(ROW()+1,COLUMN(), 4)),Dex!$A$2:$C262,3,false),"")</f>
        <v/>
      </c>
      <c r="E186" s="22" t="str">
        <f t="array" ref="E186">iferror(VLOOKUP(INDIRECT(ADDRESS(ROW()+1,COLUMN(), 4)),Dex!$A$2:$C262,3,false),"")</f>
        <v/>
      </c>
      <c r="F186" s="22" t="str">
        <f t="array" ref="F186">iferror(VLOOKUP(INDIRECT(ADDRESS(ROW()+1,COLUMN(), 4)),Dex!$A$2:$C262,3,false),"")</f>
        <v/>
      </c>
      <c r="G186" s="22" t="str">
        <f t="array" ref="G186">iferror(VLOOKUP(INDIRECT(ADDRESS(ROW()+1,COLUMN(), 4)),Dex!$A$2:$C262,3,false),"")</f>
        <v/>
      </c>
      <c r="H186" s="23" t="str">
        <f t="array" ref="H186">iferror(VLOOKUP("TRAINER_PIC_Rich_Boy",Sprites!$A$1:$B262,2,false),"")</f>
        <v/>
      </c>
      <c r="I186" s="24"/>
    </row>
    <row r="187">
      <c r="A187" s="25"/>
      <c r="B187" s="26" t="s">
        <v>618</v>
      </c>
      <c r="C187" s="26" t="s">
        <v>562</v>
      </c>
      <c r="D187" s="26" t="s">
        <v>1469</v>
      </c>
      <c r="E187" s="26" t="s">
        <v>884</v>
      </c>
      <c r="F187" s="26"/>
      <c r="G187" s="26"/>
      <c r="H187" s="28"/>
    </row>
    <row r="188">
      <c r="A188" s="10" t="s">
        <v>199</v>
      </c>
      <c r="B188" s="22">
        <v>36.0</v>
      </c>
      <c r="C188" s="22">
        <v>37.0</v>
      </c>
      <c r="D188" s="22">
        <v>35.0</v>
      </c>
      <c r="E188" s="22">
        <v>36.0</v>
      </c>
      <c r="F188" s="22"/>
      <c r="G188" s="22"/>
      <c r="H188" s="28"/>
    </row>
    <row r="189">
      <c r="A189" s="10" t="s">
        <v>201</v>
      </c>
      <c r="B189" s="29" t="s">
        <v>408</v>
      </c>
      <c r="C189" s="29" t="s">
        <v>1014</v>
      </c>
      <c r="D189" s="29" t="s">
        <v>455</v>
      </c>
      <c r="E189" s="29" t="s">
        <v>1928</v>
      </c>
      <c r="F189" s="29"/>
      <c r="G189" s="29"/>
      <c r="H189" s="27"/>
    </row>
    <row r="190">
      <c r="A190" s="10" t="s">
        <v>209</v>
      </c>
      <c r="B190" s="22" t="s">
        <v>1949</v>
      </c>
      <c r="C190" s="22" t="s">
        <v>1950</v>
      </c>
      <c r="D190" s="22" t="s">
        <v>1888</v>
      </c>
      <c r="E190" s="22" t="s">
        <v>1950</v>
      </c>
      <c r="F190" s="22"/>
      <c r="G190" s="22"/>
      <c r="H190" s="27"/>
    </row>
    <row r="191">
      <c r="A191" s="10" t="s">
        <v>215</v>
      </c>
      <c r="B191" s="29" t="s">
        <v>419</v>
      </c>
      <c r="C191" s="29" t="s">
        <v>419</v>
      </c>
      <c r="D191" s="29" t="s">
        <v>220</v>
      </c>
      <c r="E191" s="29" t="s">
        <v>220</v>
      </c>
      <c r="F191" s="29"/>
      <c r="G191" s="29"/>
      <c r="H191" s="28"/>
    </row>
    <row r="192">
      <c r="A192" s="15" t="s">
        <v>224</v>
      </c>
      <c r="B192" s="22" t="s">
        <v>1952</v>
      </c>
      <c r="C192" s="22" t="s">
        <v>1953</v>
      </c>
      <c r="D192" s="22" t="s">
        <v>811</v>
      </c>
      <c r="E192" s="22" t="s">
        <v>1954</v>
      </c>
      <c r="F192" s="22"/>
      <c r="G192" s="22"/>
      <c r="H192" s="28"/>
    </row>
    <row r="193">
      <c r="A193" s="30"/>
      <c r="B193" s="22" t="s">
        <v>1664</v>
      </c>
      <c r="C193" s="22" t="s">
        <v>1955</v>
      </c>
      <c r="D193" s="22" t="s">
        <v>1956</v>
      </c>
      <c r="E193" s="22" t="s">
        <v>1035</v>
      </c>
      <c r="F193" s="22"/>
      <c r="G193" s="22"/>
      <c r="H193" s="27"/>
    </row>
    <row r="194">
      <c r="A194" s="30"/>
      <c r="B194" s="22" t="s">
        <v>1651</v>
      </c>
      <c r="C194" s="22" t="s">
        <v>1958</v>
      </c>
      <c r="D194" s="22" t="s">
        <v>941</v>
      </c>
      <c r="E194" s="22" t="s">
        <v>1959</v>
      </c>
      <c r="F194" s="22"/>
      <c r="G194" s="22"/>
      <c r="H194" s="28"/>
    </row>
    <row r="195">
      <c r="A195" s="25"/>
      <c r="B195" s="22" t="s">
        <v>367</v>
      </c>
      <c r="C195" s="22" t="s">
        <v>357</v>
      </c>
      <c r="D195" s="22" t="s">
        <v>1960</v>
      </c>
      <c r="E195" s="22" t="s">
        <v>1251</v>
      </c>
      <c r="F195" s="22"/>
      <c r="G195" s="22"/>
      <c r="H195" s="31"/>
      <c r="I195" s="32"/>
    </row>
    <row r="196">
      <c r="A196" s="10" t="s">
        <v>5</v>
      </c>
      <c r="B196" s="11" t="s">
        <v>1962</v>
      </c>
      <c r="C196" s="12"/>
      <c r="D196" s="12"/>
      <c r="E196" s="12"/>
      <c r="F196" s="12"/>
      <c r="G196" s="12"/>
      <c r="H196" s="12"/>
      <c r="I196" s="14"/>
    </row>
    <row r="197" ht="60.0" customHeight="1">
      <c r="A197" s="15" t="s">
        <v>16</v>
      </c>
      <c r="B197" s="22" t="str">
        <f t="array" ref="B197">iferror(VLOOKUP(INDIRECT(ADDRESS(ROW()+1,COLUMN(), 4)),Dex!$A$2:$C262,3,false),"")</f>
        <v/>
      </c>
      <c r="C197" s="22" t="str">
        <f t="array" ref="C197">iferror(VLOOKUP(INDIRECT(ADDRESS(ROW()+1,COLUMN(), 4)),Dex!$A$2:$C262,3,false),"")</f>
        <v/>
      </c>
      <c r="D197" s="22" t="str">
        <f t="array" ref="D197">iferror(VLOOKUP(INDIRECT(ADDRESS(ROW()+1,COLUMN(), 4)),Dex!$A$2:$C262,3,false),"")</f>
        <v/>
      </c>
      <c r="E197" s="22" t="str">
        <f t="array" ref="E197">iferror(VLOOKUP(INDIRECT(ADDRESS(ROW()+1,COLUMN(), 4)),Dex!$A$2:$C262,3,false),"")</f>
        <v/>
      </c>
      <c r="F197" s="22" t="str">
        <f t="array" ref="F197">iferror(VLOOKUP(INDIRECT(ADDRESS(ROW()+1,COLUMN(), 4)),Dex!$A$2:$C262,3,false),"")</f>
        <v/>
      </c>
      <c r="G197" s="22" t="str">
        <f t="array" ref="G197">iferror(VLOOKUP(INDIRECT(ADDRESS(ROW()+1,COLUMN(), 4)),Dex!$A$2:$C262,3,false),"")</f>
        <v/>
      </c>
      <c r="H197" s="23" t="str">
        <f t="array" ref="H197">iferror(VLOOKUP("TRAINER_PIC_Twins",Sprites!$A$1:$B262,2,false),"")</f>
        <v/>
      </c>
      <c r="I197" s="24"/>
    </row>
    <row r="198">
      <c r="A198" s="25"/>
      <c r="B198" s="26" t="s">
        <v>1773</v>
      </c>
      <c r="C198" s="26" t="s">
        <v>1792</v>
      </c>
      <c r="D198" s="26" t="s">
        <v>1672</v>
      </c>
      <c r="E198" s="26" t="s">
        <v>1082</v>
      </c>
      <c r="F198" s="26"/>
      <c r="G198" s="26"/>
      <c r="H198" s="28"/>
    </row>
    <row r="199">
      <c r="A199" s="10" t="s">
        <v>199</v>
      </c>
      <c r="B199" s="22">
        <v>38.0</v>
      </c>
      <c r="C199" s="22">
        <v>35.0</v>
      </c>
      <c r="D199" s="22">
        <v>35.0</v>
      </c>
      <c r="E199" s="22">
        <v>35.0</v>
      </c>
      <c r="F199" s="22"/>
      <c r="G199" s="22"/>
      <c r="H199" s="28"/>
    </row>
    <row r="200">
      <c r="A200" s="10" t="s">
        <v>201</v>
      </c>
      <c r="B200" s="29" t="s">
        <v>2032</v>
      </c>
      <c r="C200" s="29" t="s">
        <v>2033</v>
      </c>
      <c r="D200" s="29" t="s">
        <v>2034</v>
      </c>
      <c r="E200" s="29" t="s">
        <v>1122</v>
      </c>
      <c r="F200" s="29"/>
      <c r="G200" s="29"/>
      <c r="H200" s="27"/>
    </row>
    <row r="201">
      <c r="A201" s="10" t="s">
        <v>209</v>
      </c>
      <c r="B201" s="22" t="s">
        <v>2035</v>
      </c>
      <c r="C201" s="22" t="s">
        <v>2036</v>
      </c>
      <c r="D201" s="22" t="s">
        <v>1747</v>
      </c>
      <c r="E201" s="22" t="s">
        <v>2037</v>
      </c>
      <c r="F201" s="22"/>
      <c r="G201" s="22"/>
      <c r="H201" s="27"/>
    </row>
    <row r="202">
      <c r="A202" s="10" t="s">
        <v>215</v>
      </c>
      <c r="B202" s="29" t="s">
        <v>222</v>
      </c>
      <c r="C202" s="29" t="s">
        <v>461</v>
      </c>
      <c r="D202" s="29" t="s">
        <v>906</v>
      </c>
      <c r="E202" s="29" t="s">
        <v>220</v>
      </c>
      <c r="F202" s="29"/>
      <c r="G202" s="29"/>
      <c r="H202" s="28"/>
    </row>
    <row r="203">
      <c r="A203" s="15" t="s">
        <v>224</v>
      </c>
      <c r="B203" s="22" t="s">
        <v>2040</v>
      </c>
      <c r="C203" s="22" t="s">
        <v>241</v>
      </c>
      <c r="D203" s="22" t="s">
        <v>2041</v>
      </c>
      <c r="E203" s="22" t="s">
        <v>2042</v>
      </c>
      <c r="F203" s="22"/>
      <c r="G203" s="22"/>
      <c r="H203" s="28"/>
    </row>
    <row r="204">
      <c r="A204" s="30"/>
      <c r="B204" s="22" t="s">
        <v>246</v>
      </c>
      <c r="C204" s="22" t="s">
        <v>1457</v>
      </c>
      <c r="D204" s="22" t="s">
        <v>697</v>
      </c>
      <c r="E204" s="22" t="s">
        <v>2045</v>
      </c>
      <c r="F204" s="22"/>
      <c r="G204" s="22"/>
      <c r="H204" s="27"/>
    </row>
    <row r="205">
      <c r="A205" s="30"/>
      <c r="B205" s="22" t="s">
        <v>2047</v>
      </c>
      <c r="C205" s="22" t="s">
        <v>2041</v>
      </c>
      <c r="D205" s="22" t="s">
        <v>805</v>
      </c>
      <c r="E205" s="22"/>
      <c r="F205" s="22"/>
      <c r="G205" s="22"/>
      <c r="H205" s="28"/>
    </row>
    <row r="206">
      <c r="A206" s="25"/>
      <c r="B206" s="22" t="s">
        <v>2049</v>
      </c>
      <c r="C206" s="22" t="s">
        <v>2050</v>
      </c>
      <c r="D206" s="22" t="s">
        <v>1769</v>
      </c>
      <c r="E206" s="22"/>
      <c r="F206" s="22"/>
      <c r="G206" s="22"/>
      <c r="H206" s="31"/>
      <c r="I206" s="32"/>
    </row>
    <row r="207">
      <c r="A207" s="10" t="s">
        <v>5</v>
      </c>
      <c r="B207" s="11" t="s">
        <v>2052</v>
      </c>
      <c r="C207" s="12"/>
      <c r="D207" s="12"/>
      <c r="E207" s="12"/>
      <c r="F207" s="12"/>
      <c r="G207" s="12"/>
      <c r="H207" s="12"/>
      <c r="I207" s="14"/>
    </row>
    <row r="208" ht="60.0" customHeight="1">
      <c r="A208" s="15" t="s">
        <v>16</v>
      </c>
      <c r="B208" s="22" t="str">
        <f t="array" ref="B208">iferror(VLOOKUP(INDIRECT(ADDRESS(ROW()+1,COLUMN(), 4)),Dex!$A$2:$C262,3,false),"")</f>
        <v/>
      </c>
      <c r="C208" s="22" t="str">
        <f t="array" ref="C208">iferror(VLOOKUP(INDIRECT(ADDRESS(ROW()+1,COLUMN(), 4)),Dex!$A$2:$C262,3,false),"")</f>
        <v/>
      </c>
      <c r="D208" s="22" t="str">
        <f t="array" ref="D208">iferror(VLOOKUP(INDIRECT(ADDRESS(ROW()+1,COLUMN(), 4)),Dex!$A$2:$C262,3,false),"")</f>
        <v/>
      </c>
      <c r="E208" s="22" t="str">
        <f t="array" ref="E208">iferror(VLOOKUP(INDIRECT(ADDRESS(ROW()+1,COLUMN(), 4)),Dex!$A$2:$C262,3,false),"")</f>
        <v/>
      </c>
      <c r="F208" s="22" t="str">
        <f t="array" ref="F208">iferror(VLOOKUP(INDIRECT(ADDRESS(ROW()+1,COLUMN(), 4)),Dex!$A$2:$C262,3,false),"")</f>
        <v/>
      </c>
      <c r="G208" s="22" t="str">
        <f t="array" ref="G208">iferror(VLOOKUP(INDIRECT(ADDRESS(ROW()+1,COLUMN(), 4)),Dex!$A$2:$C262,3,false),"")</f>
        <v/>
      </c>
      <c r="H208" s="23" t="str">
        <f t="array" ref="H208">iferror(VLOOKUP("TRAINER_PIC_Fisherman",Sprites!$A$1:$B262,2,false),"")</f>
        <v/>
      </c>
      <c r="I208" s="24"/>
    </row>
    <row r="209">
      <c r="A209" s="25"/>
      <c r="B209" s="26" t="s">
        <v>720</v>
      </c>
      <c r="C209" s="26" t="s">
        <v>840</v>
      </c>
      <c r="D209" s="26" t="s">
        <v>607</v>
      </c>
      <c r="E209" s="26" t="s">
        <v>380</v>
      </c>
      <c r="F209" s="26"/>
      <c r="G209" s="26"/>
      <c r="H209" s="28"/>
    </row>
    <row r="210">
      <c r="A210" s="10" t="s">
        <v>199</v>
      </c>
      <c r="B210" s="22">
        <v>36.0</v>
      </c>
      <c r="C210" s="22">
        <v>37.0</v>
      </c>
      <c r="D210" s="22">
        <v>35.0</v>
      </c>
      <c r="E210" s="22">
        <v>35.0</v>
      </c>
      <c r="F210" s="22"/>
      <c r="G210" s="22"/>
      <c r="H210" s="28"/>
    </row>
    <row r="211">
      <c r="A211" s="10" t="s">
        <v>201</v>
      </c>
      <c r="B211" s="29" t="s">
        <v>343</v>
      </c>
      <c r="C211" s="29" t="s">
        <v>203</v>
      </c>
      <c r="D211" s="29" t="s">
        <v>2099</v>
      </c>
      <c r="E211" s="29" t="s">
        <v>1332</v>
      </c>
      <c r="F211" s="29"/>
      <c r="G211" s="29"/>
      <c r="H211" s="27"/>
    </row>
    <row r="212">
      <c r="A212" s="10" t="s">
        <v>209</v>
      </c>
      <c r="B212" s="22" t="s">
        <v>2101</v>
      </c>
      <c r="C212" s="22" t="s">
        <v>2103</v>
      </c>
      <c r="D212" s="22" t="s">
        <v>1152</v>
      </c>
      <c r="E212" s="22" t="s">
        <v>1339</v>
      </c>
      <c r="F212" s="22"/>
      <c r="G212" s="22"/>
      <c r="H212" s="27"/>
    </row>
    <row r="213">
      <c r="A213" s="10" t="s">
        <v>215</v>
      </c>
      <c r="B213" s="29" t="s">
        <v>1868</v>
      </c>
      <c r="C213" s="29" t="s">
        <v>222</v>
      </c>
      <c r="D213" s="29" t="s">
        <v>220</v>
      </c>
      <c r="E213" s="29" t="s">
        <v>222</v>
      </c>
      <c r="F213" s="29"/>
      <c r="G213" s="29"/>
      <c r="H213" s="28"/>
    </row>
    <row r="214">
      <c r="A214" s="15" t="s">
        <v>224</v>
      </c>
      <c r="B214" s="22" t="s">
        <v>362</v>
      </c>
      <c r="C214" s="22" t="s">
        <v>1955</v>
      </c>
      <c r="D214" s="22" t="s">
        <v>355</v>
      </c>
      <c r="E214" s="22" t="s">
        <v>2109</v>
      </c>
      <c r="F214" s="22"/>
      <c r="G214" s="22"/>
      <c r="H214" s="28"/>
    </row>
    <row r="215">
      <c r="A215" s="30"/>
      <c r="B215" s="22" t="s">
        <v>1162</v>
      </c>
      <c r="C215" s="22" t="s">
        <v>805</v>
      </c>
      <c r="D215" s="22" t="s">
        <v>432</v>
      </c>
      <c r="E215" s="22" t="s">
        <v>2114</v>
      </c>
      <c r="F215" s="22"/>
      <c r="G215" s="22"/>
      <c r="H215" s="27"/>
    </row>
    <row r="216">
      <c r="A216" s="30"/>
      <c r="B216" s="22" t="s">
        <v>2115</v>
      </c>
      <c r="C216" s="22" t="s">
        <v>2116</v>
      </c>
      <c r="D216" s="22" t="s">
        <v>946</v>
      </c>
      <c r="E216" s="22" t="s">
        <v>234</v>
      </c>
      <c r="F216" s="22"/>
      <c r="G216" s="22"/>
      <c r="H216" s="28"/>
    </row>
    <row r="217">
      <c r="A217" s="25"/>
      <c r="B217" s="22" t="s">
        <v>237</v>
      </c>
      <c r="C217" s="22" t="s">
        <v>2121</v>
      </c>
      <c r="D217" s="22" t="s">
        <v>424</v>
      </c>
      <c r="E217" s="22" t="s">
        <v>1048</v>
      </c>
      <c r="F217" s="22"/>
      <c r="G217" s="22"/>
      <c r="H217" s="31"/>
      <c r="I217" s="32"/>
    </row>
    <row r="218">
      <c r="A218" s="8" t="s">
        <v>2122</v>
      </c>
      <c r="B218" s="9"/>
      <c r="C218" s="9"/>
      <c r="D218" s="9"/>
      <c r="E218" s="9"/>
      <c r="F218" s="9"/>
      <c r="G218" s="9"/>
      <c r="H218" s="9"/>
      <c r="I218" s="34"/>
    </row>
    <row r="219">
      <c r="A219" s="10" t="s">
        <v>5</v>
      </c>
      <c r="B219" s="11" t="s">
        <v>2125</v>
      </c>
      <c r="C219" s="12"/>
      <c r="D219" s="12"/>
      <c r="E219" s="12"/>
      <c r="F219" s="12"/>
      <c r="G219" s="12"/>
      <c r="H219" s="12"/>
      <c r="I219" s="14"/>
    </row>
    <row r="220" ht="60.0" customHeight="1">
      <c r="A220" s="10" t="s">
        <v>16</v>
      </c>
      <c r="B220" s="22" t="str">
        <f t="array" ref="B220">iferror(VLOOKUP(INDIRECT(ADDRESS(ROW()+1,COLUMN(), 4)),Dex!$A$2:$C262,3,false),"")</f>
        <v/>
      </c>
      <c r="C220" s="22" t="str">
        <f t="array" ref="C220">iferror(VLOOKUP(INDIRECT(ADDRESS(ROW()+1,COLUMN(), 4)),Dex!$A$2:$C262,3,false),"")</f>
        <v/>
      </c>
      <c r="D220" s="22" t="str">
        <f t="array" ref="D220">iferror(VLOOKUP(INDIRECT(ADDRESS(ROW()+1,COLUMN(), 4)),Dex!$A$2:$C262,3,false),"")</f>
        <v/>
      </c>
      <c r="E220" s="22" t="str">
        <f t="array" ref="E220">iferror(VLOOKUP(INDIRECT(ADDRESS(ROW()+1,COLUMN(), 4)),Dex!$A$2:$C262,3,false),"")</f>
        <v/>
      </c>
      <c r="F220" s="22" t="str">
        <f t="array" ref="F220">iferror(VLOOKUP(INDIRECT(ADDRESS(ROW()+1,COLUMN(), 4)),Dex!$A$2:$C262,3,false),"")</f>
        <v/>
      </c>
      <c r="G220" s="22" t="str">
        <f t="array" ref="G220">iferror(VLOOKUP(INDIRECT(ADDRESS(ROW()+1,COLUMN(), 4)),Dex!$A$2:$C262,3,false),"")</f>
        <v/>
      </c>
      <c r="H220" s="23" t="str">
        <f t="array" ref="H220">iferror(VLOOKUP("TRAINER_PIC_Youngster",Sprites!$A$1:$B262,2,false),"")</f>
        <v/>
      </c>
      <c r="I220" s="24"/>
    </row>
    <row r="221">
      <c r="A221" s="47"/>
      <c r="B221" s="26" t="s">
        <v>2080</v>
      </c>
      <c r="C221" s="26" t="s">
        <v>746</v>
      </c>
      <c r="D221" s="26" t="s">
        <v>621</v>
      </c>
      <c r="E221" s="26" t="s">
        <v>837</v>
      </c>
      <c r="F221" s="26"/>
      <c r="G221" s="26"/>
      <c r="H221" s="28"/>
    </row>
    <row r="222">
      <c r="A222" s="10" t="s">
        <v>199</v>
      </c>
      <c r="B222" s="22">
        <v>36.0</v>
      </c>
      <c r="C222" s="22">
        <v>36.0</v>
      </c>
      <c r="D222" s="22">
        <v>36.0</v>
      </c>
      <c r="E222" s="22">
        <v>36.0</v>
      </c>
      <c r="F222" s="22"/>
      <c r="G222" s="22"/>
      <c r="H222" s="28"/>
    </row>
    <row r="223">
      <c r="A223" s="10" t="s">
        <v>201</v>
      </c>
      <c r="B223" s="29" t="s">
        <v>1456</v>
      </c>
      <c r="C223" s="29" t="s">
        <v>645</v>
      </c>
      <c r="D223" s="29" t="s">
        <v>345</v>
      </c>
      <c r="E223" s="29" t="s">
        <v>455</v>
      </c>
      <c r="F223" s="29"/>
      <c r="G223" s="29"/>
      <c r="H223" s="27"/>
    </row>
    <row r="224">
      <c r="A224" s="10" t="s">
        <v>209</v>
      </c>
      <c r="B224" s="22" t="s">
        <v>2168</v>
      </c>
      <c r="C224" s="22" t="s">
        <v>219</v>
      </c>
      <c r="D224" s="22" t="s">
        <v>912</v>
      </c>
      <c r="E224" s="22" t="s">
        <v>680</v>
      </c>
      <c r="F224" s="22"/>
      <c r="G224" s="22"/>
      <c r="H224" s="28"/>
    </row>
    <row r="225">
      <c r="A225" s="10" t="s">
        <v>215</v>
      </c>
      <c r="B225" s="29" t="s">
        <v>231</v>
      </c>
      <c r="C225" s="29" t="s">
        <v>542</v>
      </c>
      <c r="D225" s="29" t="s">
        <v>222</v>
      </c>
      <c r="E225" s="29" t="s">
        <v>220</v>
      </c>
      <c r="F225" s="29"/>
      <c r="G225" s="29"/>
      <c r="H225" s="28"/>
    </row>
    <row r="226">
      <c r="A226" s="15" t="s">
        <v>224</v>
      </c>
      <c r="B226" s="22" t="s">
        <v>914</v>
      </c>
      <c r="C226" s="22" t="s">
        <v>2171</v>
      </c>
      <c r="D226" s="22" t="s">
        <v>1664</v>
      </c>
      <c r="E226" s="22" t="s">
        <v>432</v>
      </c>
      <c r="F226" s="22"/>
      <c r="G226" s="22"/>
      <c r="H226" s="27"/>
    </row>
    <row r="227">
      <c r="A227" s="30"/>
      <c r="B227" s="22" t="s">
        <v>555</v>
      </c>
      <c r="C227" s="22" t="s">
        <v>2172</v>
      </c>
      <c r="D227" s="22" t="s">
        <v>362</v>
      </c>
      <c r="E227" s="22" t="s">
        <v>1793</v>
      </c>
      <c r="F227" s="22"/>
      <c r="G227" s="22"/>
      <c r="H227" s="28"/>
    </row>
    <row r="228">
      <c r="A228" s="30"/>
      <c r="B228" s="22" t="s">
        <v>361</v>
      </c>
      <c r="C228" s="22" t="s">
        <v>1169</v>
      </c>
      <c r="D228" s="22" t="s">
        <v>367</v>
      </c>
      <c r="E228" s="22" t="s">
        <v>372</v>
      </c>
      <c r="F228" s="22"/>
      <c r="G228" s="22"/>
      <c r="H228" s="27"/>
    </row>
    <row r="229">
      <c r="A229" s="25"/>
      <c r="B229" s="22" t="s">
        <v>477</v>
      </c>
      <c r="C229" s="22" t="s">
        <v>799</v>
      </c>
      <c r="D229" s="22" t="s">
        <v>1363</v>
      </c>
      <c r="E229" s="22" t="s">
        <v>2175</v>
      </c>
      <c r="F229" s="22"/>
      <c r="G229" s="22"/>
      <c r="H229" s="31"/>
      <c r="I229" s="32"/>
    </row>
    <row r="230">
      <c r="A230" s="10" t="s">
        <v>5</v>
      </c>
      <c r="B230" s="11" t="s">
        <v>2178</v>
      </c>
      <c r="C230" s="12"/>
      <c r="D230" s="12"/>
      <c r="E230" s="12"/>
      <c r="F230" s="12"/>
      <c r="G230" s="12"/>
      <c r="H230" s="12"/>
      <c r="I230" s="14"/>
    </row>
    <row r="231" ht="60.0" customHeight="1">
      <c r="A231" s="10" t="s">
        <v>16</v>
      </c>
      <c r="B231" s="22" t="str">
        <f t="array" ref="B231">iferror(VLOOKUP(INDIRECT(ADDRESS(ROW()+1,COLUMN(), 4)),Dex!$A$2:$C262,3,false),"")</f>
        <v/>
      </c>
      <c r="C231" s="22" t="str">
        <f t="array" ref="C231">iferror(VLOOKUP(INDIRECT(ADDRESS(ROW()+1,COLUMN(), 4)),Dex!$A$2:$C262,3,false),"")</f>
        <v/>
      </c>
      <c r="D231" s="22" t="str">
        <f t="array" ref="D231">iferror(VLOOKUP(INDIRECT(ADDRESS(ROW()+1,COLUMN(), 4)),Dex!$A$2:$C262,3,false),"")</f>
        <v/>
      </c>
      <c r="E231" s="22" t="str">
        <f t="array" ref="E231">iferror(VLOOKUP(INDIRECT(ADDRESS(ROW()+1,COLUMN(), 4)),Dex!$A$2:$C262,3,false),"")</f>
        <v/>
      </c>
      <c r="F231" s="22" t="str">
        <f t="array" ref="F231">iferror(VLOOKUP(INDIRECT(ADDRESS(ROW()+1,COLUMN(), 4)),Dex!$A$2:$C262,3,false),"")</f>
        <v/>
      </c>
      <c r="G231" s="22" t="str">
        <f t="array" ref="G231">iferror(VLOOKUP(INDIRECT(ADDRESS(ROW()+1,COLUMN(), 4)),Dex!$A$2:$C262,3,false),"")</f>
        <v/>
      </c>
      <c r="H231" s="23" t="str">
        <f t="array" ref="H231">iferror(VLOOKUP("TRAINER_PIC_Youngster",Sprites!$A$1:$B262,2,false),"")</f>
        <v/>
      </c>
      <c r="I231" s="24"/>
    </row>
    <row r="232">
      <c r="A232" s="47"/>
      <c r="B232" s="26" t="s">
        <v>1566</v>
      </c>
      <c r="C232" s="26" t="s">
        <v>611</v>
      </c>
      <c r="D232" s="26" t="s">
        <v>293</v>
      </c>
      <c r="E232" s="26" t="s">
        <v>531</v>
      </c>
      <c r="F232" s="26"/>
      <c r="G232" s="26"/>
      <c r="H232" s="28"/>
    </row>
    <row r="233">
      <c r="A233" s="10" t="s">
        <v>199</v>
      </c>
      <c r="B233" s="22">
        <v>35.0</v>
      </c>
      <c r="C233" s="22">
        <v>36.0</v>
      </c>
      <c r="D233" s="22">
        <v>37.0</v>
      </c>
      <c r="E233" s="22">
        <v>37.0</v>
      </c>
      <c r="F233" s="22"/>
      <c r="G233" s="22"/>
      <c r="H233" s="28"/>
    </row>
    <row r="234">
      <c r="A234" s="10" t="s">
        <v>201</v>
      </c>
      <c r="B234" s="29" t="s">
        <v>2032</v>
      </c>
      <c r="C234" s="29" t="s">
        <v>1052</v>
      </c>
      <c r="D234" s="29" t="s">
        <v>1521</v>
      </c>
      <c r="E234" s="29" t="s">
        <v>206</v>
      </c>
      <c r="F234" s="29"/>
      <c r="G234" s="29"/>
      <c r="H234" s="27"/>
    </row>
    <row r="235">
      <c r="A235" s="10" t="s">
        <v>209</v>
      </c>
      <c r="B235" s="22" t="s">
        <v>538</v>
      </c>
      <c r="C235" s="22" t="s">
        <v>212</v>
      </c>
      <c r="D235" s="22" t="s">
        <v>2261</v>
      </c>
      <c r="E235" s="22" t="s">
        <v>2262</v>
      </c>
      <c r="F235" s="22"/>
      <c r="G235" s="22"/>
      <c r="H235" s="28"/>
    </row>
    <row r="236">
      <c r="A236" s="10" t="s">
        <v>215</v>
      </c>
      <c r="B236" s="29" t="s">
        <v>542</v>
      </c>
      <c r="C236" s="29" t="s">
        <v>1343</v>
      </c>
      <c r="D236" s="29" t="s">
        <v>461</v>
      </c>
      <c r="E236" s="29" t="s">
        <v>220</v>
      </c>
      <c r="F236" s="29"/>
      <c r="G236" s="29"/>
      <c r="H236" s="28"/>
    </row>
    <row r="237">
      <c r="A237" s="15" t="s">
        <v>224</v>
      </c>
      <c r="B237" s="22" t="s">
        <v>689</v>
      </c>
      <c r="C237" s="22" t="s">
        <v>2267</v>
      </c>
      <c r="D237" s="22" t="s">
        <v>1956</v>
      </c>
      <c r="E237" s="22" t="s">
        <v>2268</v>
      </c>
      <c r="F237" s="22"/>
      <c r="G237" s="22"/>
      <c r="H237" s="27"/>
    </row>
    <row r="238">
      <c r="A238" s="30"/>
      <c r="B238" s="22" t="s">
        <v>1661</v>
      </c>
      <c r="C238" s="22" t="s">
        <v>555</v>
      </c>
      <c r="D238" s="22" t="s">
        <v>2022</v>
      </c>
      <c r="E238" s="22" t="s">
        <v>1457</v>
      </c>
      <c r="F238" s="22"/>
      <c r="G238" s="22"/>
      <c r="H238" s="27"/>
    </row>
    <row r="239">
      <c r="A239" s="30"/>
      <c r="B239" s="22"/>
      <c r="C239" s="22" t="s">
        <v>1163</v>
      </c>
      <c r="D239" s="22" t="s">
        <v>356</v>
      </c>
      <c r="E239" s="22" t="s">
        <v>1127</v>
      </c>
      <c r="F239" s="22"/>
      <c r="G239" s="22"/>
      <c r="H239" s="28"/>
    </row>
    <row r="240">
      <c r="A240" s="25"/>
      <c r="B240" s="22"/>
      <c r="C240" s="22" t="s">
        <v>356</v>
      </c>
      <c r="D240" s="22" t="s">
        <v>1351</v>
      </c>
      <c r="E240" s="22" t="s">
        <v>2175</v>
      </c>
      <c r="F240" s="22"/>
      <c r="G240" s="22"/>
      <c r="H240" s="31"/>
      <c r="I240" s="32"/>
    </row>
    <row r="241">
      <c r="A241" s="10" t="s">
        <v>5</v>
      </c>
      <c r="B241" s="11" t="s">
        <v>2271</v>
      </c>
      <c r="C241" s="12"/>
      <c r="D241" s="12"/>
      <c r="E241" s="12"/>
      <c r="F241" s="12"/>
      <c r="G241" s="12"/>
      <c r="H241" s="12"/>
      <c r="I241" s="14"/>
    </row>
    <row r="242" ht="60.0" customHeight="1">
      <c r="A242" s="10" t="s">
        <v>16</v>
      </c>
      <c r="B242" s="22" t="str">
        <f t="array" ref="B242">iferror(VLOOKUP(INDIRECT(ADDRESS(ROW()+1,COLUMN(), 4)),Dex!$A$2:$C262,3,false),"")</f>
        <v/>
      </c>
      <c r="C242" s="22" t="str">
        <f t="array" ref="C242">iferror(VLOOKUP(INDIRECT(ADDRESS(ROW()+1,COLUMN(), 4)),Dex!$A$2:$C262,3,false),"")</f>
        <v/>
      </c>
      <c r="D242" s="22" t="str">
        <f t="array" ref="D242">iferror(VLOOKUP(INDIRECT(ADDRESS(ROW()+1,COLUMN(), 4)),Dex!$A$2:$C262,3,false),"")</f>
        <v/>
      </c>
      <c r="E242" s="22" t="str">
        <f t="array" ref="E242">iferror(VLOOKUP(INDIRECT(ADDRESS(ROW()+1,COLUMN(), 4)),Dex!$A$2:$C262,3,false),"")</f>
        <v/>
      </c>
      <c r="F242" s="22" t="str">
        <f t="array" ref="F242">iferror(VLOOKUP(INDIRECT(ADDRESS(ROW()+1,COLUMN(), 4)),Dex!$A$2:$C262,3,false),"")</f>
        <v/>
      </c>
      <c r="G242" s="22" t="str">
        <f t="array" ref="G242">iferror(VLOOKUP(INDIRECT(ADDRESS(ROW()+1,COLUMN(), 4)),Dex!$A$2:$C262,3,false),"")</f>
        <v/>
      </c>
      <c r="H242" s="23" t="str">
        <f t="array" ref="H242">iferror(VLOOKUP("TRAINER_PIC_Hiker",Sprites!$A$1:$B262,2,false),"")</f>
        <v/>
      </c>
      <c r="I242" s="24"/>
    </row>
    <row r="243">
      <c r="A243" s="47"/>
      <c r="B243" s="26" t="s">
        <v>2141</v>
      </c>
      <c r="C243" s="26" t="s">
        <v>1708</v>
      </c>
      <c r="D243" s="26" t="s">
        <v>1652</v>
      </c>
      <c r="E243" s="26" t="s">
        <v>622</v>
      </c>
      <c r="F243" s="26" t="s">
        <v>824</v>
      </c>
      <c r="G243" s="26"/>
      <c r="H243" s="28"/>
    </row>
    <row r="244">
      <c r="A244" s="10" t="s">
        <v>199</v>
      </c>
      <c r="B244" s="22">
        <v>36.0</v>
      </c>
      <c r="C244" s="22">
        <v>37.0</v>
      </c>
      <c r="D244" s="22">
        <v>37.0</v>
      </c>
      <c r="E244" s="22">
        <v>36.0</v>
      </c>
      <c r="F244" s="22">
        <v>37.0</v>
      </c>
      <c r="G244" s="22"/>
      <c r="H244" s="28"/>
    </row>
    <row r="245">
      <c r="A245" s="10" t="s">
        <v>201</v>
      </c>
      <c r="B245" s="29" t="s">
        <v>2312</v>
      </c>
      <c r="C245" s="29" t="s">
        <v>1147</v>
      </c>
      <c r="D245" s="29" t="s">
        <v>2099</v>
      </c>
      <c r="E245" s="29" t="s">
        <v>451</v>
      </c>
      <c r="F245" s="29" t="s">
        <v>2313</v>
      </c>
      <c r="G245" s="29"/>
      <c r="H245" s="27"/>
    </row>
    <row r="246">
      <c r="A246" s="10" t="s">
        <v>209</v>
      </c>
      <c r="B246" s="22" t="s">
        <v>2314</v>
      </c>
      <c r="C246" s="22" t="s">
        <v>2315</v>
      </c>
      <c r="D246" s="22" t="s">
        <v>2316</v>
      </c>
      <c r="E246" s="22" t="s">
        <v>2317</v>
      </c>
      <c r="F246" s="22" t="s">
        <v>413</v>
      </c>
      <c r="G246" s="22"/>
      <c r="H246" s="28"/>
    </row>
    <row r="247">
      <c r="A247" s="10" t="s">
        <v>215</v>
      </c>
      <c r="B247" s="29" t="s">
        <v>564</v>
      </c>
      <c r="C247" s="29" t="s">
        <v>218</v>
      </c>
      <c r="D247" s="29" t="s">
        <v>222</v>
      </c>
      <c r="E247" s="29" t="s">
        <v>222</v>
      </c>
      <c r="F247" s="29" t="s">
        <v>419</v>
      </c>
      <c r="G247" s="29"/>
      <c r="H247" s="28"/>
    </row>
    <row r="248">
      <c r="A248" s="15" t="s">
        <v>224</v>
      </c>
      <c r="B248" s="22" t="s">
        <v>576</v>
      </c>
      <c r="C248" s="22" t="s">
        <v>2020</v>
      </c>
      <c r="D248" s="22" t="s">
        <v>576</v>
      </c>
      <c r="E248" s="22" t="s">
        <v>2318</v>
      </c>
      <c r="F248" s="22" t="s">
        <v>2319</v>
      </c>
      <c r="G248" s="22"/>
      <c r="H248" s="27"/>
    </row>
    <row r="249">
      <c r="A249" s="30"/>
      <c r="B249" s="22" t="s">
        <v>361</v>
      </c>
      <c r="C249" s="22" t="s">
        <v>2320</v>
      </c>
      <c r="D249" s="22" t="s">
        <v>1030</v>
      </c>
      <c r="E249" s="22" t="s">
        <v>924</v>
      </c>
      <c r="F249" s="22" t="s">
        <v>2321</v>
      </c>
      <c r="G249" s="22"/>
      <c r="H249" s="27"/>
    </row>
    <row r="250">
      <c r="A250" s="30"/>
      <c r="B250" s="22" t="s">
        <v>570</v>
      </c>
      <c r="C250" s="22" t="s">
        <v>229</v>
      </c>
      <c r="D250" s="22" t="s">
        <v>940</v>
      </c>
      <c r="E250" s="22" t="s">
        <v>1664</v>
      </c>
      <c r="F250" s="22" t="s">
        <v>1664</v>
      </c>
      <c r="G250" s="22"/>
      <c r="H250" s="28"/>
    </row>
    <row r="251">
      <c r="A251" s="25"/>
      <c r="B251" s="22" t="s">
        <v>806</v>
      </c>
      <c r="C251" s="22" t="s">
        <v>1069</v>
      </c>
      <c r="D251" s="22" t="s">
        <v>814</v>
      </c>
      <c r="E251" s="22" t="s">
        <v>1442</v>
      </c>
      <c r="F251" s="22" t="s">
        <v>1545</v>
      </c>
      <c r="G251" s="22"/>
      <c r="H251" s="31"/>
      <c r="I251" s="32"/>
    </row>
    <row r="252">
      <c r="A252" s="10" t="s">
        <v>5</v>
      </c>
      <c r="B252" s="11" t="s">
        <v>2322</v>
      </c>
      <c r="C252" s="12"/>
      <c r="D252" s="12"/>
      <c r="E252" s="12"/>
      <c r="F252" s="12"/>
      <c r="G252" s="12"/>
      <c r="H252" s="12"/>
      <c r="I252" s="14"/>
    </row>
    <row r="253" ht="60.0" customHeight="1">
      <c r="A253" s="10" t="s">
        <v>16</v>
      </c>
      <c r="B253" s="22" t="str">
        <f t="array" ref="B253">iferror(VLOOKUP(INDIRECT(ADDRESS(ROW()+1,COLUMN(), 4)),Dex!$A$2:$C262,3,false),"")</f>
        <v/>
      </c>
      <c r="C253" s="22" t="str">
        <f t="array" ref="C253">iferror(VLOOKUP(INDIRECT(ADDRESS(ROW()+1,COLUMN(), 4)),Dex!$A$2:$C262,3,false),"")</f>
        <v/>
      </c>
      <c r="D253" s="22" t="str">
        <f t="array" ref="D253">iferror(VLOOKUP(INDIRECT(ADDRESS(ROW()+1,COLUMN(), 4)),Dex!$A$2:$C262,3,false),"")</f>
        <v/>
      </c>
      <c r="E253" s="22" t="str">
        <f t="array" ref="E253">iferror(VLOOKUP(INDIRECT(ADDRESS(ROW()+1,COLUMN(), 4)),Dex!$A$2:$C262,3,false),"")</f>
        <v/>
      </c>
      <c r="F253" s="22" t="str">
        <f t="array" ref="F253">iferror(VLOOKUP(INDIRECT(ADDRESS(ROW()+1,COLUMN(), 4)),Dex!$A$2:$C262,3,false),"")</f>
        <v/>
      </c>
      <c r="G253" s="22" t="str">
        <f t="array" ref="G253">iferror(VLOOKUP(INDIRECT(ADDRESS(ROW()+1,COLUMN(), 4)),Dex!$A$2:$C262,3,false),"")</f>
        <v/>
      </c>
      <c r="H253" s="23" t="str">
        <f t="array" ref="H253">iferror(VLOOKUP("TRAINER_PIC_Leader_Roxanne",Sprites!$A$1:$B262,2,false),"")</f>
        <v/>
      </c>
      <c r="I253" s="24"/>
    </row>
    <row r="254">
      <c r="A254" s="47"/>
      <c r="B254" s="26" t="s">
        <v>660</v>
      </c>
      <c r="C254" s="26" t="s">
        <v>827</v>
      </c>
      <c r="D254" s="26" t="s">
        <v>1586</v>
      </c>
      <c r="E254" s="26" t="s">
        <v>835</v>
      </c>
      <c r="F254" s="26" t="s">
        <v>442</v>
      </c>
      <c r="G254" s="26" t="s">
        <v>446</v>
      </c>
      <c r="H254" s="28"/>
    </row>
    <row r="255">
      <c r="A255" s="10" t="s">
        <v>199</v>
      </c>
      <c r="B255" s="22">
        <v>37.0</v>
      </c>
      <c r="C255" s="22">
        <v>38.0</v>
      </c>
      <c r="D255" s="22">
        <v>37.0</v>
      </c>
      <c r="E255" s="22">
        <v>37.0</v>
      </c>
      <c r="F255" s="22">
        <v>37.0</v>
      </c>
      <c r="G255" s="22">
        <v>38.0</v>
      </c>
      <c r="H255" s="28"/>
    </row>
    <row r="256">
      <c r="A256" s="10" t="s">
        <v>201</v>
      </c>
      <c r="B256" s="29" t="s">
        <v>2337</v>
      </c>
      <c r="C256" s="29" t="s">
        <v>2338</v>
      </c>
      <c r="D256" s="29" t="s">
        <v>2312</v>
      </c>
      <c r="E256" s="29" t="s">
        <v>645</v>
      </c>
      <c r="F256" s="29" t="s">
        <v>1521</v>
      </c>
      <c r="G256" s="29" t="s">
        <v>2339</v>
      </c>
      <c r="H256" s="27"/>
    </row>
    <row r="257">
      <c r="A257" s="10" t="s">
        <v>209</v>
      </c>
      <c r="B257" s="22" t="s">
        <v>2340</v>
      </c>
      <c r="C257" s="22" t="s">
        <v>413</v>
      </c>
      <c r="D257" s="22" t="s">
        <v>2341</v>
      </c>
      <c r="E257" s="22" t="s">
        <v>351</v>
      </c>
      <c r="F257" s="22" t="s">
        <v>897</v>
      </c>
      <c r="G257" s="22" t="s">
        <v>2342</v>
      </c>
      <c r="H257" s="27"/>
    </row>
    <row r="258">
      <c r="A258" s="10" t="s">
        <v>215</v>
      </c>
      <c r="B258" s="29" t="s">
        <v>1343</v>
      </c>
      <c r="C258" s="29" t="s">
        <v>685</v>
      </c>
      <c r="D258" s="29" t="s">
        <v>1286</v>
      </c>
      <c r="E258" s="29" t="s">
        <v>906</v>
      </c>
      <c r="F258" s="29" t="s">
        <v>461</v>
      </c>
      <c r="G258" s="29" t="s">
        <v>419</v>
      </c>
      <c r="H258" s="27"/>
    </row>
    <row r="259">
      <c r="A259" s="15" t="s">
        <v>224</v>
      </c>
      <c r="B259" s="22" t="s">
        <v>361</v>
      </c>
      <c r="C259" s="22" t="s">
        <v>695</v>
      </c>
      <c r="D259" s="22" t="s">
        <v>2343</v>
      </c>
      <c r="E259" s="22" t="s">
        <v>367</v>
      </c>
      <c r="F259" s="22" t="s">
        <v>1664</v>
      </c>
      <c r="G259" s="22" t="s">
        <v>372</v>
      </c>
      <c r="H259" s="27"/>
    </row>
    <row r="260">
      <c r="A260" s="30"/>
      <c r="B260" s="22" t="s">
        <v>431</v>
      </c>
      <c r="C260" s="22" t="s">
        <v>1664</v>
      </c>
      <c r="D260" s="22" t="s">
        <v>1131</v>
      </c>
      <c r="E260" s="22" t="s">
        <v>2171</v>
      </c>
      <c r="F260" s="22" t="s">
        <v>362</v>
      </c>
      <c r="G260" s="22" t="s">
        <v>2344</v>
      </c>
      <c r="H260" s="27"/>
    </row>
    <row r="261">
      <c r="A261" s="30"/>
      <c r="B261" s="22" t="s">
        <v>372</v>
      </c>
      <c r="C261" s="22" t="s">
        <v>358</v>
      </c>
      <c r="D261" s="22" t="s">
        <v>2345</v>
      </c>
      <c r="E261" s="22" t="s">
        <v>2346</v>
      </c>
      <c r="F261" s="22" t="s">
        <v>234</v>
      </c>
      <c r="G261" s="22" t="s">
        <v>356</v>
      </c>
      <c r="H261" s="28"/>
    </row>
    <row r="262">
      <c r="A262" s="25"/>
      <c r="B262" s="22" t="s">
        <v>2346</v>
      </c>
      <c r="C262" s="22" t="s">
        <v>941</v>
      </c>
      <c r="D262" s="22" t="s">
        <v>233</v>
      </c>
      <c r="E262" s="22" t="s">
        <v>1664</v>
      </c>
      <c r="F262" s="22" t="s">
        <v>2175</v>
      </c>
      <c r="G262" s="22" t="s">
        <v>1664</v>
      </c>
      <c r="H262" s="31"/>
      <c r="I262" s="32"/>
    </row>
  </sheetData>
  <mergeCells count="96">
    <mergeCell ref="A44:A47"/>
    <mergeCell ref="A49:A50"/>
    <mergeCell ref="A55:A58"/>
    <mergeCell ref="A61:A62"/>
    <mergeCell ref="A67:A70"/>
    <mergeCell ref="A73:A74"/>
    <mergeCell ref="A79:A82"/>
    <mergeCell ref="A186:A187"/>
    <mergeCell ref="A197:A198"/>
    <mergeCell ref="A208:A209"/>
    <mergeCell ref="A112:A115"/>
    <mergeCell ref="A118:A119"/>
    <mergeCell ref="A129:A130"/>
    <mergeCell ref="A140:A141"/>
    <mergeCell ref="A152:A153"/>
    <mergeCell ref="A163:A164"/>
    <mergeCell ref="A174:A175"/>
    <mergeCell ref="A84:A85"/>
    <mergeCell ref="A90:A93"/>
    <mergeCell ref="B94:H94"/>
    <mergeCell ref="A95:A96"/>
    <mergeCell ref="A101:A104"/>
    <mergeCell ref="B105:H105"/>
    <mergeCell ref="A106:A107"/>
    <mergeCell ref="A116:I116"/>
    <mergeCell ref="B117:H117"/>
    <mergeCell ref="B128:H128"/>
    <mergeCell ref="H163:I172"/>
    <mergeCell ref="H174:I183"/>
    <mergeCell ref="H186:I195"/>
    <mergeCell ref="H197:I206"/>
    <mergeCell ref="B139:H139"/>
    <mergeCell ref="A150:I150"/>
    <mergeCell ref="B151:H151"/>
    <mergeCell ref="B162:H162"/>
    <mergeCell ref="B173:H173"/>
    <mergeCell ref="A184:I184"/>
    <mergeCell ref="B185:H185"/>
    <mergeCell ref="A203:A206"/>
    <mergeCell ref="A214:A217"/>
    <mergeCell ref="B196:H196"/>
    <mergeCell ref="B207:H207"/>
    <mergeCell ref="H208:I217"/>
    <mergeCell ref="A218:I218"/>
    <mergeCell ref="B219:H219"/>
    <mergeCell ref="A226:A229"/>
    <mergeCell ref="B230:H230"/>
    <mergeCell ref="A2:I2"/>
    <mergeCell ref="B3:H3"/>
    <mergeCell ref="A4:A5"/>
    <mergeCell ref="A10:A13"/>
    <mergeCell ref="A14:I14"/>
    <mergeCell ref="B15:H15"/>
    <mergeCell ref="A16:A17"/>
    <mergeCell ref="A59:I59"/>
    <mergeCell ref="B60:H60"/>
    <mergeCell ref="A71:I71"/>
    <mergeCell ref="B72:H72"/>
    <mergeCell ref="B83:H83"/>
    <mergeCell ref="A22:A25"/>
    <mergeCell ref="B26:H26"/>
    <mergeCell ref="A27:A28"/>
    <mergeCell ref="A33:A36"/>
    <mergeCell ref="B37:H37"/>
    <mergeCell ref="A38:A39"/>
    <mergeCell ref="B48:H48"/>
    <mergeCell ref="H4:I13"/>
    <mergeCell ref="H16:H25"/>
    <mergeCell ref="H27:I36"/>
    <mergeCell ref="H38:I47"/>
    <mergeCell ref="H49:I58"/>
    <mergeCell ref="H61:I70"/>
    <mergeCell ref="H73:I82"/>
    <mergeCell ref="H84:I93"/>
    <mergeCell ref="H95:I104"/>
    <mergeCell ref="H106:I115"/>
    <mergeCell ref="H118:I127"/>
    <mergeCell ref="H129:I138"/>
    <mergeCell ref="H140:I149"/>
    <mergeCell ref="H152:I161"/>
    <mergeCell ref="H220:I229"/>
    <mergeCell ref="H231:I240"/>
    <mergeCell ref="B241:H241"/>
    <mergeCell ref="H242:I251"/>
    <mergeCell ref="B252:H252"/>
    <mergeCell ref="H253:I262"/>
    <mergeCell ref="A237:A240"/>
    <mergeCell ref="A248:A251"/>
    <mergeCell ref="A259:A262"/>
    <mergeCell ref="A124:A127"/>
    <mergeCell ref="A135:A138"/>
    <mergeCell ref="A146:A149"/>
    <mergeCell ref="A158:A161"/>
    <mergeCell ref="A169:A172"/>
    <mergeCell ref="A180:A183"/>
    <mergeCell ref="A192:A19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7" width="17.63"/>
    <col customWidth="1" min="9" max="9" width="0.75"/>
  </cols>
  <sheetData>
    <row r="1">
      <c r="A1" s="3"/>
      <c r="B1" s="5"/>
      <c r="C1" s="5"/>
      <c r="D1" s="5"/>
      <c r="E1" s="5"/>
      <c r="F1" s="5"/>
      <c r="G1" s="5"/>
      <c r="H1" s="5"/>
      <c r="I1" s="7"/>
    </row>
    <row r="2">
      <c r="A2" s="8" t="s">
        <v>4</v>
      </c>
      <c r="B2" s="9"/>
      <c r="C2" s="9"/>
      <c r="D2" s="9"/>
      <c r="E2" s="9"/>
      <c r="F2" s="9"/>
      <c r="G2" s="9"/>
      <c r="H2" s="9"/>
      <c r="I2" s="9"/>
    </row>
    <row r="3">
      <c r="A3" s="10" t="s">
        <v>5</v>
      </c>
      <c r="B3" s="11" t="s">
        <v>8</v>
      </c>
      <c r="C3" s="9"/>
      <c r="D3" s="9"/>
      <c r="E3" s="9"/>
      <c r="F3" s="9"/>
      <c r="G3" s="9"/>
      <c r="H3" s="9"/>
      <c r="I3" s="13"/>
    </row>
    <row r="4" ht="60.0" customHeight="1">
      <c r="A4" s="15" t="s">
        <v>16</v>
      </c>
      <c r="B4" s="22" t="str">
        <f t="array" ref="B4">iferror(VLOOKUP(INDIRECT(ADDRESS(ROW()+1,COLUMN(), 4)),Dex!$A$2:$C205,3,false),"")</f>
        <v/>
      </c>
      <c r="C4" s="22" t="str">
        <f t="array" ref="C4">iferror(VLOOKUP(INDIRECT(ADDRESS(ROW()+1,COLUMN(), 4)),Dex!$A$2:$C205,3,false),"")</f>
        <v/>
      </c>
      <c r="D4" s="22" t="str">
        <f t="array" ref="D4">iferror(VLOOKUP(INDIRECT(ADDRESS(ROW()+1,COLUMN(), 4)),Dex!$A$2:$C205,3,false),"")</f>
        <v/>
      </c>
      <c r="E4" s="22" t="str">
        <f t="array" ref="E4">iferror(VLOOKUP(INDIRECT(ADDRESS(ROW()+1,COLUMN(), 4)),Dex!$A$2:$C205,3,false),"")</f>
        <v/>
      </c>
      <c r="F4" s="22" t="str">
        <f t="array" ref="F4">iferror(VLOOKUP(INDIRECT(ADDRESS(ROW()+1,COLUMN(), 4)),Dex!$A$2:$C205,3,false),"")</f>
        <v/>
      </c>
      <c r="G4" s="22" t="str">
        <f t="array" ref="G4">iferror(VLOOKUP(INDIRECT(ADDRESS(ROW()+1,COLUMN(), 4)),Dex!$A$2:$C205,3,false),"")</f>
        <v/>
      </c>
      <c r="H4" s="23" t="str">
        <f t="array" ref="H4">iferror(VLOOKUP("TRAINER_PIC_Youngster",Sprites!$A$1:$B205,2,false),"")</f>
        <v/>
      </c>
      <c r="I4" s="24"/>
    </row>
    <row r="5">
      <c r="A5" s="25"/>
      <c r="B5" s="26" t="s">
        <v>120</v>
      </c>
      <c r="C5" s="26" t="s">
        <v>194</v>
      </c>
      <c r="D5" s="26" t="s">
        <v>190</v>
      </c>
      <c r="E5" s="26"/>
      <c r="F5" s="26"/>
      <c r="G5" s="26"/>
      <c r="H5" s="27"/>
    </row>
    <row r="6">
      <c r="A6" s="10" t="s">
        <v>199</v>
      </c>
      <c r="B6" s="22">
        <v>39.0</v>
      </c>
      <c r="C6" s="22">
        <v>40.0</v>
      </c>
      <c r="D6" s="22">
        <v>40.0</v>
      </c>
      <c r="E6" s="22"/>
      <c r="F6" s="22"/>
      <c r="G6" s="22"/>
      <c r="H6" s="27"/>
    </row>
    <row r="7">
      <c r="A7" s="10" t="s">
        <v>201</v>
      </c>
      <c r="B7" s="29" t="s">
        <v>203</v>
      </c>
      <c r="C7" s="29" t="s">
        <v>205</v>
      </c>
      <c r="D7" s="29" t="s">
        <v>206</v>
      </c>
      <c r="E7" s="29"/>
      <c r="F7" s="29"/>
      <c r="G7" s="29"/>
      <c r="H7" s="27"/>
    </row>
    <row r="8">
      <c r="A8" s="10" t="s">
        <v>209</v>
      </c>
      <c r="B8" s="22" t="s">
        <v>210</v>
      </c>
      <c r="C8" s="22" t="s">
        <v>212</v>
      </c>
      <c r="D8" s="22" t="s">
        <v>214</v>
      </c>
      <c r="E8" s="22"/>
      <c r="F8" s="22"/>
      <c r="G8" s="22"/>
      <c r="H8" s="27"/>
    </row>
    <row r="9">
      <c r="A9" s="10" t="s">
        <v>215</v>
      </c>
      <c r="B9" s="29" t="s">
        <v>218</v>
      </c>
      <c r="C9" s="29" t="s">
        <v>220</v>
      </c>
      <c r="D9" s="29" t="s">
        <v>222</v>
      </c>
      <c r="E9" s="29"/>
      <c r="F9" s="29"/>
      <c r="G9" s="29"/>
      <c r="H9" s="27"/>
    </row>
    <row r="10">
      <c r="A10" s="15" t="s">
        <v>224</v>
      </c>
      <c r="B10" s="22" t="s">
        <v>226</v>
      </c>
      <c r="C10" s="22" t="s">
        <v>227</v>
      </c>
      <c r="D10" s="22" t="s">
        <v>229</v>
      </c>
      <c r="E10" s="22"/>
      <c r="F10" s="22"/>
      <c r="G10" s="22"/>
      <c r="H10" s="27"/>
    </row>
    <row r="11">
      <c r="A11" s="30"/>
      <c r="B11" s="22" t="s">
        <v>232</v>
      </c>
      <c r="C11" s="22" t="s">
        <v>233</v>
      </c>
      <c r="D11" s="22" t="s">
        <v>234</v>
      </c>
      <c r="E11" s="22"/>
      <c r="F11" s="22"/>
      <c r="G11" s="22"/>
      <c r="H11" s="27"/>
    </row>
    <row r="12">
      <c r="A12" s="30"/>
      <c r="B12" s="22" t="s">
        <v>236</v>
      </c>
      <c r="C12" s="22" t="s">
        <v>237</v>
      </c>
      <c r="D12" s="22" t="s">
        <v>238</v>
      </c>
      <c r="E12" s="22"/>
      <c r="F12" s="22"/>
      <c r="G12" s="22"/>
      <c r="H12" s="27"/>
    </row>
    <row r="13">
      <c r="A13" s="25"/>
      <c r="B13" s="22" t="s">
        <v>243</v>
      </c>
      <c r="C13" s="22" t="s">
        <v>244</v>
      </c>
      <c r="D13" s="22" t="s">
        <v>246</v>
      </c>
      <c r="E13" s="22"/>
      <c r="F13" s="22"/>
      <c r="G13" s="22"/>
      <c r="H13" s="31"/>
      <c r="I13" s="32"/>
    </row>
    <row r="14">
      <c r="A14" s="10" t="s">
        <v>5</v>
      </c>
      <c r="B14" s="11" t="s">
        <v>252</v>
      </c>
      <c r="C14" s="9"/>
      <c r="D14" s="9"/>
      <c r="E14" s="9"/>
      <c r="F14" s="9"/>
      <c r="G14" s="9"/>
      <c r="H14" s="9"/>
      <c r="I14" s="14"/>
    </row>
    <row r="15" ht="60.0" customHeight="1">
      <c r="A15" s="15" t="s">
        <v>16</v>
      </c>
      <c r="B15" s="22" t="str">
        <f t="array" ref="B15">iferror(VLOOKUP(INDIRECT(ADDRESS(ROW()+1,COLUMN(), 4)),Dex!$A$2:$C205,3,false),"")</f>
        <v/>
      </c>
      <c r="C15" s="22" t="str">
        <f t="array" ref="C15">iferror(VLOOKUP(INDIRECT(ADDRESS(ROW()+1,COLUMN(), 4)),Dex!$A$2:$C205,3,false),"")</f>
        <v/>
      </c>
      <c r="D15" s="22" t="str">
        <f t="array" ref="D15">iferror(VLOOKUP(INDIRECT(ADDRESS(ROW()+1,COLUMN(), 4)),Dex!$A$2:$C205,3,false),"")</f>
        <v/>
      </c>
      <c r="E15" s="22" t="str">
        <f t="array" ref="E15">iferror(VLOOKUP(INDIRECT(ADDRESS(ROW()+1,COLUMN(), 4)),Dex!$A$2:$C205,3,false),"")</f>
        <v/>
      </c>
      <c r="F15" s="22" t="str">
        <f t="array" ref="F15">iferror(VLOOKUP(INDIRECT(ADDRESS(ROW()+1,COLUMN(), 4)),Dex!$A$2:$C205,3,false),"")</f>
        <v/>
      </c>
      <c r="G15" s="22" t="str">
        <f t="array" ref="G15">iferror(VLOOKUP(INDIRECT(ADDRESS(ROW()+1,COLUMN(), 4)),Dex!$A$2:$C205,3,false),"")</f>
        <v/>
      </c>
      <c r="H15" s="23" t="str">
        <f t="array" ref="H15">iferror(VLOOKUP("TRAINER_PIC_Bug_Catcher",Sprites!$A$1:$B205,2,false),"")</f>
        <v/>
      </c>
      <c r="I15" s="24"/>
    </row>
    <row r="16">
      <c r="A16" s="25"/>
      <c r="B16" s="26" t="s">
        <v>213</v>
      </c>
      <c r="C16" s="26" t="s">
        <v>337</v>
      </c>
      <c r="D16" s="26" t="s">
        <v>339</v>
      </c>
      <c r="E16" s="26" t="s">
        <v>340</v>
      </c>
      <c r="F16" s="26"/>
      <c r="G16" s="26"/>
      <c r="H16" s="27"/>
    </row>
    <row r="17">
      <c r="A17" s="10" t="s">
        <v>199</v>
      </c>
      <c r="B17" s="22">
        <v>40.0</v>
      </c>
      <c r="C17" s="22">
        <v>40.0</v>
      </c>
      <c r="D17" s="22">
        <v>41.0</v>
      </c>
      <c r="E17" s="22">
        <v>42.0</v>
      </c>
      <c r="F17" s="22"/>
      <c r="G17" s="22"/>
      <c r="H17" s="27"/>
    </row>
    <row r="18">
      <c r="A18" s="10" t="s">
        <v>201</v>
      </c>
      <c r="B18" s="29" t="s">
        <v>343</v>
      </c>
      <c r="C18" s="29" t="s">
        <v>344</v>
      </c>
      <c r="D18" s="29" t="s">
        <v>345</v>
      </c>
      <c r="E18" s="29" t="s">
        <v>346</v>
      </c>
      <c r="F18" s="29"/>
      <c r="G18" s="29"/>
      <c r="H18" s="27"/>
    </row>
    <row r="19">
      <c r="A19" s="10" t="s">
        <v>209</v>
      </c>
      <c r="B19" s="22" t="s">
        <v>348</v>
      </c>
      <c r="C19" s="22" t="s">
        <v>349</v>
      </c>
      <c r="D19" s="22" t="s">
        <v>351</v>
      </c>
      <c r="E19" s="22" t="s">
        <v>352</v>
      </c>
      <c r="F19" s="22"/>
      <c r="G19" s="22"/>
      <c r="H19" s="27"/>
    </row>
    <row r="20">
      <c r="A20" s="10" t="s">
        <v>215</v>
      </c>
      <c r="B20" s="29" t="s">
        <v>222</v>
      </c>
      <c r="C20" s="29" t="s">
        <v>220</v>
      </c>
      <c r="D20" s="29" t="s">
        <v>222</v>
      </c>
      <c r="E20" s="29" t="s">
        <v>231</v>
      </c>
      <c r="F20" s="29"/>
      <c r="G20" s="29"/>
      <c r="H20" s="27"/>
    </row>
    <row r="21">
      <c r="A21" s="15" t="s">
        <v>224</v>
      </c>
      <c r="B21" s="22" t="s">
        <v>355</v>
      </c>
      <c r="C21" s="22" t="s">
        <v>356</v>
      </c>
      <c r="D21" s="22" t="s">
        <v>357</v>
      </c>
      <c r="E21" s="22" t="s">
        <v>358</v>
      </c>
      <c r="F21" s="22"/>
      <c r="G21" s="22"/>
      <c r="H21" s="27"/>
    </row>
    <row r="22">
      <c r="A22" s="30"/>
      <c r="B22" s="22" t="s">
        <v>360</v>
      </c>
      <c r="C22" s="22" t="s">
        <v>361</v>
      </c>
      <c r="D22" s="22" t="s">
        <v>362</v>
      </c>
      <c r="E22" s="22" t="s">
        <v>363</v>
      </c>
      <c r="F22" s="22"/>
      <c r="G22" s="22"/>
      <c r="H22" s="27"/>
    </row>
    <row r="23">
      <c r="A23" s="30"/>
      <c r="B23" s="22" t="s">
        <v>365</v>
      </c>
      <c r="C23" s="22" t="s">
        <v>366</v>
      </c>
      <c r="D23" s="22" t="s">
        <v>367</v>
      </c>
      <c r="E23" s="22" t="s">
        <v>368</v>
      </c>
      <c r="F23" s="22"/>
      <c r="G23" s="22"/>
      <c r="H23" s="27"/>
    </row>
    <row r="24">
      <c r="A24" s="25"/>
      <c r="B24" s="22" t="s">
        <v>371</v>
      </c>
      <c r="C24" s="22" t="s">
        <v>372</v>
      </c>
      <c r="D24" s="22" t="s">
        <v>234</v>
      </c>
      <c r="E24" s="22" t="s">
        <v>373</v>
      </c>
      <c r="F24" s="22"/>
      <c r="G24" s="22"/>
      <c r="H24" s="31"/>
      <c r="I24" s="32"/>
    </row>
    <row r="25">
      <c r="A25" s="10" t="s">
        <v>5</v>
      </c>
      <c r="B25" s="11" t="s">
        <v>375</v>
      </c>
      <c r="C25" s="9"/>
      <c r="D25" s="9"/>
      <c r="E25" s="9"/>
      <c r="F25" s="9"/>
      <c r="G25" s="9"/>
      <c r="H25" s="9"/>
      <c r="I25" s="14"/>
    </row>
    <row r="26" ht="60.0" customHeight="1">
      <c r="A26" s="15" t="s">
        <v>16</v>
      </c>
      <c r="B26" s="22" t="str">
        <f t="array" ref="B26">iferror(VLOOKUP(INDIRECT(ADDRESS(ROW()+1,COLUMN(), 4)),Dex!$A$2:$C205,3,false),"")</f>
        <v/>
      </c>
      <c r="C26" s="22" t="str">
        <f t="array" ref="C26">iferror(VLOOKUP(INDIRECT(ADDRESS(ROW()+1,COLUMN(), 4)),Dex!$A$2:$C205,3,false),"")</f>
        <v/>
      </c>
      <c r="D26" s="22" t="str">
        <f t="array" ref="D26">iferror(VLOOKUP(INDIRECT(ADDRESS(ROW()+1,COLUMN(), 4)),Dex!$A$2:$C205,3,false),"")</f>
        <v/>
      </c>
      <c r="E26" s="22" t="str">
        <f t="array" ref="E26">iferror(VLOOKUP(INDIRECT(ADDRESS(ROW()+1,COLUMN(), 4)),Dex!$A$2:$C205,3,false),"")</f>
        <v/>
      </c>
      <c r="F26" s="22" t="str">
        <f t="array" ref="F26">iferror(VLOOKUP(INDIRECT(ADDRESS(ROW()+1,COLUMN(), 4)),Dex!$A$2:$C205,3,false),"")</f>
        <v/>
      </c>
      <c r="G26" s="22" t="str">
        <f t="array" ref="G26">iferror(VLOOKUP(INDIRECT(ADDRESS(ROW()+1,COLUMN(), 4)),Dex!$A$2:$C205,3,false),"")</f>
        <v/>
      </c>
      <c r="H26" s="23" t="str">
        <f t="array" ref="H26">iferror(VLOOKUP("TRAINER_PIC_School_Kid_F",Sprites!$A$1:$B205,2,false),"")</f>
        <v/>
      </c>
      <c r="I26" s="24"/>
    </row>
    <row r="27">
      <c r="A27" s="25"/>
      <c r="B27" s="26" t="s">
        <v>261</v>
      </c>
      <c r="C27" s="26" t="s">
        <v>447</v>
      </c>
      <c r="D27" s="26" t="s">
        <v>448</v>
      </c>
      <c r="E27" s="26" t="s">
        <v>304</v>
      </c>
      <c r="F27" s="26"/>
      <c r="G27" s="26"/>
      <c r="H27" s="27"/>
    </row>
    <row r="28">
      <c r="A28" s="10" t="s">
        <v>199</v>
      </c>
      <c r="B28" s="22">
        <v>40.0</v>
      </c>
      <c r="C28" s="22">
        <v>41.0</v>
      </c>
      <c r="D28" s="22">
        <v>41.0</v>
      </c>
      <c r="E28" s="22">
        <v>41.0</v>
      </c>
      <c r="F28" s="22"/>
      <c r="G28" s="22"/>
      <c r="H28" s="27"/>
    </row>
    <row r="29">
      <c r="A29" s="10" t="s">
        <v>201</v>
      </c>
      <c r="B29" s="29" t="s">
        <v>451</v>
      </c>
      <c r="C29" s="29" t="s">
        <v>452</v>
      </c>
      <c r="D29" s="29" t="s">
        <v>453</v>
      </c>
      <c r="E29" s="29" t="s">
        <v>455</v>
      </c>
      <c r="F29" s="29"/>
      <c r="G29" s="29"/>
      <c r="H29" s="27"/>
    </row>
    <row r="30">
      <c r="A30" s="10" t="s">
        <v>209</v>
      </c>
      <c r="B30" s="22" t="s">
        <v>456</v>
      </c>
      <c r="C30" s="22" t="s">
        <v>457</v>
      </c>
      <c r="D30" s="22" t="s">
        <v>458</v>
      </c>
      <c r="E30" s="22" t="s">
        <v>459</v>
      </c>
      <c r="F30" s="22"/>
      <c r="G30" s="22"/>
      <c r="H30" s="27"/>
    </row>
    <row r="31">
      <c r="A31" s="10" t="s">
        <v>215</v>
      </c>
      <c r="B31" s="29" t="s">
        <v>220</v>
      </c>
      <c r="C31" s="29" t="s">
        <v>461</v>
      </c>
      <c r="D31" s="29" t="s">
        <v>220</v>
      </c>
      <c r="E31" s="29" t="s">
        <v>222</v>
      </c>
      <c r="F31" s="29"/>
      <c r="G31" s="29"/>
      <c r="H31" s="27"/>
    </row>
    <row r="32">
      <c r="A32" s="15" t="s">
        <v>224</v>
      </c>
      <c r="B32" s="22" t="s">
        <v>463</v>
      </c>
      <c r="C32" s="22" t="s">
        <v>464</v>
      </c>
      <c r="D32" s="22" t="s">
        <v>465</v>
      </c>
      <c r="E32" s="22" t="s">
        <v>238</v>
      </c>
      <c r="F32" s="22"/>
      <c r="G32" s="22"/>
      <c r="H32" s="27"/>
    </row>
    <row r="33">
      <c r="A33" s="30"/>
      <c r="B33" s="22" t="s">
        <v>467</v>
      </c>
      <c r="C33" s="22" t="s">
        <v>468</v>
      </c>
      <c r="D33" s="22" t="s">
        <v>363</v>
      </c>
      <c r="E33" s="22" t="s">
        <v>469</v>
      </c>
      <c r="F33" s="22"/>
      <c r="G33" s="22"/>
      <c r="H33" s="27"/>
    </row>
    <row r="34">
      <c r="A34" s="30"/>
      <c r="B34" s="22" t="s">
        <v>471</v>
      </c>
      <c r="C34" s="22" t="s">
        <v>472</v>
      </c>
      <c r="D34" s="22" t="s">
        <v>473</v>
      </c>
      <c r="E34" s="22" t="s">
        <v>474</v>
      </c>
      <c r="F34" s="22"/>
      <c r="G34" s="22"/>
      <c r="H34" s="27"/>
    </row>
    <row r="35">
      <c r="A35" s="25"/>
      <c r="B35" s="22" t="s">
        <v>476</v>
      </c>
      <c r="C35" s="22" t="s">
        <v>465</v>
      </c>
      <c r="D35" s="22" t="s">
        <v>477</v>
      </c>
      <c r="E35" s="22" t="s">
        <v>478</v>
      </c>
      <c r="F35" s="22"/>
      <c r="G35" s="22"/>
      <c r="H35" s="31"/>
      <c r="I35" s="32"/>
    </row>
    <row r="36">
      <c r="A36" s="10" t="s">
        <v>5</v>
      </c>
      <c r="B36" s="11" t="s">
        <v>480</v>
      </c>
      <c r="C36" s="9"/>
      <c r="D36" s="9"/>
      <c r="E36" s="9"/>
      <c r="F36" s="9"/>
      <c r="G36" s="9"/>
      <c r="H36" s="9"/>
      <c r="I36" s="13"/>
    </row>
    <row r="37" ht="60.0" customHeight="1">
      <c r="A37" s="15" t="s">
        <v>16</v>
      </c>
      <c r="B37" s="22" t="str">
        <f t="array" ref="B37">iferror(VLOOKUP(INDIRECT(ADDRESS(ROW()+1,COLUMN(), 4)),Dex!$A$2:$C205,3,false),"")</f>
        <v/>
      </c>
      <c r="C37" s="22" t="str">
        <f t="array" ref="C37">iferror(VLOOKUP(INDIRECT(ADDRESS(ROW()+1,COLUMN(), 4)),Dex!$A$2:$C205,3,false),"")</f>
        <v/>
      </c>
      <c r="D37" s="22" t="str">
        <f t="array" ref="D37">iferror(VLOOKUP(INDIRECT(ADDRESS(ROW()+1,COLUMN(), 4)),Dex!$A$2:$C205,3,false),"")</f>
        <v/>
      </c>
      <c r="E37" s="22" t="str">
        <f t="array" ref="E37">iferror(VLOOKUP(INDIRECT(ADDRESS(ROW()+1,COLUMN(), 4)),Dex!$A$2:$C205,3,false),"")</f>
        <v/>
      </c>
      <c r="F37" s="22" t="str">
        <f t="array" ref="F37">iferror(VLOOKUP(INDIRECT(ADDRESS(ROW()+1,COLUMN(), 4)),Dex!$A$2:$C205,3,false),"")</f>
        <v/>
      </c>
      <c r="G37" s="22" t="str">
        <f t="array" ref="G37">iferror(VLOOKUP(INDIRECT(ADDRESS(ROW()+1,COLUMN(), 4)),Dex!$A$2:$C205,3,false),"")</f>
        <v/>
      </c>
      <c r="H37" s="23" t="str">
        <f t="array" ref="H37">iferror(VLOOKUP("TRAINER_PIC_Hiker",Sprites!$A$1:$B205,2,false),"")</f>
        <v/>
      </c>
      <c r="I37" s="24"/>
    </row>
    <row r="38">
      <c r="A38" s="25"/>
      <c r="B38" s="26" t="s">
        <v>291</v>
      </c>
      <c r="C38" s="26" t="s">
        <v>171</v>
      </c>
      <c r="D38" s="26"/>
      <c r="E38" s="26" t="s">
        <v>248</v>
      </c>
      <c r="F38" s="26" t="s">
        <v>528</v>
      </c>
      <c r="G38" s="26"/>
      <c r="H38" s="27"/>
    </row>
    <row r="39">
      <c r="A39" s="10" t="s">
        <v>199</v>
      </c>
      <c r="B39" s="22">
        <v>42.0</v>
      </c>
      <c r="C39" s="22">
        <v>41.0</v>
      </c>
      <c r="D39" s="22"/>
      <c r="E39" s="44">
        <v>41.0</v>
      </c>
      <c r="F39" s="22">
        <v>41.0</v>
      </c>
      <c r="G39" s="22"/>
      <c r="H39" s="27"/>
    </row>
    <row r="40">
      <c r="A40" s="10" t="s">
        <v>201</v>
      </c>
      <c r="B40" s="29" t="s">
        <v>343</v>
      </c>
      <c r="C40" s="29" t="s">
        <v>455</v>
      </c>
      <c r="D40" s="29"/>
      <c r="E40" s="29" t="s">
        <v>536</v>
      </c>
      <c r="F40" s="29" t="s">
        <v>537</v>
      </c>
      <c r="G40" s="29"/>
      <c r="H40" s="27"/>
    </row>
    <row r="41">
      <c r="A41" s="10" t="s">
        <v>209</v>
      </c>
      <c r="B41" s="22" t="s">
        <v>538</v>
      </c>
      <c r="C41" s="22" t="s">
        <v>540</v>
      </c>
      <c r="D41" s="22"/>
      <c r="E41" s="22" t="s">
        <v>541</v>
      </c>
      <c r="F41" s="22" t="s">
        <v>413</v>
      </c>
      <c r="G41" s="22"/>
      <c r="H41" s="27"/>
    </row>
    <row r="42">
      <c r="A42" s="10" t="s">
        <v>215</v>
      </c>
      <c r="B42" s="29" t="s">
        <v>542</v>
      </c>
      <c r="C42" s="29" t="s">
        <v>220</v>
      </c>
      <c r="D42" s="29"/>
      <c r="E42" s="29" t="s">
        <v>220</v>
      </c>
      <c r="F42" s="29" t="s">
        <v>222</v>
      </c>
      <c r="G42" s="29"/>
      <c r="H42" s="27"/>
    </row>
    <row r="43">
      <c r="A43" s="15" t="s">
        <v>224</v>
      </c>
      <c r="B43" s="22" t="s">
        <v>361</v>
      </c>
      <c r="C43" s="22" t="s">
        <v>549</v>
      </c>
      <c r="D43" s="22"/>
      <c r="E43" s="22" t="s">
        <v>241</v>
      </c>
      <c r="F43" s="22" t="s">
        <v>552</v>
      </c>
      <c r="G43" s="22"/>
      <c r="H43" s="27"/>
    </row>
    <row r="44">
      <c r="A44" s="30"/>
      <c r="B44" s="22" t="s">
        <v>555</v>
      </c>
      <c r="C44" s="22" t="s">
        <v>557</v>
      </c>
      <c r="D44" s="22"/>
      <c r="E44" s="22" t="s">
        <v>559</v>
      </c>
      <c r="F44" s="22" t="s">
        <v>560</v>
      </c>
      <c r="G44" s="22"/>
      <c r="H44" s="27"/>
    </row>
    <row r="45">
      <c r="A45" s="30"/>
      <c r="B45" s="22" t="s">
        <v>244</v>
      </c>
      <c r="C45" s="22" t="s">
        <v>561</v>
      </c>
      <c r="D45" s="22"/>
      <c r="E45" s="22" t="s">
        <v>254</v>
      </c>
      <c r="F45" s="22" t="s">
        <v>563</v>
      </c>
      <c r="G45" s="22"/>
      <c r="H45" s="27"/>
    </row>
    <row r="46">
      <c r="A46" s="25"/>
      <c r="B46" s="22" t="s">
        <v>565</v>
      </c>
      <c r="C46" s="22" t="s">
        <v>567</v>
      </c>
      <c r="D46" s="22"/>
      <c r="E46" s="22" t="s">
        <v>568</v>
      </c>
      <c r="F46" s="22" t="s">
        <v>229</v>
      </c>
      <c r="G46" s="22"/>
      <c r="H46" s="31"/>
      <c r="I46" s="32"/>
    </row>
    <row r="47">
      <c r="A47" s="10" t="s">
        <v>5</v>
      </c>
      <c r="B47" s="11" t="s">
        <v>571</v>
      </c>
      <c r="C47" s="9"/>
      <c r="D47" s="9"/>
      <c r="E47" s="9"/>
      <c r="F47" s="9"/>
      <c r="G47" s="9"/>
      <c r="H47" s="9"/>
      <c r="I47" s="14"/>
    </row>
    <row r="48" ht="60.0" customHeight="1">
      <c r="A48" s="15" t="s">
        <v>16</v>
      </c>
      <c r="B48" s="22" t="str">
        <f t="array" ref="B48">iferror(VLOOKUP(INDIRECT(ADDRESS(ROW()+1,COLUMN(), 4)),Dex!$A$2:$C205,3,false),"")</f>
        <v/>
      </c>
      <c r="C48" s="22" t="str">
        <f t="array" ref="C48">iferror(VLOOKUP(INDIRECT(ADDRESS(ROW()+1,COLUMN(), 4)),Dex!$A$2:$C205,3,false),"")</f>
        <v/>
      </c>
      <c r="D48" s="22" t="str">
        <f t="array" ref="D48">iferror(VLOOKUP(INDIRECT(ADDRESS(ROW()+1,COLUMN(), 4)),Dex!$A$2:$C205,3,false),"")</f>
        <v/>
      </c>
      <c r="E48" s="22" t="str">
        <f t="array" ref="E48">iferror(VLOOKUP(INDIRECT(ADDRESS(ROW()+1,COLUMN(), 4)),Dex!$A$2:$C205,3,false),"")</f>
        <v/>
      </c>
      <c r="F48" s="22" t="str">
        <f t="array" ref="F48">iferror(VLOOKUP(INDIRECT(ADDRESS(ROW()+1,COLUMN(), 4)),Dex!$A$2:$C205,3,false),"")</f>
        <v/>
      </c>
      <c r="G48" s="22" t="str">
        <f t="array" ref="G48">iferror(VLOOKUP(INDIRECT(ADDRESS(ROW()+1,COLUMN(), 4)),Dex!$A$2:$C205,3,false),"")</f>
        <v/>
      </c>
      <c r="H48" s="23" t="str">
        <f t="array" ref="H48">iferror(VLOOKUP("TRAINER_PIC_Hiker",Sprites!$A$1:$B205,2,false),"")</f>
        <v/>
      </c>
      <c r="I48" s="24"/>
    </row>
    <row r="49">
      <c r="A49" s="25"/>
      <c r="B49" s="26" t="s">
        <v>228</v>
      </c>
      <c r="C49" s="26" t="s">
        <v>639</v>
      </c>
      <c r="D49" s="26"/>
      <c r="E49" s="26"/>
      <c r="F49" s="26"/>
      <c r="G49" s="26"/>
      <c r="H49" s="27"/>
    </row>
    <row r="50">
      <c r="A50" s="10" t="s">
        <v>199</v>
      </c>
      <c r="B50" s="22">
        <v>42.0</v>
      </c>
      <c r="C50" s="22">
        <v>42.0</v>
      </c>
      <c r="D50" s="22"/>
      <c r="E50" s="22"/>
      <c r="F50" s="22"/>
      <c r="G50" s="22"/>
      <c r="H50" s="27"/>
    </row>
    <row r="51">
      <c r="A51" s="10" t="s">
        <v>201</v>
      </c>
      <c r="B51" s="29" t="s">
        <v>644</v>
      </c>
      <c r="C51" s="29" t="s">
        <v>645</v>
      </c>
      <c r="D51" s="29"/>
      <c r="E51" s="29"/>
      <c r="F51" s="29"/>
      <c r="G51" s="29"/>
      <c r="H51" s="27"/>
    </row>
    <row r="52">
      <c r="A52" s="10" t="s">
        <v>209</v>
      </c>
      <c r="B52" s="22" t="s">
        <v>647</v>
      </c>
      <c r="C52" s="22" t="s">
        <v>648</v>
      </c>
      <c r="D52" s="22"/>
      <c r="E52" s="22"/>
      <c r="F52" s="22"/>
      <c r="G52" s="22"/>
      <c r="H52" s="27"/>
    </row>
    <row r="53">
      <c r="A53" s="10" t="s">
        <v>215</v>
      </c>
      <c r="B53" s="29" t="s">
        <v>231</v>
      </c>
      <c r="C53" s="29" t="s">
        <v>222</v>
      </c>
      <c r="D53" s="29"/>
      <c r="E53" s="29"/>
      <c r="F53" s="29"/>
      <c r="G53" s="29"/>
      <c r="H53" s="27"/>
    </row>
    <row r="54">
      <c r="A54" s="15" t="s">
        <v>224</v>
      </c>
      <c r="B54" s="22" t="s">
        <v>652</v>
      </c>
      <c r="C54" s="22" t="s">
        <v>357</v>
      </c>
      <c r="D54" s="22"/>
      <c r="E54" s="22"/>
      <c r="F54" s="22"/>
      <c r="G54" s="22"/>
      <c r="H54" s="27"/>
    </row>
    <row r="55">
      <c r="A55" s="30"/>
      <c r="B55" s="22" t="s">
        <v>244</v>
      </c>
      <c r="C55" s="22" t="s">
        <v>654</v>
      </c>
      <c r="D55" s="22"/>
      <c r="E55" s="22"/>
      <c r="F55" s="22"/>
      <c r="G55" s="22"/>
      <c r="H55" s="27"/>
    </row>
    <row r="56">
      <c r="A56" s="30"/>
      <c r="B56" s="22" t="s">
        <v>581</v>
      </c>
      <c r="C56" s="22" t="s">
        <v>584</v>
      </c>
      <c r="D56" s="22"/>
      <c r="E56" s="22"/>
      <c r="F56" s="22"/>
      <c r="G56" s="22"/>
      <c r="H56" s="27"/>
    </row>
    <row r="57">
      <c r="A57" s="25"/>
      <c r="B57" s="22" t="s">
        <v>657</v>
      </c>
      <c r="C57" s="22" t="s">
        <v>424</v>
      </c>
      <c r="D57" s="22"/>
      <c r="E57" s="22"/>
      <c r="F57" s="22"/>
      <c r="G57" s="22"/>
      <c r="H57" s="31"/>
      <c r="I57" s="32"/>
    </row>
    <row r="58">
      <c r="A58" s="8" t="s">
        <v>659</v>
      </c>
      <c r="B58" s="9"/>
      <c r="C58" s="9"/>
      <c r="D58" s="9"/>
      <c r="E58" s="9"/>
      <c r="F58" s="9"/>
      <c r="G58" s="9"/>
      <c r="H58" s="9"/>
      <c r="I58" s="34"/>
    </row>
    <row r="59">
      <c r="A59" s="10" t="s">
        <v>5</v>
      </c>
      <c r="B59" s="11" t="s">
        <v>665</v>
      </c>
      <c r="C59" s="9"/>
      <c r="D59" s="9"/>
      <c r="E59" s="9"/>
      <c r="F59" s="9"/>
      <c r="G59" s="9"/>
      <c r="H59" s="9"/>
      <c r="I59" s="14"/>
    </row>
    <row r="60" ht="60.0" customHeight="1">
      <c r="A60" s="15" t="s">
        <v>16</v>
      </c>
      <c r="B60" s="22" t="str">
        <f t="array" ref="B60">iferror(VLOOKUP(INDIRECT(ADDRESS(ROW()+1,COLUMN(), 4)),Dex!$A$2:$C205,3,false),"")</f>
        <v/>
      </c>
      <c r="C60" s="22" t="str">
        <f t="array" ref="C60">iferror(VLOOKUP(INDIRECT(ADDRESS(ROW()+1,COLUMN(), 4)),Dex!$A$2:$C205,3,false),"")</f>
        <v/>
      </c>
      <c r="D60" s="22" t="str">
        <f t="array" ref="D60">iferror(VLOOKUP(INDIRECT(ADDRESS(ROW()+1,COLUMN(), 4)),Dex!$A$2:$C205,3,false),"")</f>
        <v/>
      </c>
      <c r="E60" s="22" t="str">
        <f t="array" ref="E60">iferror(VLOOKUP(INDIRECT(ADDRESS(ROW()+1,COLUMN(), 4)),Dex!$A$2:$C205,3,false),"")</f>
        <v/>
      </c>
      <c r="F60" s="22" t="str">
        <f t="array" ref="F60">iferror(VLOOKUP(INDIRECT(ADDRESS(ROW()+1,COLUMN(), 4)),Dex!$A$2:$C205,3,false),"")</f>
        <v/>
      </c>
      <c r="G60" s="22" t="str">
        <f t="array" ref="G60">iferror(VLOOKUP(INDIRECT(ADDRESS(ROW()+1,COLUMN(), 4)),Dex!$A$2:$C205,3,false),"")</f>
        <v/>
      </c>
      <c r="H60" s="23" t="str">
        <f t="array" ref="H60">iferror(VLOOKUP("TRAINER_PIC_Aqua_Grunt_M",Sprites!$A$1:$B205,2,false),"")</f>
        <v/>
      </c>
      <c r="I60" s="24"/>
    </row>
    <row r="61">
      <c r="A61" s="25"/>
      <c r="B61" s="26" t="s">
        <v>693</v>
      </c>
      <c r="C61" s="26" t="s">
        <v>301</v>
      </c>
      <c r="D61" s="26" t="s">
        <v>764</v>
      </c>
      <c r="E61" s="26" t="s">
        <v>766</v>
      </c>
      <c r="F61" s="26"/>
      <c r="G61" s="26"/>
      <c r="H61" s="27"/>
    </row>
    <row r="62">
      <c r="A62" s="10" t="s">
        <v>199</v>
      </c>
      <c r="B62" s="22">
        <v>42.0</v>
      </c>
      <c r="C62" s="22">
        <v>42.0</v>
      </c>
      <c r="D62" s="22">
        <v>43.0</v>
      </c>
      <c r="E62" s="22">
        <v>45.0</v>
      </c>
      <c r="F62" s="22"/>
      <c r="G62" s="22"/>
      <c r="H62" s="27"/>
    </row>
    <row r="63">
      <c r="A63" s="10" t="s">
        <v>201</v>
      </c>
      <c r="B63" s="29" t="s">
        <v>776</v>
      </c>
      <c r="C63" s="29" t="s">
        <v>777</v>
      </c>
      <c r="D63" s="29" t="s">
        <v>779</v>
      </c>
      <c r="E63" s="29" t="s">
        <v>645</v>
      </c>
      <c r="F63" s="29"/>
      <c r="G63" s="29"/>
      <c r="H63" s="27"/>
    </row>
    <row r="64">
      <c r="A64" s="10" t="s">
        <v>209</v>
      </c>
      <c r="B64" s="22" t="s">
        <v>219</v>
      </c>
      <c r="C64" s="22" t="s">
        <v>786</v>
      </c>
      <c r="D64" s="22" t="s">
        <v>788</v>
      </c>
      <c r="E64" s="22" t="s">
        <v>789</v>
      </c>
      <c r="F64" s="22"/>
      <c r="G64" s="22"/>
      <c r="H64" s="27"/>
    </row>
    <row r="65">
      <c r="A65" s="10" t="s">
        <v>215</v>
      </c>
      <c r="B65" s="29" t="s">
        <v>220</v>
      </c>
      <c r="C65" s="29" t="s">
        <v>461</v>
      </c>
      <c r="D65" s="29" t="s">
        <v>222</v>
      </c>
      <c r="E65" s="29" t="s">
        <v>222</v>
      </c>
      <c r="F65" s="29"/>
      <c r="G65" s="29"/>
      <c r="H65" s="27"/>
    </row>
    <row r="66">
      <c r="A66" s="15" t="s">
        <v>224</v>
      </c>
      <c r="B66" s="22" t="s">
        <v>431</v>
      </c>
      <c r="C66" s="22" t="s">
        <v>796</v>
      </c>
      <c r="D66" s="22" t="s">
        <v>371</v>
      </c>
      <c r="E66" s="22" t="s">
        <v>797</v>
      </c>
      <c r="F66" s="22"/>
      <c r="G66" s="22"/>
      <c r="H66" s="27"/>
    </row>
    <row r="67">
      <c r="A67" s="30"/>
      <c r="B67" s="22" t="s">
        <v>800</v>
      </c>
      <c r="C67" s="22" t="s">
        <v>804</v>
      </c>
      <c r="D67" s="22" t="s">
        <v>805</v>
      </c>
      <c r="E67" s="22" t="s">
        <v>362</v>
      </c>
      <c r="F67" s="22"/>
      <c r="G67" s="22"/>
      <c r="H67" s="27"/>
    </row>
    <row r="68">
      <c r="A68" s="30"/>
      <c r="B68" s="22" t="s">
        <v>799</v>
      </c>
      <c r="C68" s="22" t="s">
        <v>810</v>
      </c>
      <c r="D68" s="22" t="s">
        <v>360</v>
      </c>
      <c r="E68" s="22" t="s">
        <v>253</v>
      </c>
      <c r="F68" s="22"/>
      <c r="G68" s="22"/>
      <c r="H68" s="27"/>
    </row>
    <row r="69">
      <c r="A69" s="25"/>
      <c r="B69" s="22" t="s">
        <v>813</v>
      </c>
      <c r="C69" s="22" t="s">
        <v>247</v>
      </c>
      <c r="D69" s="22" t="s">
        <v>815</v>
      </c>
      <c r="E69" s="22" t="s">
        <v>234</v>
      </c>
      <c r="F69" s="22"/>
      <c r="G69" s="22"/>
      <c r="H69" s="31"/>
      <c r="I69" s="32"/>
    </row>
    <row r="70">
      <c r="A70" s="8" t="s">
        <v>820</v>
      </c>
      <c r="B70" s="9"/>
      <c r="C70" s="9"/>
      <c r="D70" s="9"/>
      <c r="E70" s="9"/>
      <c r="F70" s="9"/>
      <c r="G70" s="9"/>
      <c r="H70" s="9"/>
      <c r="I70" s="34"/>
    </row>
    <row r="71">
      <c r="A71" s="10" t="s">
        <v>5</v>
      </c>
      <c r="B71" s="11" t="s">
        <v>825</v>
      </c>
      <c r="C71" s="9"/>
      <c r="D71" s="9"/>
      <c r="E71" s="9"/>
      <c r="F71" s="9"/>
      <c r="G71" s="9"/>
      <c r="H71" s="9"/>
      <c r="I71" s="14"/>
    </row>
    <row r="72" ht="60.0" customHeight="1">
      <c r="A72" s="15" t="s">
        <v>16</v>
      </c>
      <c r="B72" s="22" t="str">
        <f t="array" ref="B72">iferror(VLOOKUP(INDIRECT(ADDRESS(ROW()+1,COLUMN(), 4)),Dex!$A$2:$C205,3,false),"")</f>
        <v/>
      </c>
      <c r="C72" s="22" t="str">
        <f t="array" ref="C72">iferror(VLOOKUP(INDIRECT(ADDRESS(ROW()+1,COLUMN(), 4)),Dex!$A$2:$C205,3,false),"")</f>
        <v/>
      </c>
      <c r="D72" s="22" t="str">
        <f t="array" ref="D72">iferror(VLOOKUP(INDIRECT(ADDRESS(ROW()+1,COLUMN(), 4)),Dex!$A$2:$C205,3,false),"")</f>
        <v/>
      </c>
      <c r="E72" s="22" t="str">
        <f t="array" ref="E72">iferror(VLOOKUP(INDIRECT(ADDRESS(ROW()+1,COLUMN(), 4)),Dex!$A$2:$C205,3,false),"")</f>
        <v/>
      </c>
      <c r="F72" s="22" t="str">
        <f t="array" ref="F72">iferror(VLOOKUP(INDIRECT(ADDRESS(ROW()+1,COLUMN(), 4)),Dex!$A$2:$C205,3,false),"")</f>
        <v/>
      </c>
      <c r="G72" s="22" t="str">
        <f t="array" ref="G72">iferror(VLOOKUP(INDIRECT(ADDRESS(ROW()+1,COLUMN(), 4)),Dex!$A$2:$C205,3,false),"")</f>
        <v/>
      </c>
      <c r="H72" s="23" t="str">
        <f t="array" ref="H72">iferror(VLOOKUP("TRAINER_PIC_Brendan",Sprites!$A$1:$B205,2,false),"")</f>
        <v/>
      </c>
      <c r="I72" s="24"/>
    </row>
    <row r="73">
      <c r="A73" s="25"/>
      <c r="B73" s="26" t="s">
        <v>886</v>
      </c>
      <c r="C73" s="26" t="s">
        <v>888</v>
      </c>
      <c r="D73" s="26" t="s">
        <v>889</v>
      </c>
      <c r="E73" s="26" t="s">
        <v>891</v>
      </c>
      <c r="F73" s="26" t="s">
        <v>807</v>
      </c>
      <c r="G73" s="26" t="s">
        <v>893</v>
      </c>
      <c r="H73" s="27"/>
    </row>
    <row r="74">
      <c r="A74" s="10" t="s">
        <v>199</v>
      </c>
      <c r="B74" s="22">
        <v>43.0</v>
      </c>
      <c r="C74" s="22">
        <v>44.0</v>
      </c>
      <c r="D74" s="22">
        <v>44.0</v>
      </c>
      <c r="E74" s="22">
        <v>43.0</v>
      </c>
      <c r="F74" s="22">
        <v>43.0</v>
      </c>
      <c r="G74" s="22">
        <v>43.0</v>
      </c>
      <c r="H74" s="27"/>
    </row>
    <row r="75">
      <c r="A75" s="10" t="s">
        <v>201</v>
      </c>
      <c r="B75" s="29" t="s">
        <v>903</v>
      </c>
      <c r="C75" s="29" t="s">
        <v>409</v>
      </c>
      <c r="D75" s="29" t="s">
        <v>677</v>
      </c>
      <c r="E75" s="29" t="s">
        <v>645</v>
      </c>
      <c r="F75" s="29" t="s">
        <v>905</v>
      </c>
      <c r="G75" s="29" t="s">
        <v>907</v>
      </c>
      <c r="H75" s="27"/>
    </row>
    <row r="76">
      <c r="A76" s="10" t="s">
        <v>209</v>
      </c>
      <c r="B76" s="22" t="s">
        <v>909</v>
      </c>
      <c r="C76" s="22" t="s">
        <v>910</v>
      </c>
      <c r="D76" s="22" t="s">
        <v>911</v>
      </c>
      <c r="E76" s="22" t="s">
        <v>912</v>
      </c>
      <c r="F76" s="22" t="s">
        <v>901</v>
      </c>
      <c r="G76" s="22" t="s">
        <v>680</v>
      </c>
      <c r="H76" s="27"/>
    </row>
    <row r="77">
      <c r="A77" s="10" t="s">
        <v>215</v>
      </c>
      <c r="B77" s="29" t="s">
        <v>906</v>
      </c>
      <c r="C77" s="29" t="s">
        <v>231</v>
      </c>
      <c r="D77" s="29" t="s">
        <v>419</v>
      </c>
      <c r="E77" s="29" t="s">
        <v>904</v>
      </c>
      <c r="F77" s="29" t="s">
        <v>685</v>
      </c>
      <c r="G77" s="29" t="s">
        <v>918</v>
      </c>
      <c r="H77" s="27"/>
    </row>
    <row r="78">
      <c r="A78" s="15" t="s">
        <v>224</v>
      </c>
      <c r="B78" s="22" t="s">
        <v>588</v>
      </c>
      <c r="C78" s="22" t="s">
        <v>931</v>
      </c>
      <c r="D78" s="22" t="s">
        <v>589</v>
      </c>
      <c r="E78" s="22" t="s">
        <v>932</v>
      </c>
      <c r="F78" s="22" t="s">
        <v>366</v>
      </c>
      <c r="G78" s="22" t="s">
        <v>934</v>
      </c>
      <c r="H78" s="27"/>
    </row>
    <row r="79">
      <c r="A79" s="30"/>
      <c r="B79" s="22" t="s">
        <v>935</v>
      </c>
      <c r="C79" s="22" t="s">
        <v>652</v>
      </c>
      <c r="D79" s="22" t="s">
        <v>469</v>
      </c>
      <c r="E79" s="22" t="s">
        <v>940</v>
      </c>
      <c r="F79" s="22" t="s">
        <v>942</v>
      </c>
      <c r="G79" s="22" t="s">
        <v>943</v>
      </c>
      <c r="H79" s="27"/>
    </row>
    <row r="80">
      <c r="A80" s="30"/>
      <c r="B80" s="22" t="s">
        <v>804</v>
      </c>
      <c r="C80" s="22" t="s">
        <v>366</v>
      </c>
      <c r="D80" s="22" t="s">
        <v>945</v>
      </c>
      <c r="E80" s="22" t="s">
        <v>946</v>
      </c>
      <c r="F80" s="22" t="s">
        <v>570</v>
      </c>
      <c r="G80" s="22" t="s">
        <v>947</v>
      </c>
      <c r="H80" s="27"/>
    </row>
    <row r="81">
      <c r="A81" s="25"/>
      <c r="B81" s="22" t="s">
        <v>950</v>
      </c>
      <c r="C81" s="22" t="s">
        <v>951</v>
      </c>
      <c r="D81" s="22" t="s">
        <v>254</v>
      </c>
      <c r="E81" s="22" t="s">
        <v>465</v>
      </c>
      <c r="F81" s="22" t="s">
        <v>952</v>
      </c>
      <c r="G81" s="22" t="s">
        <v>953</v>
      </c>
      <c r="H81" s="31"/>
      <c r="I81" s="32"/>
    </row>
    <row r="82">
      <c r="A82" s="10" t="s">
        <v>5</v>
      </c>
      <c r="B82" s="11" t="s">
        <v>955</v>
      </c>
      <c r="C82" s="9"/>
      <c r="D82" s="9"/>
      <c r="E82" s="9"/>
      <c r="F82" s="9"/>
      <c r="G82" s="9"/>
      <c r="H82" s="9"/>
      <c r="I82" s="14"/>
    </row>
    <row r="83" ht="60.0" customHeight="1">
      <c r="A83" s="15" t="s">
        <v>16</v>
      </c>
      <c r="B83" s="22" t="str">
        <f t="array" ref="B83">iferror(VLOOKUP(INDIRECT(ADDRESS(ROW()+1,COLUMN(), 4)),Dex!$A$2:$C205,3,false),"")</f>
        <v/>
      </c>
      <c r="C83" s="22" t="str">
        <f t="array" ref="C83">iferror(VLOOKUP(INDIRECT(ADDRESS(ROW()+1,COLUMN(), 4)),Dex!$A$2:$C205,3,false),"")</f>
        <v/>
      </c>
      <c r="D83" s="22" t="str">
        <f t="array" ref="D83">iferror(VLOOKUP(INDIRECT(ADDRESS(ROW()+1,COLUMN(), 4)),Dex!$A$2:$C205,3,false),"")</f>
        <v/>
      </c>
      <c r="E83" s="22" t="str">
        <f t="array" ref="E83">iferror(VLOOKUP(INDIRECT(ADDRESS(ROW()+1,COLUMN(), 4)),Dex!$A$2:$C205,3,false),"")</f>
        <v/>
      </c>
      <c r="F83" s="22" t="str">
        <f t="array" ref="F83">iferror(VLOOKUP(INDIRECT(ADDRESS(ROW()+1,COLUMN(), 4)),Dex!$A$2:$C205,3,false),"")</f>
        <v/>
      </c>
      <c r="G83" s="22" t="str">
        <f t="array" ref="G83">iferror(VLOOKUP(INDIRECT(ADDRESS(ROW()+1,COLUMN(), 4)),Dex!$A$2:$C205,3,false),"")</f>
        <v/>
      </c>
      <c r="H83" s="23" t="str">
        <f t="array" ref="H83">iferror(VLOOKUP("TRAINER_PIC_Brendan",Sprites!$A$1:$B205,2,false),"")</f>
        <v/>
      </c>
      <c r="I83" s="24"/>
    </row>
    <row r="84">
      <c r="A84" s="25"/>
      <c r="B84" s="26" t="s">
        <v>333</v>
      </c>
      <c r="C84" s="26" t="s">
        <v>1009</v>
      </c>
      <c r="D84" s="26" t="s">
        <v>889</v>
      </c>
      <c r="E84" s="26" t="s">
        <v>807</v>
      </c>
      <c r="F84" s="26" t="s">
        <v>1011</v>
      </c>
      <c r="G84" s="26" t="s">
        <v>893</v>
      </c>
      <c r="H84" s="27"/>
    </row>
    <row r="85">
      <c r="A85" s="10" t="s">
        <v>199</v>
      </c>
      <c r="B85" s="22">
        <v>43.0</v>
      </c>
      <c r="C85" s="22">
        <v>44.0</v>
      </c>
      <c r="D85" s="22">
        <v>44.0</v>
      </c>
      <c r="E85" s="22">
        <v>43.0</v>
      </c>
      <c r="F85" s="22">
        <v>43.0</v>
      </c>
      <c r="G85" s="22">
        <v>43.0</v>
      </c>
      <c r="H85" s="27"/>
    </row>
    <row r="86">
      <c r="A86" s="10" t="s">
        <v>201</v>
      </c>
      <c r="B86" s="29" t="s">
        <v>903</v>
      </c>
      <c r="C86" s="29" t="s">
        <v>1014</v>
      </c>
      <c r="D86" s="29" t="s">
        <v>677</v>
      </c>
      <c r="E86" s="29" t="s">
        <v>905</v>
      </c>
      <c r="F86" s="29" t="s">
        <v>1015</v>
      </c>
      <c r="G86" s="29" t="s">
        <v>907</v>
      </c>
      <c r="H86" s="27"/>
    </row>
    <row r="87">
      <c r="A87" s="10" t="s">
        <v>209</v>
      </c>
      <c r="B87" s="22" t="s">
        <v>1017</v>
      </c>
      <c r="C87" s="22" t="s">
        <v>910</v>
      </c>
      <c r="D87" s="22" t="s">
        <v>911</v>
      </c>
      <c r="E87" s="22" t="s">
        <v>901</v>
      </c>
      <c r="F87" s="22" t="s">
        <v>1018</v>
      </c>
      <c r="G87" s="22" t="s">
        <v>680</v>
      </c>
      <c r="H87" s="27"/>
    </row>
    <row r="88">
      <c r="A88" s="10" t="s">
        <v>215</v>
      </c>
      <c r="B88" s="29" t="s">
        <v>222</v>
      </c>
      <c r="C88" s="29" t="s">
        <v>419</v>
      </c>
      <c r="D88" s="29" t="s">
        <v>231</v>
      </c>
      <c r="E88" s="29" t="s">
        <v>685</v>
      </c>
      <c r="F88" s="29" t="s">
        <v>419</v>
      </c>
      <c r="G88" s="29" t="s">
        <v>918</v>
      </c>
      <c r="H88" s="27"/>
    </row>
    <row r="89">
      <c r="A89" s="15" t="s">
        <v>224</v>
      </c>
      <c r="B89" s="22" t="s">
        <v>588</v>
      </c>
      <c r="C89" s="22" t="s">
        <v>362</v>
      </c>
      <c r="D89" s="22" t="s">
        <v>652</v>
      </c>
      <c r="E89" s="22" t="s">
        <v>366</v>
      </c>
      <c r="F89" s="22" t="s">
        <v>246</v>
      </c>
      <c r="G89" s="22" t="s">
        <v>934</v>
      </c>
      <c r="H89" s="27"/>
    </row>
    <row r="90">
      <c r="A90" s="30"/>
      <c r="B90" s="22" t="s">
        <v>253</v>
      </c>
      <c r="C90" s="22" t="s">
        <v>234</v>
      </c>
      <c r="D90" s="22" t="s">
        <v>373</v>
      </c>
      <c r="E90" s="22" t="s">
        <v>942</v>
      </c>
      <c r="F90" s="22" t="s">
        <v>940</v>
      </c>
      <c r="G90" s="22" t="s">
        <v>943</v>
      </c>
      <c r="H90" s="27"/>
    </row>
    <row r="91">
      <c r="A91" s="30"/>
      <c r="B91" s="22" t="s">
        <v>428</v>
      </c>
      <c r="C91" s="22" t="s">
        <v>253</v>
      </c>
      <c r="D91" s="22" t="s">
        <v>1029</v>
      </c>
      <c r="E91" s="22" t="s">
        <v>570</v>
      </c>
      <c r="F91" s="22" t="s">
        <v>1030</v>
      </c>
      <c r="G91" s="22" t="s">
        <v>947</v>
      </c>
      <c r="H91" s="27"/>
    </row>
    <row r="92">
      <c r="A92" s="25"/>
      <c r="B92" s="22" t="s">
        <v>1031</v>
      </c>
      <c r="C92" s="22" t="s">
        <v>585</v>
      </c>
      <c r="D92" s="22" t="s">
        <v>811</v>
      </c>
      <c r="E92" s="22" t="s">
        <v>952</v>
      </c>
      <c r="F92" s="22" t="s">
        <v>1036</v>
      </c>
      <c r="G92" s="22" t="s">
        <v>953</v>
      </c>
      <c r="H92" s="31"/>
      <c r="I92" s="32"/>
    </row>
    <row r="93">
      <c r="A93" s="10" t="s">
        <v>5</v>
      </c>
      <c r="B93" s="11" t="s">
        <v>1038</v>
      </c>
      <c r="C93" s="9"/>
      <c r="D93" s="9"/>
      <c r="E93" s="9"/>
      <c r="F93" s="9"/>
      <c r="G93" s="9"/>
      <c r="H93" s="9"/>
      <c r="I93" s="14"/>
    </row>
    <row r="94" ht="60.0" customHeight="1">
      <c r="A94" s="15" t="s">
        <v>16</v>
      </c>
      <c r="B94" s="22" t="str">
        <f t="array" ref="B94">iferror(VLOOKUP(INDIRECT(ADDRESS(ROW()+1,COLUMN(), 4)),Dex!$A$2:$C205,3,false),"")</f>
        <v/>
      </c>
      <c r="C94" s="22" t="str">
        <f t="array" ref="C94">iferror(VLOOKUP(INDIRECT(ADDRESS(ROW()+1,COLUMN(), 4)),Dex!$A$2:$C205,3,false),"")</f>
        <v/>
      </c>
      <c r="D94" s="22" t="str">
        <f t="array" ref="D94">iferror(VLOOKUP(INDIRECT(ADDRESS(ROW()+1,COLUMN(), 4)),Dex!$A$2:$C205,3,false),"")</f>
        <v/>
      </c>
      <c r="E94" s="22" t="str">
        <f t="array" ref="E94">iferror(VLOOKUP(INDIRECT(ADDRESS(ROW()+1,COLUMN(), 4)),Dex!$A$2:$C205,3,false),"")</f>
        <v/>
      </c>
      <c r="F94" s="22" t="str">
        <f t="array" ref="F94">iferror(VLOOKUP(INDIRECT(ADDRESS(ROW()+1,COLUMN(), 4)),Dex!$A$2:$C205,3,false),"")</f>
        <v/>
      </c>
      <c r="G94" s="22" t="str">
        <f t="array" ref="G94">iferror(VLOOKUP(INDIRECT(ADDRESS(ROW()+1,COLUMN(), 4)),Dex!$A$2:$C205,3,false),"")</f>
        <v/>
      </c>
      <c r="H94" s="23" t="str">
        <f t="array" ref="H94">iferror(VLOOKUP("TRAINER_PIC_Brendan",Sprites!$A$1:$B205,2,false),"")</f>
        <v/>
      </c>
      <c r="I94" s="24"/>
    </row>
    <row r="95">
      <c r="A95" s="25"/>
      <c r="B95" s="26" t="s">
        <v>153</v>
      </c>
      <c r="C95" s="26" t="s">
        <v>1142</v>
      </c>
      <c r="D95" s="26" t="s">
        <v>889</v>
      </c>
      <c r="E95" s="26" t="s">
        <v>891</v>
      </c>
      <c r="F95" s="26" t="s">
        <v>1011</v>
      </c>
      <c r="G95" s="26" t="s">
        <v>893</v>
      </c>
      <c r="H95" s="27"/>
    </row>
    <row r="96">
      <c r="A96" s="10" t="s">
        <v>199</v>
      </c>
      <c r="B96" s="22">
        <v>43.0</v>
      </c>
      <c r="C96" s="22">
        <v>44.0</v>
      </c>
      <c r="D96" s="22">
        <v>44.0</v>
      </c>
      <c r="E96" s="22">
        <v>43.0</v>
      </c>
      <c r="F96" s="22">
        <v>43.0</v>
      </c>
      <c r="G96" s="22">
        <v>43.0</v>
      </c>
      <c r="H96" s="27"/>
    </row>
    <row r="97">
      <c r="A97" s="10" t="s">
        <v>201</v>
      </c>
      <c r="B97" s="29" t="s">
        <v>903</v>
      </c>
      <c r="C97" s="29" t="s">
        <v>409</v>
      </c>
      <c r="D97" s="29" t="s">
        <v>677</v>
      </c>
      <c r="E97" s="29" t="s">
        <v>645</v>
      </c>
      <c r="F97" s="29" t="s">
        <v>1015</v>
      </c>
      <c r="G97" s="29" t="s">
        <v>907</v>
      </c>
      <c r="H97" s="27"/>
    </row>
    <row r="98">
      <c r="A98" s="10" t="s">
        <v>209</v>
      </c>
      <c r="B98" s="22" t="s">
        <v>648</v>
      </c>
      <c r="C98" s="22" t="s">
        <v>910</v>
      </c>
      <c r="D98" s="22" t="s">
        <v>911</v>
      </c>
      <c r="E98" s="22" t="s">
        <v>912</v>
      </c>
      <c r="F98" s="22" t="s">
        <v>1018</v>
      </c>
      <c r="G98" s="22" t="s">
        <v>680</v>
      </c>
      <c r="H98" s="27"/>
    </row>
    <row r="99">
      <c r="A99" s="10" t="s">
        <v>215</v>
      </c>
      <c r="B99" s="29" t="s">
        <v>419</v>
      </c>
      <c r="C99" s="29" t="s">
        <v>231</v>
      </c>
      <c r="D99" s="29" t="s">
        <v>419</v>
      </c>
      <c r="E99" s="29" t="s">
        <v>904</v>
      </c>
      <c r="F99" s="29" t="s">
        <v>419</v>
      </c>
      <c r="G99" s="29" t="s">
        <v>918</v>
      </c>
      <c r="H99" s="27"/>
    </row>
    <row r="100">
      <c r="A100" s="15" t="s">
        <v>224</v>
      </c>
      <c r="B100" s="22" t="s">
        <v>588</v>
      </c>
      <c r="C100" s="22" t="s">
        <v>237</v>
      </c>
      <c r="D100" s="22" t="s">
        <v>589</v>
      </c>
      <c r="E100" s="22" t="s">
        <v>932</v>
      </c>
      <c r="F100" s="22" t="s">
        <v>246</v>
      </c>
      <c r="G100" s="22" t="s">
        <v>934</v>
      </c>
      <c r="H100" s="27"/>
    </row>
    <row r="101">
      <c r="A101" s="30"/>
      <c r="B101" s="22" t="s">
        <v>584</v>
      </c>
      <c r="C101" s="22" t="s">
        <v>468</v>
      </c>
      <c r="D101" s="22" t="s">
        <v>469</v>
      </c>
      <c r="E101" s="22" t="s">
        <v>940</v>
      </c>
      <c r="F101" s="22" t="s">
        <v>940</v>
      </c>
      <c r="G101" s="22" t="s">
        <v>943</v>
      </c>
      <c r="H101" s="27"/>
    </row>
    <row r="102">
      <c r="A102" s="30"/>
      <c r="B102" s="22" t="s">
        <v>253</v>
      </c>
      <c r="C102" s="22" t="s">
        <v>373</v>
      </c>
      <c r="D102" s="22" t="s">
        <v>945</v>
      </c>
      <c r="E102" s="22" t="s">
        <v>946</v>
      </c>
      <c r="F102" s="22" t="s">
        <v>1030</v>
      </c>
      <c r="G102" s="22" t="s">
        <v>947</v>
      </c>
      <c r="H102" s="27"/>
    </row>
    <row r="103">
      <c r="A103" s="25"/>
      <c r="B103" s="22" t="s">
        <v>478</v>
      </c>
      <c r="C103" s="22" t="s">
        <v>366</v>
      </c>
      <c r="D103" s="22" t="s">
        <v>574</v>
      </c>
      <c r="E103" s="22" t="s">
        <v>465</v>
      </c>
      <c r="F103" s="22" t="s">
        <v>1036</v>
      </c>
      <c r="G103" s="22" t="s">
        <v>953</v>
      </c>
      <c r="H103" s="31"/>
      <c r="I103" s="32"/>
    </row>
    <row r="104">
      <c r="A104" s="8" t="s">
        <v>1176</v>
      </c>
      <c r="B104" s="9"/>
      <c r="C104" s="9"/>
      <c r="D104" s="9"/>
      <c r="E104" s="9"/>
      <c r="F104" s="9"/>
      <c r="G104" s="9"/>
      <c r="H104" s="9"/>
      <c r="I104" s="34"/>
    </row>
    <row r="105">
      <c r="A105" s="10" t="s">
        <v>5</v>
      </c>
      <c r="B105" s="11" t="s">
        <v>1177</v>
      </c>
      <c r="C105" s="9"/>
      <c r="D105" s="9"/>
      <c r="E105" s="9"/>
      <c r="F105" s="9"/>
      <c r="G105" s="9"/>
      <c r="H105" s="9"/>
      <c r="I105" s="14"/>
    </row>
    <row r="106" ht="60.0" customHeight="1">
      <c r="A106" s="15" t="s">
        <v>16</v>
      </c>
      <c r="B106" s="22" t="str">
        <f t="array" ref="B106">iferror(VLOOKUP(INDIRECT(ADDRESS(ROW()+1,COLUMN(), 4)),Dex!$A$2:$C205,3,false),"")</f>
        <v/>
      </c>
      <c r="C106" s="22" t="str">
        <f t="array" ref="C106">iferror(VLOOKUP(INDIRECT(ADDRESS(ROW()+1,COLUMN(), 4)),Dex!$A$2:$C205,3,false),"")</f>
        <v/>
      </c>
      <c r="D106" s="22" t="str">
        <f t="array" ref="D106">iferror(VLOOKUP(INDIRECT(ADDRESS(ROW()+1,COLUMN(), 4)),Dex!$A$2:$C205,3,false),"")</f>
        <v/>
      </c>
      <c r="E106" s="22" t="str">
        <f t="array" ref="E106">iferror(VLOOKUP(INDIRECT(ADDRESS(ROW()+1,COLUMN(), 4)),Dex!$A$2:$C205,3,false),"")</f>
        <v/>
      </c>
      <c r="F106" s="22" t="str">
        <f t="array" ref="F106">iferror(VLOOKUP(INDIRECT(ADDRESS(ROW()+1,COLUMN(), 4)),Dex!$A$2:$C205,3,false),"")</f>
        <v/>
      </c>
      <c r="G106" s="22" t="str">
        <f t="array" ref="G106">iferror(VLOOKUP(INDIRECT(ADDRESS(ROW()+1,COLUMN(), 4)),Dex!$A$2:$C205,3,false),"")</f>
        <v/>
      </c>
      <c r="H106" s="23" t="str">
        <f t="array" ref="H106">iferror(VLOOKUP("TRAINER_PIC_Fisherman",Sprites!$A$1:$B205,2,false),"")</f>
        <v/>
      </c>
      <c r="I106" s="24"/>
    </row>
    <row r="107">
      <c r="A107" s="25"/>
      <c r="B107" s="26" t="s">
        <v>382</v>
      </c>
      <c r="C107" s="26" t="s">
        <v>515</v>
      </c>
      <c r="D107" s="26"/>
      <c r="E107" s="26" t="s">
        <v>427</v>
      </c>
      <c r="F107" s="26" t="s">
        <v>515</v>
      </c>
      <c r="G107" s="26"/>
      <c r="H107" s="27"/>
    </row>
    <row r="108">
      <c r="A108" s="10" t="s">
        <v>199</v>
      </c>
      <c r="B108" s="22">
        <v>43.0</v>
      </c>
      <c r="C108" s="22">
        <v>44.0</v>
      </c>
      <c r="D108" s="22"/>
      <c r="E108" s="22">
        <v>44.0</v>
      </c>
      <c r="F108" s="22">
        <v>43.0</v>
      </c>
      <c r="G108" s="22"/>
      <c r="H108" s="27"/>
    </row>
    <row r="109">
      <c r="A109" s="10" t="s">
        <v>201</v>
      </c>
      <c r="B109" s="29" t="s">
        <v>345</v>
      </c>
      <c r="C109" s="29" t="s">
        <v>1278</v>
      </c>
      <c r="D109" s="29"/>
      <c r="E109" s="29" t="s">
        <v>1279</v>
      </c>
      <c r="F109" s="29" t="s">
        <v>1281</v>
      </c>
      <c r="G109" s="29"/>
      <c r="H109" s="27"/>
    </row>
    <row r="110">
      <c r="A110" s="10" t="s">
        <v>209</v>
      </c>
      <c r="B110" s="22" t="s">
        <v>1283</v>
      </c>
      <c r="C110" s="22" t="s">
        <v>1284</v>
      </c>
      <c r="D110" s="22"/>
      <c r="E110" s="22" t="s">
        <v>901</v>
      </c>
      <c r="F110" s="22" t="s">
        <v>901</v>
      </c>
      <c r="G110" s="22"/>
      <c r="H110" s="27"/>
    </row>
    <row r="111">
      <c r="A111" s="10" t="s">
        <v>215</v>
      </c>
      <c r="B111" s="29" t="s">
        <v>419</v>
      </c>
      <c r="C111" s="29" t="s">
        <v>222</v>
      </c>
      <c r="D111" s="29"/>
      <c r="E111" s="29" t="s">
        <v>1286</v>
      </c>
      <c r="F111" s="29" t="s">
        <v>419</v>
      </c>
      <c r="G111" s="29"/>
      <c r="H111" s="27"/>
    </row>
    <row r="112">
      <c r="A112" s="15" t="s">
        <v>224</v>
      </c>
      <c r="B112" s="22" t="s">
        <v>584</v>
      </c>
      <c r="C112" s="22" t="s">
        <v>584</v>
      </c>
      <c r="D112" s="22"/>
      <c r="E112" s="22" t="s">
        <v>654</v>
      </c>
      <c r="F112" s="22" t="s">
        <v>654</v>
      </c>
      <c r="G112" s="22"/>
      <c r="H112" s="27"/>
    </row>
    <row r="113">
      <c r="A113" s="30"/>
      <c r="B113" s="22" t="s">
        <v>1291</v>
      </c>
      <c r="C113" s="22" t="s">
        <v>238</v>
      </c>
      <c r="D113" s="22"/>
      <c r="E113" s="22"/>
      <c r="F113" s="22" t="s">
        <v>1248</v>
      </c>
      <c r="G113" s="22"/>
      <c r="H113" s="27"/>
    </row>
    <row r="114">
      <c r="A114" s="30"/>
      <c r="B114" s="22" t="s">
        <v>234</v>
      </c>
      <c r="C114" s="22" t="s">
        <v>588</v>
      </c>
      <c r="D114" s="22"/>
      <c r="E114" s="22"/>
      <c r="F114" s="22" t="s">
        <v>1294</v>
      </c>
      <c r="G114" s="22"/>
      <c r="H114" s="27"/>
    </row>
    <row r="115">
      <c r="A115" s="25"/>
      <c r="B115" s="22" t="s">
        <v>946</v>
      </c>
      <c r="C115" s="22" t="s">
        <v>234</v>
      </c>
      <c r="D115" s="22"/>
      <c r="E115" s="22"/>
      <c r="F115" s="22" t="s">
        <v>234</v>
      </c>
      <c r="G115" s="22"/>
      <c r="H115" s="31"/>
      <c r="I115" s="32"/>
    </row>
    <row r="116">
      <c r="A116" s="8" t="s">
        <v>1298</v>
      </c>
      <c r="B116" s="9"/>
      <c r="C116" s="9"/>
      <c r="D116" s="9"/>
      <c r="E116" s="9"/>
      <c r="F116" s="9"/>
      <c r="G116" s="9"/>
      <c r="H116" s="9"/>
      <c r="I116" s="34"/>
    </row>
    <row r="117">
      <c r="A117" s="10" t="s">
        <v>5</v>
      </c>
      <c r="B117" s="11" t="s">
        <v>1302</v>
      </c>
      <c r="C117" s="9"/>
      <c r="D117" s="9"/>
      <c r="E117" s="9"/>
      <c r="F117" s="9"/>
      <c r="G117" s="9"/>
      <c r="H117" s="9"/>
      <c r="I117" s="14"/>
    </row>
    <row r="118" ht="60.0" customHeight="1">
      <c r="A118" s="15" t="s">
        <v>16</v>
      </c>
      <c r="B118" s="22" t="str">
        <f t="array" ref="B118">iferror(VLOOKUP(INDIRECT(ADDRESS(ROW()+1,COLUMN(), 4)),Dex!$A$2:$C205,3,false),"")</f>
        <v/>
      </c>
      <c r="C118" s="22" t="str">
        <f t="array" ref="C118">iferror(VLOOKUP(INDIRECT(ADDRESS(ROW()+1,COLUMN(), 4)),Dex!$A$2:$C205,3,false),"")</f>
        <v/>
      </c>
      <c r="D118" s="22" t="str">
        <f t="array" ref="D118">iferror(VLOOKUP(INDIRECT(ADDRESS(ROW()+1,COLUMN(), 4)),Dex!$A$2:$C205,3,false),"")</f>
        <v/>
      </c>
      <c r="E118" s="22" t="str">
        <f t="array" ref="E118">iferror(VLOOKUP(INDIRECT(ADDRESS(ROW()+1,COLUMN(), 4)),Dex!$A$2:$C205,3,false),"")</f>
        <v/>
      </c>
      <c r="F118" s="22" t="str">
        <f t="array" ref="F118">iferror(VLOOKUP(INDIRECT(ADDRESS(ROW()+1,COLUMN(), 4)),Dex!$A$2:$C205,3,false),"")</f>
        <v/>
      </c>
      <c r="G118" s="22" t="str">
        <f t="array" ref="G118">iferror(VLOOKUP(INDIRECT(ADDRESS(ROW()+1,COLUMN(), 4)),Dex!$A$2:$C205,3,false),"")</f>
        <v/>
      </c>
      <c r="H118" s="23" t="str">
        <f t="array" ref="H118">iferror(VLOOKUP("TRAINER_PIC_Picnicker",Sprites!$A$1:$B205,2,false),"")</f>
        <v/>
      </c>
      <c r="I118" s="24"/>
    </row>
    <row r="119">
      <c r="A119" s="25"/>
      <c r="B119" s="26" t="s">
        <v>181</v>
      </c>
      <c r="C119" s="26" t="s">
        <v>389</v>
      </c>
      <c r="D119" s="26" t="s">
        <v>1422</v>
      </c>
      <c r="E119" s="26" t="s">
        <v>595</v>
      </c>
      <c r="F119" s="26"/>
      <c r="G119" s="26"/>
      <c r="H119" s="27"/>
    </row>
    <row r="120">
      <c r="A120" s="10" t="s">
        <v>199</v>
      </c>
      <c r="B120" s="22">
        <v>44.0</v>
      </c>
      <c r="C120" s="22">
        <v>44.0</v>
      </c>
      <c r="D120" s="22">
        <v>44.0</v>
      </c>
      <c r="E120" s="22">
        <v>44.0</v>
      </c>
      <c r="F120" s="22"/>
      <c r="G120" s="22"/>
      <c r="H120" s="27"/>
    </row>
    <row r="121">
      <c r="A121" s="10" t="s">
        <v>201</v>
      </c>
      <c r="B121" s="29" t="s">
        <v>451</v>
      </c>
      <c r="C121" s="29" t="s">
        <v>1427</v>
      </c>
      <c r="D121" s="29" t="s">
        <v>1429</v>
      </c>
      <c r="E121" s="29" t="s">
        <v>1014</v>
      </c>
      <c r="F121" s="29"/>
      <c r="G121" s="29"/>
      <c r="H121" s="27"/>
    </row>
    <row r="122">
      <c r="A122" s="10" t="s">
        <v>209</v>
      </c>
      <c r="B122" s="22" t="s">
        <v>1430</v>
      </c>
      <c r="C122" s="22" t="s">
        <v>1431</v>
      </c>
      <c r="D122" s="22" t="s">
        <v>1432</v>
      </c>
      <c r="E122" s="22" t="s">
        <v>413</v>
      </c>
      <c r="F122" s="22"/>
      <c r="G122" s="22"/>
      <c r="H122" s="27"/>
    </row>
    <row r="123">
      <c r="A123" s="10" t="s">
        <v>215</v>
      </c>
      <c r="B123" s="29" t="s">
        <v>906</v>
      </c>
      <c r="C123" s="29" t="s">
        <v>419</v>
      </c>
      <c r="D123" s="29" t="s">
        <v>904</v>
      </c>
      <c r="E123" s="29" t="s">
        <v>419</v>
      </c>
      <c r="F123" s="29"/>
      <c r="G123" s="29"/>
      <c r="H123" s="27"/>
    </row>
    <row r="124">
      <c r="A124" s="15" t="s">
        <v>224</v>
      </c>
      <c r="B124" s="22" t="s">
        <v>229</v>
      </c>
      <c r="C124" s="22" t="s">
        <v>241</v>
      </c>
      <c r="D124" s="22" t="s">
        <v>1434</v>
      </c>
      <c r="E124" s="22" t="s">
        <v>1435</v>
      </c>
      <c r="F124" s="22"/>
      <c r="G124" s="22"/>
      <c r="H124" s="27"/>
    </row>
    <row r="125">
      <c r="A125" s="30"/>
      <c r="B125" s="22" t="s">
        <v>1436</v>
      </c>
      <c r="C125" s="22" t="s">
        <v>1348</v>
      </c>
      <c r="D125" s="22" t="s">
        <v>1437</v>
      </c>
      <c r="E125" s="22" t="s">
        <v>1438</v>
      </c>
      <c r="F125" s="22"/>
      <c r="G125" s="22"/>
      <c r="H125" s="27"/>
    </row>
    <row r="126">
      <c r="A126" s="30"/>
      <c r="B126" s="22" t="s">
        <v>240</v>
      </c>
      <c r="C126" s="22" t="s">
        <v>1357</v>
      </c>
      <c r="D126" s="22" t="s">
        <v>368</v>
      </c>
      <c r="E126" s="22" t="s">
        <v>1439</v>
      </c>
      <c r="F126" s="22"/>
      <c r="G126" s="22"/>
      <c r="H126" s="27"/>
    </row>
    <row r="127">
      <c r="A127" s="25"/>
      <c r="B127" s="22" t="s">
        <v>1039</v>
      </c>
      <c r="C127" s="22" t="s">
        <v>1441</v>
      </c>
      <c r="D127" s="22" t="s">
        <v>424</v>
      </c>
      <c r="E127" s="22" t="s">
        <v>1442</v>
      </c>
      <c r="F127" s="22"/>
      <c r="G127" s="22"/>
      <c r="H127" s="31"/>
      <c r="I127" s="32"/>
    </row>
    <row r="128">
      <c r="A128" s="10" t="s">
        <v>5</v>
      </c>
      <c r="B128" s="11" t="s">
        <v>1444</v>
      </c>
      <c r="C128" s="9"/>
      <c r="D128" s="9"/>
      <c r="E128" s="9"/>
      <c r="F128" s="9"/>
      <c r="G128" s="9"/>
      <c r="H128" s="9"/>
      <c r="I128" s="14"/>
    </row>
    <row r="129" ht="60.0" customHeight="1">
      <c r="A129" s="15" t="s">
        <v>16</v>
      </c>
      <c r="B129" s="22" t="str">
        <f t="array" ref="B129">iferror(VLOOKUP(INDIRECT(ADDRESS(ROW()+1,COLUMN(), 4)),Dex!$A$2:$C205,3,false),"")</f>
        <v/>
      </c>
      <c r="C129" s="22" t="str">
        <f t="array" ref="C129">iferror(VLOOKUP(INDIRECT(ADDRESS(ROW()+1,COLUMN(), 4)),Dex!$A$2:$C205,3,false),"")</f>
        <v/>
      </c>
      <c r="D129" s="22" t="str">
        <f t="array" ref="D129">iferror(VLOOKUP(INDIRECT(ADDRESS(ROW()+1,COLUMN(), 4)),Dex!$A$2:$C205,3,false),"")</f>
        <v/>
      </c>
      <c r="E129" s="22" t="str">
        <f t="array" ref="E129">iferror(VLOOKUP(INDIRECT(ADDRESS(ROW()+1,COLUMN(), 4)),Dex!$A$2:$C205,3,false),"")</f>
        <v/>
      </c>
      <c r="F129" s="22" t="str">
        <f t="array" ref="F129">iferror(VLOOKUP(INDIRECT(ADDRESS(ROW()+1,COLUMN(), 4)),Dex!$A$2:$C205,3,false),"")</f>
        <v/>
      </c>
      <c r="G129" s="22" t="str">
        <f t="array" ref="G129">iferror(VLOOKUP(INDIRECT(ADDRESS(ROW()+1,COLUMN(), 4)),Dex!$A$2:$C205,3,false),"")</f>
        <v/>
      </c>
      <c r="H129" s="23" t="str">
        <f t="array" ref="H129">iferror(VLOOKUP("TRAINER_PIC_Pokemon_Ranger_F",Sprites!$A$1:$B205,2,false),"")</f>
        <v/>
      </c>
      <c r="I129" s="24"/>
    </row>
    <row r="130">
      <c r="A130" s="25"/>
      <c r="B130" s="26" t="s">
        <v>1514</v>
      </c>
      <c r="C130" s="26" t="s">
        <v>398</v>
      </c>
      <c r="D130" s="26" t="s">
        <v>1516</v>
      </c>
      <c r="E130" s="26" t="s">
        <v>847</v>
      </c>
      <c r="F130" s="26"/>
      <c r="G130" s="26"/>
      <c r="H130" s="27"/>
    </row>
    <row r="131">
      <c r="A131" s="10" t="s">
        <v>199</v>
      </c>
      <c r="B131" s="22">
        <v>44.0</v>
      </c>
      <c r="C131" s="22">
        <v>44.0</v>
      </c>
      <c r="D131" s="22">
        <v>44.0</v>
      </c>
      <c r="E131" s="22">
        <v>45.0</v>
      </c>
      <c r="F131" s="22"/>
      <c r="G131" s="22"/>
      <c r="H131" s="27"/>
    </row>
    <row r="132">
      <c r="A132" s="10" t="s">
        <v>201</v>
      </c>
      <c r="B132" s="29" t="s">
        <v>408</v>
      </c>
      <c r="C132" s="29" t="s">
        <v>1052</v>
      </c>
      <c r="D132" s="29" t="s">
        <v>1518</v>
      </c>
      <c r="E132" s="29" t="s">
        <v>1520</v>
      </c>
      <c r="F132" s="29"/>
      <c r="G132" s="29"/>
      <c r="H132" s="27"/>
    </row>
    <row r="133">
      <c r="A133" s="10" t="s">
        <v>209</v>
      </c>
      <c r="B133" s="22" t="s">
        <v>1523</v>
      </c>
      <c r="C133" s="22" t="s">
        <v>1524</v>
      </c>
      <c r="D133" s="22" t="s">
        <v>1525</v>
      </c>
      <c r="E133" s="22" t="s">
        <v>1528</v>
      </c>
      <c r="F133" s="22"/>
      <c r="G133" s="22"/>
      <c r="H133" s="27"/>
    </row>
    <row r="134">
      <c r="A134" s="10" t="s">
        <v>215</v>
      </c>
      <c r="B134" s="29" t="s">
        <v>419</v>
      </c>
      <c r="C134" s="29" t="s">
        <v>231</v>
      </c>
      <c r="D134" s="29" t="s">
        <v>218</v>
      </c>
      <c r="E134" s="29" t="s">
        <v>417</v>
      </c>
      <c r="F134" s="29"/>
      <c r="G134" s="29"/>
      <c r="H134" s="27"/>
    </row>
    <row r="135">
      <c r="A135" s="15" t="s">
        <v>224</v>
      </c>
      <c r="B135" s="22" t="s">
        <v>1534</v>
      </c>
      <c r="C135" s="22" t="s">
        <v>1535</v>
      </c>
      <c r="D135" s="22" t="s">
        <v>1536</v>
      </c>
      <c r="E135" s="22" t="s">
        <v>1347</v>
      </c>
      <c r="F135" s="22"/>
      <c r="G135" s="22"/>
      <c r="H135" s="27"/>
    </row>
    <row r="136">
      <c r="A136" s="30"/>
      <c r="B136" s="22" t="s">
        <v>1537</v>
      </c>
      <c r="C136" s="22" t="s">
        <v>1538</v>
      </c>
      <c r="D136" s="22" t="s">
        <v>1539</v>
      </c>
      <c r="E136" s="22" t="s">
        <v>926</v>
      </c>
      <c r="F136" s="22"/>
      <c r="G136" s="22"/>
      <c r="H136" s="27"/>
    </row>
    <row r="137">
      <c r="A137" s="30"/>
      <c r="B137" s="22" t="s">
        <v>924</v>
      </c>
      <c r="C137" s="22" t="s">
        <v>1035</v>
      </c>
      <c r="D137" s="22" t="s">
        <v>1069</v>
      </c>
      <c r="E137" s="22" t="s">
        <v>244</v>
      </c>
      <c r="F137" s="22"/>
      <c r="G137" s="22"/>
      <c r="H137" s="27"/>
    </row>
    <row r="138">
      <c r="A138" s="25"/>
      <c r="B138" s="22" t="s">
        <v>926</v>
      </c>
      <c r="C138" s="22" t="s">
        <v>1544</v>
      </c>
      <c r="D138" s="22" t="s">
        <v>465</v>
      </c>
      <c r="E138" s="22" t="s">
        <v>1354</v>
      </c>
      <c r="F138" s="22"/>
      <c r="G138" s="22"/>
      <c r="H138" s="31"/>
      <c r="I138" s="32"/>
    </row>
    <row r="139">
      <c r="A139" s="10" t="s">
        <v>5</v>
      </c>
      <c r="B139" s="11" t="s">
        <v>1548</v>
      </c>
      <c r="C139" s="9"/>
      <c r="D139" s="9"/>
      <c r="E139" s="9"/>
      <c r="F139" s="9"/>
      <c r="G139" s="9"/>
      <c r="H139" s="9"/>
      <c r="I139" s="14"/>
    </row>
    <row r="140" ht="60.0" customHeight="1">
      <c r="A140" s="15" t="s">
        <v>16</v>
      </c>
      <c r="B140" s="22" t="str">
        <f t="array" ref="B140">iferror(VLOOKUP(INDIRECT(ADDRESS(ROW()+1,COLUMN(), 4)),Dex!$A$2:$C205,3,false),"")</f>
        <v/>
      </c>
      <c r="C140" s="22" t="str">
        <f t="array" ref="C140">iferror(VLOOKUP(INDIRECT(ADDRESS(ROW()+1,COLUMN(), 4)),Dex!$A$2:$C205,3,false),"")</f>
        <v/>
      </c>
      <c r="D140" s="22" t="str">
        <f t="array" ref="D140">iferror(VLOOKUP(INDIRECT(ADDRESS(ROW()+1,COLUMN(), 4)),Dex!$A$2:$C205,3,false),"")</f>
        <v/>
      </c>
      <c r="E140" s="22" t="str">
        <f t="array" ref="E140">iferror(VLOOKUP(INDIRECT(ADDRESS(ROW()+1,COLUMN(), 4)),Dex!$A$2:$C205,3,false),"")</f>
        <v/>
      </c>
      <c r="F140" s="22" t="str">
        <f t="array" ref="F140">iferror(VLOOKUP(INDIRECT(ADDRESS(ROW()+1,COLUMN(), 4)),Dex!$A$2:$C205,3,false),"")</f>
        <v/>
      </c>
      <c r="G140" s="22" t="str">
        <f t="array" ref="G140">iferror(VLOOKUP(INDIRECT(ADDRESS(ROW()+1,COLUMN(), 4)),Dex!$A$2:$C205,3,false),"")</f>
        <v/>
      </c>
      <c r="H140" s="23" t="str">
        <f t="array" ref="H140">iferror(VLOOKUP("TRAINER_PIC_Black_Belt",Sprites!$A$1:$B205,2,false),"")</f>
        <v/>
      </c>
      <c r="I140" s="24"/>
    </row>
    <row r="141">
      <c r="A141" s="25"/>
      <c r="B141" s="26" t="s">
        <v>394</v>
      </c>
      <c r="C141" s="26" t="s">
        <v>393</v>
      </c>
      <c r="D141" s="26" t="s">
        <v>1625</v>
      </c>
      <c r="E141" s="26" t="s">
        <v>1297</v>
      </c>
      <c r="F141" s="26"/>
      <c r="G141" s="26"/>
      <c r="H141" s="27"/>
    </row>
    <row r="142">
      <c r="A142" s="10" t="s">
        <v>199</v>
      </c>
      <c r="B142" s="22">
        <v>44.0</v>
      </c>
      <c r="C142" s="22">
        <v>44.0</v>
      </c>
      <c r="D142" s="22">
        <v>45.0</v>
      </c>
      <c r="E142" s="22">
        <v>43.0</v>
      </c>
      <c r="F142" s="22"/>
      <c r="G142" s="22"/>
      <c r="H142" s="27"/>
    </row>
    <row r="143">
      <c r="A143" s="10" t="s">
        <v>201</v>
      </c>
      <c r="B143" s="29" t="s">
        <v>343</v>
      </c>
      <c r="C143" s="29" t="s">
        <v>1150</v>
      </c>
      <c r="D143" s="29" t="s">
        <v>645</v>
      </c>
      <c r="E143" s="29" t="s">
        <v>1636</v>
      </c>
      <c r="F143" s="29"/>
      <c r="G143" s="29"/>
      <c r="H143" s="27"/>
    </row>
    <row r="144">
      <c r="A144" s="10" t="s">
        <v>209</v>
      </c>
      <c r="B144" s="22" t="s">
        <v>1060</v>
      </c>
      <c r="C144" s="22" t="s">
        <v>648</v>
      </c>
      <c r="D144" s="22" t="s">
        <v>911</v>
      </c>
      <c r="E144" s="22" t="s">
        <v>1642</v>
      </c>
      <c r="F144" s="22"/>
      <c r="G144" s="22"/>
      <c r="H144" s="27"/>
    </row>
    <row r="145">
      <c r="A145" s="10" t="s">
        <v>215</v>
      </c>
      <c r="B145" s="29" t="s">
        <v>906</v>
      </c>
      <c r="C145" s="29" t="s">
        <v>904</v>
      </c>
      <c r="D145" s="29" t="s">
        <v>231</v>
      </c>
      <c r="E145" s="29" t="s">
        <v>906</v>
      </c>
      <c r="F145" s="29"/>
      <c r="G145" s="29"/>
      <c r="H145" s="27"/>
    </row>
    <row r="146">
      <c r="A146" s="15" t="s">
        <v>224</v>
      </c>
      <c r="B146" s="22" t="s">
        <v>1651</v>
      </c>
      <c r="C146" s="22" t="s">
        <v>702</v>
      </c>
      <c r="D146" s="22" t="s">
        <v>1653</v>
      </c>
      <c r="E146" s="22" t="s">
        <v>1357</v>
      </c>
      <c r="F146" s="22"/>
      <c r="G146" s="22"/>
      <c r="H146" s="27"/>
    </row>
    <row r="147">
      <c r="A147" s="30"/>
      <c r="B147" s="22" t="s">
        <v>1655</v>
      </c>
      <c r="C147" s="22" t="s">
        <v>811</v>
      </c>
      <c r="D147" s="22" t="s">
        <v>1657</v>
      </c>
      <c r="E147" s="22" t="s">
        <v>1659</v>
      </c>
      <c r="F147" s="22"/>
      <c r="G147" s="22"/>
      <c r="H147" s="27"/>
    </row>
    <row r="148">
      <c r="A148" s="30"/>
      <c r="B148" s="22" t="s">
        <v>1661</v>
      </c>
      <c r="C148" s="22" t="s">
        <v>700</v>
      </c>
      <c r="D148" s="22" t="s">
        <v>1162</v>
      </c>
      <c r="E148" s="22" t="s">
        <v>1545</v>
      </c>
      <c r="F148" s="22"/>
      <c r="G148" s="22"/>
      <c r="H148" s="27"/>
    </row>
    <row r="149">
      <c r="A149" s="25"/>
      <c r="B149" s="22" t="s">
        <v>924</v>
      </c>
      <c r="C149" s="22" t="s">
        <v>698</v>
      </c>
      <c r="D149" s="22" t="s">
        <v>467</v>
      </c>
      <c r="E149" s="22" t="s">
        <v>1442</v>
      </c>
      <c r="F149" s="22"/>
      <c r="G149" s="22"/>
      <c r="H149" s="31"/>
      <c r="I149" s="32"/>
    </row>
    <row r="150">
      <c r="A150" s="8" t="s">
        <v>1668</v>
      </c>
      <c r="B150" s="9"/>
      <c r="C150" s="9"/>
      <c r="D150" s="9"/>
      <c r="E150" s="9"/>
      <c r="F150" s="9"/>
      <c r="G150" s="9"/>
      <c r="H150" s="9"/>
      <c r="I150" s="34"/>
    </row>
    <row r="151">
      <c r="A151" s="10" t="s">
        <v>5</v>
      </c>
      <c r="B151" s="11" t="s">
        <v>1673</v>
      </c>
      <c r="C151" s="9"/>
      <c r="D151" s="9"/>
      <c r="E151" s="9"/>
      <c r="F151" s="9"/>
      <c r="G151" s="9"/>
      <c r="H151" s="9"/>
      <c r="I151" s="14"/>
    </row>
    <row r="152" ht="60.0" customHeight="1">
      <c r="A152" s="15" t="s">
        <v>16</v>
      </c>
      <c r="B152" s="22" t="str">
        <f t="array" ref="B152">iferror(VLOOKUP(INDIRECT(ADDRESS(ROW()+1,COLUMN(), 4)),Dex!$A$2:$C205,3,false),"")</f>
        <v/>
      </c>
      <c r="C152" s="22" t="str">
        <f t="array" ref="C152">iferror(VLOOKUP(INDIRECT(ADDRESS(ROW()+1,COLUMN(), 4)),Dex!$A$2:$C205,3,false),"")</f>
        <v/>
      </c>
      <c r="D152" s="22" t="str">
        <f t="array" ref="D152">iferror(VLOOKUP(INDIRECT(ADDRESS(ROW()+1,COLUMN(), 4)),Dex!$A$2:$C205,3,false),"")</f>
        <v/>
      </c>
      <c r="E152" s="22" t="str">
        <f t="array" ref="E152">iferror(VLOOKUP(INDIRECT(ADDRESS(ROW()+1,COLUMN(), 4)),Dex!$A$2:$C205,3,false),"")</f>
        <v/>
      </c>
      <c r="F152" s="22" t="str">
        <f t="array" ref="F152">iferror(VLOOKUP(INDIRECT(ADDRESS(ROW()+1,COLUMN(), 4)),Dex!$A$2:$C205,3,false),"")</f>
        <v/>
      </c>
      <c r="G152" s="22" t="str">
        <f t="array" ref="G152">iferror(VLOOKUP(INDIRECT(ADDRESS(ROW()+1,COLUMN(), 4)),Dex!$A$2:$C205,3,false),"")</f>
        <v/>
      </c>
      <c r="H152" s="23" t="str">
        <f t="array" ref="H152">iferror(VLOOKUP("TRAINER_PIC_Black_Belt",Sprites!$A$1:$B205,2,false),"")</f>
        <v/>
      </c>
      <c r="I152" s="24"/>
    </row>
    <row r="153">
      <c r="A153" s="25"/>
      <c r="B153" s="26" t="s">
        <v>347</v>
      </c>
      <c r="C153" s="26" t="s">
        <v>1715</v>
      </c>
      <c r="D153" s="26" t="s">
        <v>728</v>
      </c>
      <c r="E153" s="26"/>
      <c r="F153" s="26"/>
      <c r="G153" s="26"/>
      <c r="H153" s="27"/>
    </row>
    <row r="154">
      <c r="A154" s="10" t="s">
        <v>199</v>
      </c>
      <c r="B154" s="22">
        <v>45.0</v>
      </c>
      <c r="C154" s="22">
        <v>44.0</v>
      </c>
      <c r="D154" s="22">
        <v>44.0</v>
      </c>
      <c r="E154" s="22"/>
      <c r="F154" s="22"/>
      <c r="G154" s="22"/>
      <c r="H154" s="27"/>
    </row>
    <row r="155">
      <c r="A155" s="10" t="s">
        <v>201</v>
      </c>
      <c r="B155" s="29" t="s">
        <v>1760</v>
      </c>
      <c r="C155" s="29" t="s">
        <v>644</v>
      </c>
      <c r="D155" s="29" t="s">
        <v>343</v>
      </c>
      <c r="E155" s="29"/>
      <c r="F155" s="29"/>
      <c r="G155" s="29"/>
      <c r="H155" s="27"/>
    </row>
    <row r="156">
      <c r="A156" s="10" t="s">
        <v>209</v>
      </c>
      <c r="B156" s="22" t="s">
        <v>1763</v>
      </c>
      <c r="C156" s="22" t="s">
        <v>1765</v>
      </c>
      <c r="D156" s="22" t="s">
        <v>541</v>
      </c>
      <c r="E156" s="22"/>
      <c r="F156" s="22"/>
      <c r="G156" s="22"/>
      <c r="H156" s="27"/>
    </row>
    <row r="157">
      <c r="A157" s="10" t="s">
        <v>215</v>
      </c>
      <c r="B157" s="29" t="s">
        <v>220</v>
      </c>
      <c r="C157" s="29" t="s">
        <v>231</v>
      </c>
      <c r="D157" s="29" t="s">
        <v>231</v>
      </c>
      <c r="E157" s="29"/>
      <c r="F157" s="29"/>
      <c r="G157" s="29"/>
      <c r="H157" s="27"/>
    </row>
    <row r="158">
      <c r="A158" s="15" t="s">
        <v>224</v>
      </c>
      <c r="B158" s="22" t="s">
        <v>241</v>
      </c>
      <c r="C158" s="22" t="s">
        <v>1162</v>
      </c>
      <c r="D158" s="22" t="s">
        <v>1769</v>
      </c>
      <c r="E158" s="22"/>
      <c r="F158" s="22"/>
      <c r="G158" s="22"/>
      <c r="H158" s="27"/>
    </row>
    <row r="159">
      <c r="A159" s="30"/>
      <c r="B159" s="22" t="s">
        <v>1033</v>
      </c>
      <c r="C159" s="22" t="s">
        <v>1771</v>
      </c>
      <c r="D159" s="22" t="s">
        <v>1772</v>
      </c>
      <c r="E159" s="22"/>
      <c r="F159" s="22"/>
      <c r="G159" s="22"/>
      <c r="H159" s="27"/>
    </row>
    <row r="160">
      <c r="A160" s="30"/>
      <c r="B160" s="22" t="s">
        <v>477</v>
      </c>
      <c r="C160" s="22" t="s">
        <v>1555</v>
      </c>
      <c r="D160" s="22" t="s">
        <v>242</v>
      </c>
      <c r="E160" s="22"/>
      <c r="F160" s="22"/>
      <c r="G160" s="22"/>
      <c r="H160" s="27"/>
    </row>
    <row r="161">
      <c r="A161" s="25"/>
      <c r="B161" s="22" t="s">
        <v>476</v>
      </c>
      <c r="C161" s="22" t="s">
        <v>652</v>
      </c>
      <c r="D161" s="22" t="s">
        <v>372</v>
      </c>
      <c r="E161" s="22"/>
      <c r="F161" s="22"/>
      <c r="G161" s="22"/>
      <c r="H161" s="31"/>
      <c r="I161" s="32"/>
    </row>
    <row r="162">
      <c r="A162" s="10" t="s">
        <v>5</v>
      </c>
      <c r="B162" s="11" t="s">
        <v>1774</v>
      </c>
      <c r="C162" s="9"/>
      <c r="D162" s="9"/>
      <c r="E162" s="9"/>
      <c r="F162" s="9"/>
      <c r="G162" s="9"/>
      <c r="H162" s="9"/>
      <c r="I162" s="14"/>
    </row>
    <row r="163" ht="60.0" customHeight="1">
      <c r="A163" s="15" t="s">
        <v>16</v>
      </c>
      <c r="B163" s="22" t="str">
        <f t="array" ref="B163">iferror(VLOOKUP(INDIRECT(ADDRESS(ROW()+1,COLUMN(), 4)),Dex!$A$2:$C205,3,false),"")</f>
        <v/>
      </c>
      <c r="C163" s="22" t="str">
        <f t="array" ref="C163">iferror(VLOOKUP(INDIRECT(ADDRESS(ROW()+1,COLUMN(), 4)),Dex!$A$2:$C205,3,false),"")</f>
        <v/>
      </c>
      <c r="D163" s="22" t="str">
        <f t="array" ref="D163">iferror(VLOOKUP(INDIRECT(ADDRESS(ROW()+1,COLUMN(), 4)),Dex!$A$2:$C205,3,false),"")</f>
        <v/>
      </c>
      <c r="E163" s="22" t="str">
        <f t="array" ref="E163">iferror(VLOOKUP(INDIRECT(ADDRESS(ROW()+1,COLUMN(), 4)),Dex!$A$2:$C205,3,false),"")</f>
        <v/>
      </c>
      <c r="F163" s="22" t="str">
        <f t="array" ref="F163">iferror(VLOOKUP(INDIRECT(ADDRESS(ROW()+1,COLUMN(), 4)),Dex!$A$2:$C205,3,false),"")</f>
        <v/>
      </c>
      <c r="G163" s="22" t="str">
        <f t="array" ref="G163">iferror(VLOOKUP(INDIRECT(ADDRESS(ROW()+1,COLUMN(), 4)),Dex!$A$2:$C205,3,false),"")</f>
        <v/>
      </c>
      <c r="H163" s="23" t="str">
        <f t="array" ref="H163">iferror(VLOOKUP("TRAINER_PIC_Battle_Girl",Sprites!$A$1:$B205,2,false),"")</f>
        <v/>
      </c>
      <c r="I163" s="24"/>
    </row>
    <row r="164">
      <c r="A164" s="25"/>
      <c r="B164" s="26" t="s">
        <v>350</v>
      </c>
      <c r="C164" s="26" t="s">
        <v>615</v>
      </c>
      <c r="D164" s="26" t="s">
        <v>1219</v>
      </c>
      <c r="E164" s="26" t="s">
        <v>1561</v>
      </c>
      <c r="F164" s="26"/>
      <c r="G164" s="26"/>
      <c r="H164" s="27"/>
    </row>
    <row r="165">
      <c r="A165" s="10" t="s">
        <v>199</v>
      </c>
      <c r="B165" s="22">
        <v>45.0</v>
      </c>
      <c r="C165" s="22">
        <v>44.0</v>
      </c>
      <c r="D165" s="22">
        <v>43.0</v>
      </c>
      <c r="E165" s="22">
        <v>44.0</v>
      </c>
      <c r="F165" s="22"/>
      <c r="G165" s="22"/>
      <c r="H165" s="27"/>
    </row>
    <row r="166">
      <c r="A166" s="10" t="s">
        <v>201</v>
      </c>
      <c r="B166" s="29" t="s">
        <v>1150</v>
      </c>
      <c r="C166" s="29" t="s">
        <v>545</v>
      </c>
      <c r="D166" s="29" t="s">
        <v>1636</v>
      </c>
      <c r="E166" s="29" t="s">
        <v>1427</v>
      </c>
      <c r="F166" s="29"/>
      <c r="G166" s="29"/>
      <c r="H166" s="27"/>
    </row>
    <row r="167">
      <c r="A167" s="10" t="s">
        <v>209</v>
      </c>
      <c r="B167" s="22" t="s">
        <v>1153</v>
      </c>
      <c r="C167" s="22" t="s">
        <v>911</v>
      </c>
      <c r="D167" s="22" t="s">
        <v>538</v>
      </c>
      <c r="E167" s="22" t="s">
        <v>1888</v>
      </c>
      <c r="F167" s="22"/>
      <c r="G167" s="22"/>
      <c r="H167" s="27"/>
    </row>
    <row r="168">
      <c r="A168" s="10" t="s">
        <v>215</v>
      </c>
      <c r="B168" s="29" t="s">
        <v>220</v>
      </c>
      <c r="C168" s="29" t="s">
        <v>220</v>
      </c>
      <c r="D168" s="29" t="s">
        <v>231</v>
      </c>
      <c r="E168" s="29" t="s">
        <v>419</v>
      </c>
      <c r="F168" s="29"/>
      <c r="G168" s="29"/>
      <c r="H168" s="27"/>
    </row>
    <row r="169">
      <c r="A169" s="15" t="s">
        <v>224</v>
      </c>
      <c r="B169" s="22" t="s">
        <v>698</v>
      </c>
      <c r="C169" s="22" t="s">
        <v>1352</v>
      </c>
      <c r="D169" s="22" t="s">
        <v>1072</v>
      </c>
      <c r="E169" s="22" t="s">
        <v>1891</v>
      </c>
      <c r="F169" s="22"/>
      <c r="G169" s="22"/>
      <c r="H169" s="27"/>
    </row>
    <row r="170">
      <c r="A170" s="30"/>
      <c r="B170" s="22" t="s">
        <v>242</v>
      </c>
      <c r="C170" s="22" t="s">
        <v>1893</v>
      </c>
      <c r="D170" s="22" t="s">
        <v>373</v>
      </c>
      <c r="E170" s="22" t="s">
        <v>253</v>
      </c>
      <c r="F170" s="22"/>
      <c r="G170" s="22"/>
      <c r="H170" s="27"/>
    </row>
    <row r="171">
      <c r="A171" s="30"/>
      <c r="B171" s="22" t="s">
        <v>700</v>
      </c>
      <c r="C171" s="22" t="s">
        <v>555</v>
      </c>
      <c r="D171" s="22" t="s">
        <v>363</v>
      </c>
      <c r="E171" s="22" t="s">
        <v>1291</v>
      </c>
      <c r="F171" s="22"/>
      <c r="G171" s="22"/>
      <c r="H171" s="27"/>
    </row>
    <row r="172">
      <c r="A172" s="25"/>
      <c r="B172" s="22" t="s">
        <v>1896</v>
      </c>
      <c r="C172" s="22" t="s">
        <v>1844</v>
      </c>
      <c r="D172" s="22" t="s">
        <v>1554</v>
      </c>
      <c r="E172" s="22" t="s">
        <v>1064</v>
      </c>
      <c r="F172" s="22"/>
      <c r="G172" s="22"/>
      <c r="H172" s="31"/>
      <c r="I172" s="32"/>
    </row>
    <row r="173">
      <c r="A173" s="10" t="s">
        <v>5</v>
      </c>
      <c r="B173" s="11" t="s">
        <v>1897</v>
      </c>
      <c r="C173" s="9"/>
      <c r="D173" s="9"/>
      <c r="E173" s="9"/>
      <c r="F173" s="9"/>
      <c r="G173" s="9"/>
      <c r="H173" s="9"/>
      <c r="I173" s="14"/>
    </row>
    <row r="174" ht="60.0" customHeight="1">
      <c r="A174" s="15" t="s">
        <v>16</v>
      </c>
      <c r="B174" s="22" t="str">
        <f t="array" ref="B174">iferror(VLOOKUP(INDIRECT(ADDRESS(ROW()+1,COLUMN(), 4)),Dex!$A$2:$C205,3,false),"")</f>
        <v/>
      </c>
      <c r="C174" s="22" t="str">
        <f t="array" ref="C174">iferror(VLOOKUP(INDIRECT(ADDRESS(ROW()+1,COLUMN(), 4)),Dex!$A$2:$C205,3,false),"")</f>
        <v/>
      </c>
      <c r="D174" s="22" t="str">
        <f t="array" ref="D174">iferror(VLOOKUP(INDIRECT(ADDRESS(ROW()+1,COLUMN(), 4)),Dex!$A$2:$C205,3,false),"")</f>
        <v/>
      </c>
      <c r="E174" s="22" t="str">
        <f t="array" ref="E174">iferror(VLOOKUP(INDIRECT(ADDRESS(ROW()+1,COLUMN(), 4)),Dex!$A$2:$C205,3,false),"")</f>
        <v/>
      </c>
      <c r="F174" s="22" t="str">
        <f t="array" ref="F174">iferror(VLOOKUP(INDIRECT(ADDRESS(ROW()+1,COLUMN(), 4)),Dex!$A$2:$C205,3,false),"")</f>
        <v/>
      </c>
      <c r="G174" s="22" t="str">
        <f t="array" ref="G174">iferror(VLOOKUP(INDIRECT(ADDRESS(ROW()+1,COLUMN(), 4)),Dex!$A$2:$C205,3,false),"")</f>
        <v/>
      </c>
      <c r="H174" s="23" t="str">
        <f t="array" ref="H174">iferror(VLOOKUP("TRAINER_PIC_Black_Belt",Sprites!$A$1:$B205,2,false),"")</f>
        <v/>
      </c>
      <c r="I174" s="24"/>
    </row>
    <row r="175">
      <c r="A175" s="25"/>
      <c r="B175" s="26" t="s">
        <v>1681</v>
      </c>
      <c r="C175" s="26" t="s">
        <v>1717</v>
      </c>
      <c r="D175" s="26" t="s">
        <v>1058</v>
      </c>
      <c r="E175" s="26" t="s">
        <v>1268</v>
      </c>
      <c r="F175" s="26"/>
      <c r="G175" s="26"/>
      <c r="H175" s="27"/>
    </row>
    <row r="176">
      <c r="A176" s="10" t="s">
        <v>199</v>
      </c>
      <c r="B176" s="22">
        <v>44.0</v>
      </c>
      <c r="C176" s="22">
        <v>44.0</v>
      </c>
      <c r="D176" s="22">
        <v>43.0</v>
      </c>
      <c r="E176" s="22">
        <v>45.0</v>
      </c>
      <c r="F176" s="22"/>
      <c r="G176" s="22"/>
      <c r="H176" s="27"/>
    </row>
    <row r="177">
      <c r="A177" s="10" t="s">
        <v>201</v>
      </c>
      <c r="B177" s="29" t="s">
        <v>781</v>
      </c>
      <c r="C177" s="29" t="s">
        <v>343</v>
      </c>
      <c r="D177" s="29" t="s">
        <v>1455</v>
      </c>
      <c r="E177" s="29" t="s">
        <v>645</v>
      </c>
      <c r="F177" s="29"/>
      <c r="G177" s="29"/>
      <c r="H177" s="27"/>
    </row>
    <row r="178">
      <c r="A178" s="10" t="s">
        <v>209</v>
      </c>
      <c r="B178" s="22" t="s">
        <v>785</v>
      </c>
      <c r="C178" s="22" t="s">
        <v>1996</v>
      </c>
      <c r="D178" s="22" t="s">
        <v>1245</v>
      </c>
      <c r="E178" s="22" t="s">
        <v>1124</v>
      </c>
      <c r="F178" s="22"/>
      <c r="G178" s="22"/>
      <c r="H178" s="27"/>
    </row>
    <row r="179">
      <c r="A179" s="10" t="s">
        <v>215</v>
      </c>
      <c r="B179" s="29" t="s">
        <v>904</v>
      </c>
      <c r="C179" s="29" t="s">
        <v>231</v>
      </c>
      <c r="D179" s="29" t="s">
        <v>231</v>
      </c>
      <c r="E179" s="29" t="s">
        <v>220</v>
      </c>
      <c r="F179" s="29"/>
      <c r="G179" s="29"/>
      <c r="H179" s="27"/>
    </row>
    <row r="180">
      <c r="A180" s="15" t="s">
        <v>224</v>
      </c>
      <c r="B180" s="22" t="s">
        <v>1998</v>
      </c>
      <c r="C180" s="22" t="s">
        <v>1999</v>
      </c>
      <c r="D180" s="22" t="s">
        <v>366</v>
      </c>
      <c r="E180" s="22" t="s">
        <v>1666</v>
      </c>
      <c r="F180" s="22"/>
      <c r="G180" s="22"/>
      <c r="H180" s="27"/>
    </row>
    <row r="181">
      <c r="A181" s="30"/>
      <c r="B181" s="22" t="s">
        <v>356</v>
      </c>
      <c r="C181" s="22" t="s">
        <v>463</v>
      </c>
      <c r="D181" s="22" t="s">
        <v>1224</v>
      </c>
      <c r="E181" s="22" t="s">
        <v>698</v>
      </c>
      <c r="F181" s="22"/>
      <c r="G181" s="22"/>
      <c r="H181" s="27"/>
    </row>
    <row r="182">
      <c r="A182" s="30"/>
      <c r="B182" s="22" t="s">
        <v>1849</v>
      </c>
      <c r="C182" s="22" t="s">
        <v>799</v>
      </c>
      <c r="D182" s="22" t="s">
        <v>2002</v>
      </c>
      <c r="E182" s="22" t="s">
        <v>431</v>
      </c>
      <c r="F182" s="22"/>
      <c r="G182" s="22"/>
      <c r="H182" s="27"/>
    </row>
    <row r="183">
      <c r="A183" s="25"/>
      <c r="B183" s="22" t="s">
        <v>1162</v>
      </c>
      <c r="C183" s="22" t="s">
        <v>1541</v>
      </c>
      <c r="D183" s="22" t="s">
        <v>549</v>
      </c>
      <c r="E183" s="22" t="s">
        <v>372</v>
      </c>
      <c r="F183" s="22"/>
      <c r="G183" s="22"/>
      <c r="H183" s="31"/>
      <c r="I183" s="32"/>
    </row>
    <row r="184">
      <c r="A184" s="10" t="s">
        <v>5</v>
      </c>
      <c r="B184" s="11" t="s">
        <v>2005</v>
      </c>
      <c r="C184" s="9"/>
      <c r="D184" s="9"/>
      <c r="E184" s="9"/>
      <c r="F184" s="9"/>
      <c r="G184" s="9"/>
      <c r="H184" s="9"/>
      <c r="I184" s="14"/>
    </row>
    <row r="185" ht="60.0" customHeight="1">
      <c r="A185" s="15" t="s">
        <v>16</v>
      </c>
      <c r="B185" s="22" t="str">
        <f t="array" ref="B185">iferror(VLOOKUP(INDIRECT(ADDRESS(ROW()+1,COLUMN(), 4)),Dex!$A$2:$C205,3,false),"")</f>
        <v/>
      </c>
      <c r="C185" s="22" t="str">
        <f t="array" ref="C185">iferror(VLOOKUP(INDIRECT(ADDRESS(ROW()+1,COLUMN(), 4)),Dex!$A$2:$C205,3,false),"")</f>
        <v/>
      </c>
      <c r="D185" s="22" t="str">
        <f t="array" ref="D185">iferror(VLOOKUP(INDIRECT(ADDRESS(ROW()+1,COLUMN(), 4)),Dex!$A$2:$C205,3,false),"")</f>
        <v/>
      </c>
      <c r="E185" s="22" t="str">
        <f t="array" ref="E185">iferror(VLOOKUP(INDIRECT(ADDRESS(ROW()+1,COLUMN(), 4)),Dex!$A$2:$C205,3,false),"")</f>
        <v/>
      </c>
      <c r="F185" s="22" t="str">
        <f t="array" ref="F185">iferror(VLOOKUP(INDIRECT(ADDRESS(ROW()+1,COLUMN(), 4)),Dex!$A$2:$C205,3,false),"")</f>
        <v/>
      </c>
      <c r="G185" s="22" t="str">
        <f t="array" ref="G185">iferror(VLOOKUP(INDIRECT(ADDRESS(ROW()+1,COLUMN(), 4)),Dex!$A$2:$C205,3,false),"")</f>
        <v/>
      </c>
      <c r="H185" s="23" t="str">
        <f t="array" ref="H185">iferror(VLOOKUP("TRAINER_PIC_Battle_Girl",Sprites!$A$1:$B205,2,false),"")</f>
        <v/>
      </c>
      <c r="I185" s="24"/>
    </row>
    <row r="186">
      <c r="A186" s="25"/>
      <c r="B186" s="26" t="s">
        <v>270</v>
      </c>
      <c r="C186" s="26" t="s">
        <v>990</v>
      </c>
      <c r="D186" s="26" t="s">
        <v>1905</v>
      </c>
      <c r="E186" s="26" t="s">
        <v>404</v>
      </c>
      <c r="F186" s="26" t="s">
        <v>753</v>
      </c>
      <c r="G186" s="26"/>
      <c r="H186" s="27"/>
    </row>
    <row r="187">
      <c r="A187" s="10" t="s">
        <v>199</v>
      </c>
      <c r="B187" s="22">
        <v>44.0</v>
      </c>
      <c r="C187" s="22">
        <v>44.0</v>
      </c>
      <c r="D187" s="22">
        <v>44.0</v>
      </c>
      <c r="E187" s="22">
        <v>44.0</v>
      </c>
      <c r="F187" s="22">
        <v>45.0</v>
      </c>
      <c r="G187" s="22"/>
      <c r="H187" s="27"/>
    </row>
    <row r="188">
      <c r="A188" s="10" t="s">
        <v>201</v>
      </c>
      <c r="B188" s="29" t="s">
        <v>537</v>
      </c>
      <c r="C188" s="29" t="s">
        <v>2090</v>
      </c>
      <c r="D188" s="29" t="s">
        <v>206</v>
      </c>
      <c r="E188" s="29" t="s">
        <v>1052</v>
      </c>
      <c r="F188" s="29" t="s">
        <v>408</v>
      </c>
      <c r="G188" s="29"/>
      <c r="H188" s="27"/>
    </row>
    <row r="189">
      <c r="A189" s="10" t="s">
        <v>209</v>
      </c>
      <c r="B189" s="22" t="s">
        <v>901</v>
      </c>
      <c r="C189" s="22" t="s">
        <v>2093</v>
      </c>
      <c r="D189" s="22" t="s">
        <v>2095</v>
      </c>
      <c r="E189" s="22" t="s">
        <v>1524</v>
      </c>
      <c r="F189" s="22" t="s">
        <v>2096</v>
      </c>
      <c r="G189" s="22"/>
      <c r="H189" s="27"/>
    </row>
    <row r="190">
      <c r="A190" s="10" t="s">
        <v>215</v>
      </c>
      <c r="B190" s="29" t="s">
        <v>461</v>
      </c>
      <c r="C190" s="29" t="s">
        <v>231</v>
      </c>
      <c r="D190" s="29" t="s">
        <v>231</v>
      </c>
      <c r="E190" s="29" t="s">
        <v>231</v>
      </c>
      <c r="F190" s="29" t="s">
        <v>1286</v>
      </c>
      <c r="G190" s="29"/>
      <c r="H190" s="27"/>
    </row>
    <row r="191">
      <c r="A191" s="15" t="s">
        <v>224</v>
      </c>
      <c r="B191" s="22" t="s">
        <v>692</v>
      </c>
      <c r="C191" s="22" t="s">
        <v>1466</v>
      </c>
      <c r="D191" s="22" t="s">
        <v>2100</v>
      </c>
      <c r="E191" s="22" t="s">
        <v>2104</v>
      </c>
      <c r="F191" s="22" t="s">
        <v>241</v>
      </c>
      <c r="G191" s="22"/>
      <c r="H191" s="27"/>
    </row>
    <row r="192">
      <c r="A192" s="30"/>
      <c r="B192" s="22" t="s">
        <v>814</v>
      </c>
      <c r="C192" s="22" t="s">
        <v>801</v>
      </c>
      <c r="D192" s="22" t="s">
        <v>2106</v>
      </c>
      <c r="E192" s="22" t="s">
        <v>1538</v>
      </c>
      <c r="F192" s="22" t="s">
        <v>695</v>
      </c>
      <c r="G192" s="22"/>
      <c r="H192" s="27"/>
    </row>
    <row r="193">
      <c r="A193" s="30"/>
      <c r="B193" s="22" t="s">
        <v>1363</v>
      </c>
      <c r="C193" s="22" t="s">
        <v>1033</v>
      </c>
      <c r="D193" s="22" t="s">
        <v>237</v>
      </c>
      <c r="E193" s="22" t="s">
        <v>951</v>
      </c>
      <c r="F193" s="22" t="s">
        <v>373</v>
      </c>
      <c r="G193" s="22"/>
      <c r="H193" s="27"/>
    </row>
    <row r="194">
      <c r="A194" s="25"/>
      <c r="B194" s="22" t="s">
        <v>2110</v>
      </c>
      <c r="C194" s="22" t="s">
        <v>2111</v>
      </c>
      <c r="D194" s="22" t="s">
        <v>244</v>
      </c>
      <c r="E194" s="22" t="s">
        <v>1047</v>
      </c>
      <c r="F194" s="22" t="s">
        <v>555</v>
      </c>
      <c r="G194" s="22"/>
      <c r="H194" s="31"/>
      <c r="I194" s="32"/>
    </row>
    <row r="195">
      <c r="A195" s="10" t="s">
        <v>5</v>
      </c>
      <c r="B195" s="11" t="s">
        <v>2117</v>
      </c>
      <c r="C195" s="9"/>
      <c r="D195" s="9"/>
      <c r="E195" s="9"/>
      <c r="F195" s="9"/>
      <c r="G195" s="9"/>
      <c r="H195" s="9"/>
      <c r="I195" s="14"/>
    </row>
    <row r="196" ht="60.0" customHeight="1">
      <c r="A196" s="15" t="s">
        <v>16</v>
      </c>
      <c r="B196" s="22" t="str">
        <f t="array" ref="B196">iferror(VLOOKUP(INDIRECT(ADDRESS(ROW()+1,COLUMN(), 4)),Dex!$A$2:$C205,3,false),"")</f>
        <v/>
      </c>
      <c r="C196" s="22" t="str">
        <f t="array" ref="C196">iferror(VLOOKUP(INDIRECT(ADDRESS(ROW()+1,COLUMN(), 4)),Dex!$A$2:$C205,3,false),"")</f>
        <v/>
      </c>
      <c r="D196" s="22" t="str">
        <f t="array" ref="D196">iferror(VLOOKUP(INDIRECT(ADDRESS(ROW()+1,COLUMN(), 4)),Dex!$A$2:$C205,3,false),"")</f>
        <v/>
      </c>
      <c r="E196" s="22" t="str">
        <f t="array" ref="E196">iferror(VLOOKUP(INDIRECT(ADDRESS(ROW()+1,COLUMN(), 4)),Dex!$A$2:$C205,3,false),"")</f>
        <v/>
      </c>
      <c r="F196" s="22" t="str">
        <f t="array" ref="F196">iferror(VLOOKUP(INDIRECT(ADDRESS(ROW()+1,COLUMN(), 4)),Dex!$A$2:$C205,3,false),"")</f>
        <v/>
      </c>
      <c r="G196" s="22" t="str">
        <f t="array" ref="G196">iferror(VLOOKUP(INDIRECT(ADDRESS(ROW()+1,COLUMN(), 4)),Dex!$A$2:$C205,3,false),"")</f>
        <v/>
      </c>
      <c r="H196" s="23" t="str">
        <f t="array" ref="H196">iferror(VLOOKUP("TRAINER_PIC_Leader_Brawly",Sprites!$A$1:$B205,2,false),"")</f>
        <v/>
      </c>
      <c r="I196" s="24"/>
    </row>
    <row r="197">
      <c r="A197" s="25"/>
      <c r="B197" s="26" t="s">
        <v>739</v>
      </c>
      <c r="C197" s="26" t="s">
        <v>641</v>
      </c>
      <c r="D197" s="26" t="s">
        <v>1495</v>
      </c>
      <c r="E197" s="26" t="s">
        <v>2010</v>
      </c>
      <c r="F197" s="26" t="s">
        <v>1921</v>
      </c>
      <c r="G197" s="26" t="s">
        <v>613</v>
      </c>
      <c r="H197" s="27"/>
    </row>
    <row r="198">
      <c r="A198" s="10" t="s">
        <v>199</v>
      </c>
      <c r="B198" s="22">
        <v>45.0</v>
      </c>
      <c r="C198" s="22">
        <v>44.0</v>
      </c>
      <c r="D198" s="22">
        <v>45.0</v>
      </c>
      <c r="E198" s="22">
        <v>44.0</v>
      </c>
      <c r="F198" s="22">
        <v>43.0</v>
      </c>
      <c r="G198" s="22">
        <v>44.0</v>
      </c>
      <c r="H198" s="27"/>
    </row>
    <row r="199">
      <c r="A199" s="10" t="s">
        <v>201</v>
      </c>
      <c r="B199" s="29" t="s">
        <v>453</v>
      </c>
      <c r="C199" s="29" t="s">
        <v>2090</v>
      </c>
      <c r="D199" s="29" t="s">
        <v>451</v>
      </c>
      <c r="E199" s="29" t="s">
        <v>1150</v>
      </c>
      <c r="F199" s="29" t="s">
        <v>2198</v>
      </c>
      <c r="G199" s="29" t="s">
        <v>2199</v>
      </c>
      <c r="H199" s="27"/>
    </row>
    <row r="200">
      <c r="A200" s="10" t="s">
        <v>209</v>
      </c>
      <c r="B200" s="22" t="s">
        <v>458</v>
      </c>
      <c r="C200" s="22" t="s">
        <v>219</v>
      </c>
      <c r="D200" s="22" t="s">
        <v>683</v>
      </c>
      <c r="E200" s="22" t="s">
        <v>1153</v>
      </c>
      <c r="F200" s="22" t="s">
        <v>2202</v>
      </c>
      <c r="G200" s="22" t="s">
        <v>2203</v>
      </c>
      <c r="H200" s="27"/>
    </row>
    <row r="201">
      <c r="A201" s="10" t="s">
        <v>215</v>
      </c>
      <c r="B201" s="29" t="s">
        <v>220</v>
      </c>
      <c r="C201" s="29" t="s">
        <v>231</v>
      </c>
      <c r="D201" s="29" t="s">
        <v>220</v>
      </c>
      <c r="E201" s="29" t="s">
        <v>231</v>
      </c>
      <c r="F201" s="29" t="s">
        <v>461</v>
      </c>
      <c r="G201" s="29" t="s">
        <v>461</v>
      </c>
      <c r="H201" s="27"/>
    </row>
    <row r="202">
      <c r="A202" s="15" t="s">
        <v>224</v>
      </c>
      <c r="B202" s="22" t="s">
        <v>241</v>
      </c>
      <c r="C202" s="22" t="s">
        <v>241</v>
      </c>
      <c r="D202" s="22" t="s">
        <v>1844</v>
      </c>
      <c r="E202" s="22" t="s">
        <v>702</v>
      </c>
      <c r="F202" s="22" t="s">
        <v>565</v>
      </c>
      <c r="G202" s="22" t="s">
        <v>373</v>
      </c>
      <c r="H202" s="27"/>
    </row>
    <row r="203">
      <c r="A203" s="30"/>
      <c r="B203" s="22" t="s">
        <v>1029</v>
      </c>
      <c r="C203" s="22" t="s">
        <v>951</v>
      </c>
      <c r="D203" s="22" t="s">
        <v>934</v>
      </c>
      <c r="E203" s="22" t="s">
        <v>463</v>
      </c>
      <c r="F203" s="22" t="s">
        <v>2216</v>
      </c>
      <c r="G203" s="22" t="s">
        <v>917</v>
      </c>
      <c r="H203" s="27"/>
    </row>
    <row r="204">
      <c r="A204" s="30"/>
      <c r="B204" s="22" t="s">
        <v>1352</v>
      </c>
      <c r="C204" s="22" t="s">
        <v>2111</v>
      </c>
      <c r="D204" s="22" t="s">
        <v>652</v>
      </c>
      <c r="E204" s="22" t="s">
        <v>242</v>
      </c>
      <c r="F204" s="22" t="s">
        <v>1048</v>
      </c>
      <c r="G204" s="22" t="s">
        <v>1353</v>
      </c>
      <c r="H204" s="27"/>
    </row>
    <row r="205">
      <c r="A205" s="25"/>
      <c r="B205" s="22" t="s">
        <v>477</v>
      </c>
      <c r="C205" s="22" t="s">
        <v>242</v>
      </c>
      <c r="D205" s="22" t="s">
        <v>549</v>
      </c>
      <c r="E205" s="22" t="s">
        <v>2221</v>
      </c>
      <c r="F205" s="22" t="s">
        <v>254</v>
      </c>
      <c r="G205" s="22" t="s">
        <v>2022</v>
      </c>
      <c r="H205" s="31"/>
      <c r="I205" s="32"/>
    </row>
  </sheetData>
  <mergeCells count="78">
    <mergeCell ref="B36:H36"/>
    <mergeCell ref="B47:H47"/>
    <mergeCell ref="A58:I58"/>
    <mergeCell ref="B59:H59"/>
    <mergeCell ref="A70:I70"/>
    <mergeCell ref="B71:H71"/>
    <mergeCell ref="B82:H82"/>
    <mergeCell ref="B93:H93"/>
    <mergeCell ref="A54:A57"/>
    <mergeCell ref="A60:A61"/>
    <mergeCell ref="A66:A69"/>
    <mergeCell ref="A72:A73"/>
    <mergeCell ref="A78:A81"/>
    <mergeCell ref="A83:A84"/>
    <mergeCell ref="A89:A92"/>
    <mergeCell ref="A163:A164"/>
    <mergeCell ref="A169:A172"/>
    <mergeCell ref="A174:A175"/>
    <mergeCell ref="A185:A186"/>
    <mergeCell ref="A196:A197"/>
    <mergeCell ref="A124:A127"/>
    <mergeCell ref="A129:A130"/>
    <mergeCell ref="A135:A138"/>
    <mergeCell ref="A140:A141"/>
    <mergeCell ref="A146:A149"/>
    <mergeCell ref="A152:A153"/>
    <mergeCell ref="A158:A161"/>
    <mergeCell ref="H174:I183"/>
    <mergeCell ref="H185:I194"/>
    <mergeCell ref="H196:I205"/>
    <mergeCell ref="A150:I150"/>
    <mergeCell ref="B151:H151"/>
    <mergeCell ref="B162:H162"/>
    <mergeCell ref="B173:H173"/>
    <mergeCell ref="A180:A183"/>
    <mergeCell ref="B184:H184"/>
    <mergeCell ref="B195:H195"/>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A94:A95"/>
    <mergeCell ref="A100:A103"/>
    <mergeCell ref="A104:I104"/>
    <mergeCell ref="B105:H105"/>
    <mergeCell ref="H15:I24"/>
    <mergeCell ref="H26:I35"/>
    <mergeCell ref="H37:I46"/>
    <mergeCell ref="H48:I57"/>
    <mergeCell ref="H60:I69"/>
    <mergeCell ref="H72:I81"/>
    <mergeCell ref="H83:I92"/>
    <mergeCell ref="A106:A107"/>
    <mergeCell ref="A112:A115"/>
    <mergeCell ref="A116:I116"/>
    <mergeCell ref="B117:H117"/>
    <mergeCell ref="A118:A119"/>
    <mergeCell ref="B128:H128"/>
    <mergeCell ref="B139:H139"/>
    <mergeCell ref="H94:I103"/>
    <mergeCell ref="H106:I115"/>
    <mergeCell ref="H118:I127"/>
    <mergeCell ref="H129:I138"/>
    <mergeCell ref="H140:I149"/>
    <mergeCell ref="H152:I161"/>
    <mergeCell ref="H163:I172"/>
    <mergeCell ref="A191:A194"/>
    <mergeCell ref="A202:A205"/>
  </mergeCells>
  <conditionalFormatting sqref="A1">
    <cfRule type="notContainsBlanks" dxfId="3" priority="1">
      <formula>LEN(TRIM(A1))&gt;0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36"/>
      <c r="B1" s="8"/>
      <c r="C1" s="9"/>
      <c r="D1" s="9"/>
      <c r="E1" s="9"/>
      <c r="F1" s="9"/>
      <c r="G1" s="9"/>
      <c r="H1" s="9"/>
      <c r="I1" s="37"/>
    </row>
    <row r="2">
      <c r="A2" s="8" t="s">
        <v>286</v>
      </c>
      <c r="B2" s="9"/>
      <c r="C2" s="9"/>
      <c r="D2" s="9"/>
      <c r="E2" s="9"/>
      <c r="F2" s="9"/>
      <c r="G2" s="9"/>
      <c r="H2" s="9"/>
      <c r="I2" s="34"/>
    </row>
    <row r="3">
      <c r="A3" s="10" t="s">
        <v>5</v>
      </c>
      <c r="B3" s="11" t="s">
        <v>292</v>
      </c>
      <c r="C3" s="9"/>
      <c r="D3" s="9"/>
      <c r="E3" s="9"/>
      <c r="F3" s="9"/>
      <c r="G3" s="9"/>
      <c r="H3" s="9"/>
      <c r="I3" s="13"/>
    </row>
    <row r="4" ht="60.0" customHeight="1">
      <c r="A4" s="15" t="s">
        <v>16</v>
      </c>
      <c r="B4" s="22" t="str">
        <f t="array" ref="B4">iferror(VLOOKUP(INDIRECT(ADDRESS(ROW()+1,COLUMN(), 4)),Dex!$A$2:$C294,3,false),"")</f>
        <v/>
      </c>
      <c r="C4" s="22" t="str">
        <f t="array" ref="C4">iferror(VLOOKUP(INDIRECT(ADDRESS(ROW()+1,COLUMN(), 4)),Dex!$A$2:$C294,3,false),"")</f>
        <v/>
      </c>
      <c r="D4" s="22" t="str">
        <f t="array" ref="D4">iferror(VLOOKUP(INDIRECT(ADDRESS(ROW()+1,COLUMN(), 4)),Dex!$A$2:$C294,3,false),"")</f>
        <v/>
      </c>
      <c r="E4" s="22" t="str">
        <f t="array" ref="E4">iferror(VLOOKUP(INDIRECT(ADDRESS(ROW()+1,COLUMN(), 4)),Dex!$A$2:$C294,3,false),"")</f>
        <v/>
      </c>
      <c r="F4" s="22" t="str">
        <f t="array" ref="F4">iferror(VLOOKUP(INDIRECT(ADDRESS(ROW()+1,COLUMN(), 4)),Dex!$A$2:$C294,3,false),"")</f>
        <v/>
      </c>
      <c r="G4" s="22" t="str">
        <f t="array" ref="G4">iferror(VLOOKUP(INDIRECT(ADDRESS(ROW()+1,COLUMN(), 4)),Dex!$A$2:$C294,3,false),"")</f>
        <v/>
      </c>
      <c r="H4" s="23" t="str">
        <f t="array" ref="H4">iferror(VLOOKUP("TRAINER_PIC_Tuber_F",Sprites!$A$1:$B294,2,false),"")</f>
        <v/>
      </c>
      <c r="I4" s="24"/>
    </row>
    <row r="5">
      <c r="A5" s="25"/>
      <c r="B5" s="26" t="s">
        <v>400</v>
      </c>
      <c r="C5" s="26" t="s">
        <v>401</v>
      </c>
      <c r="D5" s="26" t="s">
        <v>402</v>
      </c>
      <c r="E5" s="26" t="s">
        <v>403</v>
      </c>
      <c r="F5" s="26"/>
      <c r="G5" s="26"/>
      <c r="H5" s="27"/>
    </row>
    <row r="6">
      <c r="A6" s="10" t="s">
        <v>199</v>
      </c>
      <c r="B6" s="22">
        <v>46.0</v>
      </c>
      <c r="C6" s="22">
        <v>47.0</v>
      </c>
      <c r="D6" s="22">
        <v>47.0</v>
      </c>
      <c r="E6" s="22">
        <v>47.0</v>
      </c>
      <c r="F6" s="22"/>
      <c r="G6" s="22"/>
      <c r="H6" s="27"/>
    </row>
    <row r="7">
      <c r="A7" s="10" t="s">
        <v>201</v>
      </c>
      <c r="B7" s="29" t="s">
        <v>406</v>
      </c>
      <c r="C7" s="29" t="s">
        <v>407</v>
      </c>
      <c r="D7" s="29" t="s">
        <v>408</v>
      </c>
      <c r="E7" s="29" t="s">
        <v>409</v>
      </c>
      <c r="F7" s="29"/>
      <c r="G7" s="29"/>
      <c r="H7" s="27"/>
    </row>
    <row r="8">
      <c r="A8" s="10" t="s">
        <v>209</v>
      </c>
      <c r="B8" s="22" t="s">
        <v>412</v>
      </c>
      <c r="C8" s="22" t="s">
        <v>413</v>
      </c>
      <c r="D8" s="22" t="s">
        <v>415</v>
      </c>
      <c r="E8" s="22" t="s">
        <v>416</v>
      </c>
      <c r="F8" s="22"/>
      <c r="G8" s="22"/>
      <c r="H8" s="27"/>
    </row>
    <row r="9">
      <c r="A9" s="10" t="s">
        <v>215</v>
      </c>
      <c r="B9" s="29" t="s">
        <v>417</v>
      </c>
      <c r="C9" s="29" t="s">
        <v>220</v>
      </c>
      <c r="D9" s="29" t="s">
        <v>419</v>
      </c>
      <c r="E9" s="29" t="s">
        <v>220</v>
      </c>
      <c r="F9" s="29"/>
      <c r="G9" s="29"/>
      <c r="H9" s="27"/>
    </row>
    <row r="10">
      <c r="A10" s="15" t="s">
        <v>224</v>
      </c>
      <c r="B10" s="22" t="s">
        <v>361</v>
      </c>
      <c r="C10" s="22" t="s">
        <v>420</v>
      </c>
      <c r="D10" s="22" t="s">
        <v>365</v>
      </c>
      <c r="E10" s="22" t="s">
        <v>421</v>
      </c>
      <c r="F10" s="22"/>
      <c r="G10" s="22"/>
      <c r="H10" s="27"/>
    </row>
    <row r="11">
      <c r="A11" s="30"/>
      <c r="B11" s="22" t="s">
        <v>420</v>
      </c>
      <c r="C11" s="22" t="s">
        <v>365</v>
      </c>
      <c r="D11" s="22" t="s">
        <v>371</v>
      </c>
      <c r="E11" s="22" t="s">
        <v>422</v>
      </c>
      <c r="F11" s="22"/>
      <c r="G11" s="22"/>
      <c r="H11" s="27"/>
    </row>
    <row r="12">
      <c r="A12" s="30"/>
      <c r="B12" s="22" t="s">
        <v>424</v>
      </c>
      <c r="C12" s="22" t="s">
        <v>426</v>
      </c>
      <c r="D12" s="22" t="s">
        <v>232</v>
      </c>
      <c r="E12" s="22" t="s">
        <v>428</v>
      </c>
      <c r="F12" s="22"/>
      <c r="G12" s="22"/>
      <c r="H12" s="27"/>
    </row>
    <row r="13">
      <c r="A13" s="25"/>
      <c r="B13" s="22" t="s">
        <v>356</v>
      </c>
      <c r="C13" s="22" t="s">
        <v>431</v>
      </c>
      <c r="D13" s="22" t="s">
        <v>360</v>
      </c>
      <c r="E13" s="22" t="s">
        <v>432</v>
      </c>
      <c r="F13" s="22"/>
      <c r="G13" s="22"/>
      <c r="H13" s="31"/>
      <c r="I13" s="32"/>
    </row>
    <row r="14">
      <c r="A14" s="10" t="s">
        <v>5</v>
      </c>
      <c r="B14" s="11" t="s">
        <v>435</v>
      </c>
      <c r="C14" s="9"/>
      <c r="D14" s="9"/>
      <c r="E14" s="9"/>
      <c r="F14" s="9"/>
      <c r="G14" s="9"/>
      <c r="H14" s="9"/>
      <c r="I14" s="14"/>
    </row>
    <row r="15" ht="60.0" customHeight="1">
      <c r="A15" s="15" t="s">
        <v>16</v>
      </c>
      <c r="B15" s="22" t="str">
        <f t="array" ref="B15">iferror(VLOOKUP(INDIRECT(ADDRESS(ROW()+1,COLUMN(), 4)),Dex!$A$2:$C294,3,false),"")</f>
        <v/>
      </c>
      <c r="C15" s="22" t="str">
        <f t="array" ref="C15">iferror(VLOOKUP(INDIRECT(ADDRESS(ROW()+1,COLUMN(), 4)),Dex!$A$2:$C294,3,false),"")</f>
        <v/>
      </c>
      <c r="D15" s="22" t="str">
        <f t="array" ref="D15">iferror(VLOOKUP(INDIRECT(ADDRESS(ROW()+1,COLUMN(), 4)),Dex!$A$2:$C294,3,false),"")</f>
        <v/>
      </c>
      <c r="E15" s="22" t="str">
        <f t="array" ref="E15">iferror(VLOOKUP(INDIRECT(ADDRESS(ROW()+1,COLUMN(), 4)),Dex!$A$2:$C294,3,false),"")</f>
        <v/>
      </c>
      <c r="F15" s="22" t="str">
        <f t="array" ref="F15">iferror(VLOOKUP(INDIRECT(ADDRESS(ROW()+1,COLUMN(), 4)),Dex!$A$2:$C294,3,false),"")</f>
        <v/>
      </c>
      <c r="G15" s="22" t="str">
        <f t="array" ref="G15">iferror(VLOOKUP(INDIRECT(ADDRESS(ROW()+1,COLUMN(), 4)),Dex!$A$2:$C294,3,false),"")</f>
        <v/>
      </c>
      <c r="H15" s="23" t="str">
        <f t="array" ref="H15">iferror(VLOOKUP("TRAINER_PIC_Tuber_M",Sprites!$A$1:$B294,2,false),"")</f>
        <v/>
      </c>
      <c r="I15" s="24"/>
    </row>
    <row r="16">
      <c r="A16" s="25"/>
      <c r="B16" s="26" t="s">
        <v>532</v>
      </c>
      <c r="C16" s="26" t="s">
        <v>533</v>
      </c>
      <c r="D16" s="26" t="s">
        <v>168</v>
      </c>
      <c r="E16" s="26" t="s">
        <v>534</v>
      </c>
      <c r="F16" s="26"/>
      <c r="G16" s="26"/>
      <c r="H16" s="27"/>
    </row>
    <row r="17">
      <c r="A17" s="10" t="s">
        <v>199</v>
      </c>
      <c r="B17" s="22">
        <v>47.0</v>
      </c>
      <c r="C17" s="22">
        <v>47.0</v>
      </c>
      <c r="D17" s="22">
        <v>47.0</v>
      </c>
      <c r="E17" s="22">
        <v>47.0</v>
      </c>
      <c r="F17" s="22"/>
      <c r="G17" s="22"/>
      <c r="H17" s="27"/>
    </row>
    <row r="18">
      <c r="A18" s="10" t="s">
        <v>201</v>
      </c>
      <c r="B18" s="29" t="s">
        <v>544</v>
      </c>
      <c r="C18" s="29" t="s">
        <v>545</v>
      </c>
      <c r="D18" s="29" t="s">
        <v>546</v>
      </c>
      <c r="E18" s="29" t="s">
        <v>547</v>
      </c>
      <c r="F18" s="29"/>
      <c r="G18" s="29"/>
      <c r="H18" s="27"/>
    </row>
    <row r="19">
      <c r="A19" s="10" t="s">
        <v>209</v>
      </c>
      <c r="B19" s="22" t="s">
        <v>550</v>
      </c>
      <c r="C19" s="22" t="s">
        <v>553</v>
      </c>
      <c r="D19" s="22" t="s">
        <v>554</v>
      </c>
      <c r="E19" s="22" t="s">
        <v>556</v>
      </c>
      <c r="F19" s="22"/>
      <c r="G19" s="22"/>
      <c r="H19" s="27"/>
    </row>
    <row r="20">
      <c r="A20" s="10" t="s">
        <v>215</v>
      </c>
      <c r="B20" s="29" t="s">
        <v>417</v>
      </c>
      <c r="C20" s="29" t="s">
        <v>419</v>
      </c>
      <c r="D20" s="29" t="s">
        <v>222</v>
      </c>
      <c r="E20" s="29" t="s">
        <v>564</v>
      </c>
      <c r="F20" s="29"/>
      <c r="G20" s="29"/>
      <c r="H20" s="27"/>
    </row>
    <row r="21">
      <c r="A21" s="15" t="s">
        <v>224</v>
      </c>
      <c r="B21" s="22" t="s">
        <v>570</v>
      </c>
      <c r="C21" s="22" t="s">
        <v>572</v>
      </c>
      <c r="D21" s="22" t="s">
        <v>573</v>
      </c>
      <c r="E21" s="22" t="s">
        <v>574</v>
      </c>
      <c r="F21" s="22"/>
      <c r="G21" s="22"/>
      <c r="H21" s="27"/>
    </row>
    <row r="22">
      <c r="A22" s="30"/>
      <c r="B22" s="22" t="s">
        <v>576</v>
      </c>
      <c r="C22" s="22" t="s">
        <v>577</v>
      </c>
      <c r="D22" s="22" t="s">
        <v>578</v>
      </c>
      <c r="E22" s="22" t="s">
        <v>580</v>
      </c>
      <c r="F22" s="22"/>
      <c r="G22" s="22"/>
      <c r="H22" s="27"/>
    </row>
    <row r="23">
      <c r="A23" s="30"/>
      <c r="B23" s="22" t="s">
        <v>581</v>
      </c>
      <c r="C23" s="22" t="s">
        <v>582</v>
      </c>
      <c r="D23" s="22" t="s">
        <v>584</v>
      </c>
      <c r="E23" s="22" t="s">
        <v>585</v>
      </c>
      <c r="F23" s="22"/>
      <c r="G23" s="22"/>
      <c r="H23" s="27"/>
    </row>
    <row r="24">
      <c r="A24" s="25"/>
      <c r="B24" s="22" t="s">
        <v>587</v>
      </c>
      <c r="C24" s="22" t="s">
        <v>253</v>
      </c>
      <c r="D24" s="22" t="s">
        <v>588</v>
      </c>
      <c r="E24" s="22" t="s">
        <v>589</v>
      </c>
      <c r="F24" s="22"/>
      <c r="G24" s="22"/>
      <c r="H24" s="31"/>
      <c r="I24" s="32"/>
    </row>
    <row r="25">
      <c r="A25" s="10" t="s">
        <v>5</v>
      </c>
      <c r="B25" s="11" t="s">
        <v>591</v>
      </c>
      <c r="C25" s="9"/>
      <c r="D25" s="9"/>
      <c r="E25" s="9"/>
      <c r="F25" s="9"/>
      <c r="G25" s="9"/>
      <c r="H25" s="9"/>
      <c r="I25" s="14"/>
    </row>
    <row r="26" ht="60.0" customHeight="1">
      <c r="A26" s="15" t="s">
        <v>16</v>
      </c>
      <c r="B26" s="22" t="str">
        <f t="array" ref="B26">iferror(VLOOKUP(INDIRECT(ADDRESS(ROW()+1,COLUMN(), 4)),Dex!$A$2:$C294,3,false),"")</f>
        <v/>
      </c>
      <c r="C26" s="22" t="str">
        <f t="array" ref="C26">iferror(VLOOKUP(INDIRECT(ADDRESS(ROW()+1,COLUMN(), 4)),Dex!$A$2:$C294,3,false),"")</f>
        <v/>
      </c>
      <c r="D26" s="22" t="str">
        <f t="array" ref="D26">iferror(VLOOKUP(INDIRECT(ADDRESS(ROW()+1,COLUMN(), 4)),Dex!$A$2:$C294,3,false),"")</f>
        <v/>
      </c>
      <c r="E26" s="22" t="str">
        <f t="array" ref="E26">iferror(VLOOKUP(INDIRECT(ADDRESS(ROW()+1,COLUMN(), 4)),Dex!$A$2:$C294,3,false),"")</f>
        <v/>
      </c>
      <c r="F26" s="22" t="str">
        <f t="array" ref="F26">iferror(VLOOKUP(INDIRECT(ADDRESS(ROW()+1,COLUMN(), 4)),Dex!$A$2:$C294,3,false),"")</f>
        <v/>
      </c>
      <c r="G26" s="22" t="str">
        <f t="array" ref="G26">iferror(VLOOKUP(INDIRECT(ADDRESS(ROW()+1,COLUMN(), 4)),Dex!$A$2:$C294,3,false),"")</f>
        <v/>
      </c>
      <c r="H26" s="23" t="str">
        <f t="array" ref="H26">iferror(VLOOKUP("TRAINER_PIC_Tuber_F",Sprites!$A$1:$B294,2,false),"")</f>
        <v/>
      </c>
      <c r="I26" s="24"/>
    </row>
    <row r="27">
      <c r="A27" s="25"/>
      <c r="B27" s="26" t="s">
        <v>668</v>
      </c>
      <c r="C27" s="26" t="s">
        <v>341</v>
      </c>
      <c r="D27" s="26" t="s">
        <v>670</v>
      </c>
      <c r="E27" s="26" t="s">
        <v>277</v>
      </c>
      <c r="F27" s="26"/>
      <c r="G27" s="26"/>
      <c r="H27" s="27"/>
    </row>
    <row r="28">
      <c r="A28" s="10" t="s">
        <v>199</v>
      </c>
      <c r="B28" s="22">
        <v>48.0</v>
      </c>
      <c r="C28" s="22">
        <v>47.0</v>
      </c>
      <c r="D28" s="22">
        <v>47.0</v>
      </c>
      <c r="E28" s="22">
        <v>48.0</v>
      </c>
      <c r="F28" s="22"/>
      <c r="G28" s="22"/>
      <c r="H28" s="27"/>
    </row>
    <row r="29">
      <c r="A29" s="10" t="s">
        <v>201</v>
      </c>
      <c r="B29" s="29" t="s">
        <v>205</v>
      </c>
      <c r="C29" s="29" t="s">
        <v>675</v>
      </c>
      <c r="D29" s="29" t="s">
        <v>455</v>
      </c>
      <c r="E29" s="29" t="s">
        <v>677</v>
      </c>
      <c r="F29" s="29"/>
      <c r="G29" s="29"/>
      <c r="H29" s="27"/>
    </row>
    <row r="30">
      <c r="A30" s="10" t="s">
        <v>209</v>
      </c>
      <c r="B30" s="22" t="s">
        <v>679</v>
      </c>
      <c r="C30" s="22" t="s">
        <v>680</v>
      </c>
      <c r="D30" s="22" t="s">
        <v>681</v>
      </c>
      <c r="E30" s="22" t="s">
        <v>683</v>
      </c>
      <c r="F30" s="22"/>
      <c r="G30" s="22"/>
      <c r="H30" s="27"/>
    </row>
    <row r="31">
      <c r="A31" s="10" t="s">
        <v>215</v>
      </c>
      <c r="B31" s="29" t="s">
        <v>685</v>
      </c>
      <c r="C31" s="29" t="s">
        <v>461</v>
      </c>
      <c r="D31" s="29" t="s">
        <v>461</v>
      </c>
      <c r="E31" s="29" t="s">
        <v>461</v>
      </c>
      <c r="F31" s="29"/>
      <c r="G31" s="29"/>
      <c r="H31" s="27"/>
    </row>
    <row r="32">
      <c r="A32" s="15" t="s">
        <v>224</v>
      </c>
      <c r="B32" s="22" t="s">
        <v>689</v>
      </c>
      <c r="C32" s="22" t="s">
        <v>690</v>
      </c>
      <c r="D32" s="22" t="s">
        <v>689</v>
      </c>
      <c r="E32" s="22" t="s">
        <v>692</v>
      </c>
      <c r="F32" s="22"/>
      <c r="G32" s="22"/>
      <c r="H32" s="27"/>
    </row>
    <row r="33">
      <c r="A33" s="30"/>
      <c r="B33" s="22" t="s">
        <v>694</v>
      </c>
      <c r="C33" s="22" t="s">
        <v>555</v>
      </c>
      <c r="D33" s="22" t="s">
        <v>695</v>
      </c>
      <c r="E33" s="22" t="s">
        <v>555</v>
      </c>
      <c r="F33" s="22"/>
      <c r="G33" s="22"/>
      <c r="H33" s="27"/>
    </row>
    <row r="34">
      <c r="A34" s="30"/>
      <c r="B34" s="22" t="s">
        <v>697</v>
      </c>
      <c r="C34" s="22" t="s">
        <v>698</v>
      </c>
      <c r="D34" s="22" t="s">
        <v>421</v>
      </c>
      <c r="E34" s="22" t="s">
        <v>700</v>
      </c>
      <c r="F34" s="22"/>
      <c r="G34" s="22"/>
      <c r="H34" s="27"/>
    </row>
    <row r="35">
      <c r="A35" s="25"/>
      <c r="B35" s="22" t="s">
        <v>701</v>
      </c>
      <c r="C35" s="22" t="s">
        <v>702</v>
      </c>
      <c r="D35" s="22" t="s">
        <v>703</v>
      </c>
      <c r="E35" s="22" t="s">
        <v>468</v>
      </c>
      <c r="F35" s="22"/>
      <c r="G35" s="22"/>
      <c r="H35" s="31"/>
      <c r="I35" s="32"/>
    </row>
    <row r="36">
      <c r="A36" s="10" t="s">
        <v>5</v>
      </c>
      <c r="B36" s="11" t="s">
        <v>705</v>
      </c>
      <c r="C36" s="9"/>
      <c r="D36" s="9"/>
      <c r="E36" s="9"/>
      <c r="F36" s="9"/>
      <c r="G36" s="9"/>
      <c r="H36" s="9"/>
      <c r="I36" s="14"/>
    </row>
    <row r="37" ht="60.0" customHeight="1">
      <c r="A37" s="15" t="s">
        <v>16</v>
      </c>
      <c r="B37" s="22" t="str">
        <f t="array" ref="B37">iferror(VLOOKUP(INDIRECT(ADDRESS(ROW()+1,COLUMN(), 4)),Dex!$A$2:$C294,3,false),"")</f>
        <v/>
      </c>
      <c r="C37" s="22" t="str">
        <f t="array" ref="C37">iferror(VLOOKUP(INDIRECT(ADDRESS(ROW()+1,COLUMN(), 4)),Dex!$A$2:$C294,3,false),"")</f>
        <v/>
      </c>
      <c r="D37" s="22" t="str">
        <f t="array" ref="D37">iferror(VLOOKUP(INDIRECT(ADDRESS(ROW()+1,COLUMN(), 4)),Dex!$A$2:$C294,3,false),"")</f>
        <v/>
      </c>
      <c r="E37" s="22" t="str">
        <f t="array" ref="E37">iferror(VLOOKUP(INDIRECT(ADDRESS(ROW()+1,COLUMN(), 4)),Dex!$A$2:$C294,3,false),"")</f>
        <v/>
      </c>
      <c r="F37" s="22" t="str">
        <f t="array" ref="F37">iferror(VLOOKUP(INDIRECT(ADDRESS(ROW()+1,COLUMN(), 4)),Dex!$A$2:$C294,3,false),"")</f>
        <v/>
      </c>
      <c r="G37" s="22" t="str">
        <f t="array" ref="G37">iferror(VLOOKUP(INDIRECT(ADDRESS(ROW()+1,COLUMN(), 4)),Dex!$A$2:$C294,3,false),"")</f>
        <v/>
      </c>
      <c r="H37" s="23" t="str">
        <f t="array" ref="H37">iferror(VLOOKUP("TRAINER_PIC_Sailor",Sprites!$A$1:$B294,2,false),"")</f>
        <v/>
      </c>
      <c r="I37" s="24"/>
    </row>
    <row r="38">
      <c r="A38" s="25"/>
      <c r="B38" s="26" t="s">
        <v>726</v>
      </c>
      <c r="C38" s="26" t="s">
        <v>769</v>
      </c>
      <c r="D38" s="26" t="s">
        <v>771</v>
      </c>
      <c r="E38" s="26" t="s">
        <v>772</v>
      </c>
      <c r="F38" s="26"/>
      <c r="G38" s="26"/>
      <c r="H38" s="27"/>
    </row>
    <row r="39">
      <c r="A39" s="10" t="s">
        <v>199</v>
      </c>
      <c r="B39" s="22">
        <v>47.0</v>
      </c>
      <c r="C39" s="22">
        <v>47.0</v>
      </c>
      <c r="D39" s="22">
        <v>47.0</v>
      </c>
      <c r="E39" s="22">
        <v>48.0</v>
      </c>
      <c r="F39" s="22"/>
      <c r="G39" s="22"/>
      <c r="H39" s="27"/>
    </row>
    <row r="40">
      <c r="A40" s="10" t="s">
        <v>201</v>
      </c>
      <c r="B40" s="29" t="s">
        <v>780</v>
      </c>
      <c r="C40" s="29" t="s">
        <v>343</v>
      </c>
      <c r="D40" s="29" t="s">
        <v>781</v>
      </c>
      <c r="E40" s="29" t="s">
        <v>206</v>
      </c>
      <c r="F40" s="29"/>
      <c r="G40" s="29"/>
      <c r="H40" s="27"/>
    </row>
    <row r="41">
      <c r="A41" s="10" t="s">
        <v>209</v>
      </c>
      <c r="B41" s="22" t="s">
        <v>219</v>
      </c>
      <c r="C41" s="22" t="s">
        <v>784</v>
      </c>
      <c r="D41" s="22" t="s">
        <v>785</v>
      </c>
      <c r="E41" s="22" t="s">
        <v>352</v>
      </c>
      <c r="F41" s="22"/>
      <c r="G41" s="22"/>
      <c r="H41" s="27"/>
    </row>
    <row r="42">
      <c r="A42" s="10" t="s">
        <v>215</v>
      </c>
      <c r="B42" s="29" t="s">
        <v>419</v>
      </c>
      <c r="C42" s="29" t="s">
        <v>220</v>
      </c>
      <c r="D42" s="29" t="s">
        <v>220</v>
      </c>
      <c r="E42" s="29" t="s">
        <v>220</v>
      </c>
      <c r="F42" s="29"/>
      <c r="G42" s="29"/>
      <c r="H42" s="27"/>
    </row>
    <row r="43">
      <c r="A43" s="15" t="s">
        <v>224</v>
      </c>
      <c r="B43" s="22" t="s">
        <v>371</v>
      </c>
      <c r="C43" s="22" t="s">
        <v>793</v>
      </c>
      <c r="D43" s="22" t="s">
        <v>552</v>
      </c>
      <c r="E43" s="22" t="s">
        <v>795</v>
      </c>
      <c r="F43" s="22"/>
      <c r="G43" s="22"/>
      <c r="H43" s="27"/>
    </row>
    <row r="44">
      <c r="A44" s="30"/>
      <c r="B44" s="22" t="s">
        <v>360</v>
      </c>
      <c r="C44" s="22" t="s">
        <v>799</v>
      </c>
      <c r="D44" s="22" t="s">
        <v>801</v>
      </c>
      <c r="E44" s="22" t="s">
        <v>803</v>
      </c>
      <c r="F44" s="22"/>
      <c r="G44" s="22"/>
      <c r="H44" s="27"/>
    </row>
    <row r="45">
      <c r="A45" s="30"/>
      <c r="B45" s="22" t="s">
        <v>806</v>
      </c>
      <c r="C45" s="22" t="s">
        <v>808</v>
      </c>
      <c r="D45" s="22" t="s">
        <v>809</v>
      </c>
      <c r="E45" s="22" t="s">
        <v>811</v>
      </c>
      <c r="F45" s="22"/>
      <c r="G45" s="22"/>
      <c r="H45" s="27"/>
    </row>
    <row r="46">
      <c r="A46" s="25"/>
      <c r="B46" s="22" t="s">
        <v>814</v>
      </c>
      <c r="C46" s="22" t="s">
        <v>244</v>
      </c>
      <c r="D46" s="22" t="s">
        <v>817</v>
      </c>
      <c r="E46" s="22" t="s">
        <v>702</v>
      </c>
      <c r="F46" s="22"/>
      <c r="G46" s="22"/>
      <c r="H46" s="31"/>
      <c r="I46" s="32"/>
    </row>
    <row r="47">
      <c r="A47" s="10" t="s">
        <v>5</v>
      </c>
      <c r="B47" s="11" t="s">
        <v>821</v>
      </c>
      <c r="C47" s="9"/>
      <c r="D47" s="9"/>
      <c r="E47" s="9"/>
      <c r="F47" s="9"/>
      <c r="G47" s="9"/>
      <c r="H47" s="9"/>
      <c r="I47" s="14"/>
    </row>
    <row r="48" ht="60.0" customHeight="1">
      <c r="A48" s="15" t="s">
        <v>16</v>
      </c>
      <c r="B48" s="22" t="str">
        <f t="array" ref="B48">iferror(VLOOKUP(INDIRECT(ADDRESS(ROW()+1,COLUMN(), 4)),Dex!$A$2:$C294,3,false),"")</f>
        <v/>
      </c>
      <c r="C48" s="22" t="str">
        <f t="array" ref="C48">iferror(VLOOKUP(INDIRECT(ADDRESS(ROW()+1,COLUMN(), 4)),Dex!$A$2:$C294,3,false),"")</f>
        <v/>
      </c>
      <c r="D48" s="22" t="str">
        <f t="array" ref="D48">iferror(VLOOKUP(INDIRECT(ADDRESS(ROW()+1,COLUMN(), 4)),Dex!$A$2:$C294,3,false),"")</f>
        <v/>
      </c>
      <c r="E48" s="22" t="str">
        <f t="array" ref="E48">iferror(VLOOKUP(INDIRECT(ADDRESS(ROW()+1,COLUMN(), 4)),Dex!$A$2:$C294,3,false),"")</f>
        <v/>
      </c>
      <c r="F48" s="22" t="str">
        <f t="array" ref="F48">iferror(VLOOKUP(INDIRECT(ADDRESS(ROW()+1,COLUMN(), 4)),Dex!$A$2:$C294,3,false),"")</f>
        <v/>
      </c>
      <c r="G48" s="22" t="str">
        <f t="array" ref="G48">iferror(VLOOKUP(INDIRECT(ADDRESS(ROW()+1,COLUMN(), 4)),Dex!$A$2:$C294,3,false),"")</f>
        <v/>
      </c>
      <c r="H48" s="23" t="str">
        <f t="array" ref="H48">iferror(VLOOKUP("TRAINER_PIC_Tuber_M",Sprites!$A$1:$B294,2,false),"")</f>
        <v/>
      </c>
      <c r="I48" s="24"/>
    </row>
    <row r="49">
      <c r="A49" s="25"/>
      <c r="B49" s="26" t="s">
        <v>328</v>
      </c>
      <c r="C49" s="26" t="s">
        <v>883</v>
      </c>
      <c r="D49" s="26" t="s">
        <v>884</v>
      </c>
      <c r="E49" s="26"/>
      <c r="F49" s="26"/>
      <c r="G49" s="26"/>
      <c r="H49" s="27"/>
    </row>
    <row r="50">
      <c r="A50" s="10" t="s">
        <v>199</v>
      </c>
      <c r="B50" s="22">
        <v>48.0</v>
      </c>
      <c r="C50" s="22">
        <v>47.0</v>
      </c>
      <c r="D50" s="22">
        <v>48.0</v>
      </c>
      <c r="E50" s="22"/>
      <c r="F50" s="22"/>
      <c r="G50" s="22"/>
      <c r="H50" s="27"/>
    </row>
    <row r="51">
      <c r="A51" s="10" t="s">
        <v>201</v>
      </c>
      <c r="B51" s="29" t="s">
        <v>890</v>
      </c>
      <c r="C51" s="29" t="s">
        <v>345</v>
      </c>
      <c r="D51" s="29" t="s">
        <v>894</v>
      </c>
      <c r="E51" s="29"/>
      <c r="F51" s="29"/>
      <c r="G51" s="29"/>
      <c r="H51" s="27"/>
    </row>
    <row r="52">
      <c r="A52" s="10" t="s">
        <v>209</v>
      </c>
      <c r="B52" s="22" t="s">
        <v>897</v>
      </c>
      <c r="C52" s="22" t="s">
        <v>898</v>
      </c>
      <c r="D52" s="22" t="s">
        <v>900</v>
      </c>
      <c r="E52" s="22"/>
      <c r="F52" s="22"/>
      <c r="G52" s="22"/>
      <c r="H52" s="27"/>
    </row>
    <row r="53">
      <c r="A53" s="10" t="s">
        <v>215</v>
      </c>
      <c r="B53" s="29" t="s">
        <v>904</v>
      </c>
      <c r="C53" s="29" t="s">
        <v>564</v>
      </c>
      <c r="D53" s="29" t="s">
        <v>231</v>
      </c>
      <c r="E53" s="29"/>
      <c r="F53" s="29"/>
      <c r="G53" s="29"/>
      <c r="H53" s="27"/>
    </row>
    <row r="54">
      <c r="A54" s="15" t="s">
        <v>224</v>
      </c>
      <c r="B54" s="22" t="s">
        <v>914</v>
      </c>
      <c r="C54" s="22" t="s">
        <v>915</v>
      </c>
      <c r="D54" s="22" t="s">
        <v>810</v>
      </c>
      <c r="E54" s="22"/>
      <c r="F54" s="22"/>
      <c r="G54" s="22"/>
      <c r="H54" s="27"/>
    </row>
    <row r="55">
      <c r="A55" s="30"/>
      <c r="B55" s="22" t="s">
        <v>917</v>
      </c>
      <c r="C55" s="22" t="s">
        <v>805</v>
      </c>
      <c r="D55" s="22" t="s">
        <v>549</v>
      </c>
      <c r="E55" s="22"/>
      <c r="F55" s="22"/>
      <c r="G55" s="22"/>
      <c r="H55" s="27"/>
    </row>
    <row r="56">
      <c r="A56" s="30"/>
      <c r="B56" s="22" t="s">
        <v>561</v>
      </c>
      <c r="C56" s="22" t="s">
        <v>815</v>
      </c>
      <c r="D56" s="22" t="s">
        <v>796</v>
      </c>
      <c r="E56" s="22"/>
      <c r="F56" s="22"/>
      <c r="G56" s="22"/>
      <c r="H56" s="27"/>
    </row>
    <row r="57">
      <c r="A57" s="25"/>
      <c r="B57" s="22" t="s">
        <v>922</v>
      </c>
      <c r="C57" s="22" t="s">
        <v>355</v>
      </c>
      <c r="D57" s="22" t="s">
        <v>925</v>
      </c>
      <c r="E57" s="22"/>
      <c r="F57" s="22"/>
      <c r="G57" s="22"/>
      <c r="H57" s="31"/>
      <c r="I57" s="32"/>
    </row>
    <row r="58">
      <c r="A58" s="10" t="s">
        <v>5</v>
      </c>
      <c r="B58" s="11" t="s">
        <v>929</v>
      </c>
      <c r="C58" s="9"/>
      <c r="D58" s="9"/>
      <c r="E58" s="9"/>
      <c r="F58" s="9"/>
      <c r="G58" s="9"/>
      <c r="H58" s="9"/>
      <c r="I58" s="13"/>
    </row>
    <row r="59" ht="60.0" customHeight="1">
      <c r="A59" s="15" t="s">
        <v>16</v>
      </c>
      <c r="B59" s="22" t="str">
        <f t="array" ref="B59">iferror(VLOOKUP(INDIRECT(ADDRESS(ROW()+1,COLUMN(), 4)),Dex!$A$2:$C294,3,false),"")</f>
        <v/>
      </c>
      <c r="C59" s="22" t="str">
        <f t="array" ref="C59">iferror(VLOOKUP(INDIRECT(ADDRESS(ROW()+1,COLUMN(), 4)),Dex!$A$2:$C294,3,false),"")</f>
        <v/>
      </c>
      <c r="D59" s="22" t="str">
        <f t="array" ref="D59">iferror(VLOOKUP(INDIRECT(ADDRESS(ROW()+1,COLUMN(), 4)),Dex!$A$2:$C294,3,false),"")</f>
        <v/>
      </c>
      <c r="E59" s="22" t="str">
        <f t="array" ref="E59">iferror(VLOOKUP(INDIRECT(ADDRESS(ROW()+1,COLUMN(), 4)),Dex!$A$2:$C294,3,false),"")</f>
        <v/>
      </c>
      <c r="F59" s="22" t="str">
        <f t="array" ref="F59">iferror(VLOOKUP(INDIRECT(ADDRESS(ROW()+1,COLUMN(), 4)),Dex!$A$2:$C294,3,false),"")</f>
        <v/>
      </c>
      <c r="G59" s="22" t="str">
        <f t="array" ref="G59">iferror(VLOOKUP(INDIRECT(ADDRESS(ROW()+1,COLUMN(), 4)),Dex!$A$2:$C294,3,false),"")</f>
        <v/>
      </c>
      <c r="H59" s="23" t="str">
        <f t="array" ref="H59">iferror(VLOOKUP("TRAINER_PIC_Sailor",Sprites!$A$1:$B294,2,false),"")</f>
        <v/>
      </c>
      <c r="I59" s="24"/>
    </row>
    <row r="60">
      <c r="A60" s="25"/>
      <c r="B60" s="26" t="s">
        <v>493</v>
      </c>
      <c r="C60" s="26" t="s">
        <v>1019</v>
      </c>
      <c r="D60" s="26" t="s">
        <v>1020</v>
      </c>
      <c r="E60" s="26" t="s">
        <v>1021</v>
      </c>
      <c r="F60" s="26"/>
      <c r="G60" s="26"/>
      <c r="H60" s="27"/>
    </row>
    <row r="61">
      <c r="A61" s="10" t="s">
        <v>199</v>
      </c>
      <c r="B61" s="22">
        <v>48.0</v>
      </c>
      <c r="C61" s="22">
        <v>48.0</v>
      </c>
      <c r="D61" s="22">
        <v>48.0</v>
      </c>
      <c r="E61" s="22">
        <v>48.0</v>
      </c>
      <c r="F61" s="22"/>
      <c r="G61" s="22"/>
      <c r="H61" s="27"/>
    </row>
    <row r="62">
      <c r="A62" s="10" t="s">
        <v>201</v>
      </c>
      <c r="B62" s="29" t="s">
        <v>1022</v>
      </c>
      <c r="C62" s="29" t="s">
        <v>905</v>
      </c>
      <c r="D62" s="29" t="s">
        <v>1023</v>
      </c>
      <c r="E62" s="29" t="s">
        <v>544</v>
      </c>
      <c r="F62" s="29"/>
      <c r="G62" s="29"/>
      <c r="H62" s="27"/>
    </row>
    <row r="63">
      <c r="A63" s="10" t="s">
        <v>209</v>
      </c>
      <c r="B63" s="22" t="s">
        <v>553</v>
      </c>
      <c r="C63" s="22" t="s">
        <v>1025</v>
      </c>
      <c r="D63" s="22" t="s">
        <v>1025</v>
      </c>
      <c r="E63" s="22" t="s">
        <v>1027</v>
      </c>
      <c r="F63" s="22"/>
      <c r="G63" s="22"/>
      <c r="H63" s="27"/>
    </row>
    <row r="64">
      <c r="A64" s="10" t="s">
        <v>215</v>
      </c>
      <c r="B64" s="29" t="s">
        <v>231</v>
      </c>
      <c r="C64" s="29" t="s">
        <v>220</v>
      </c>
      <c r="D64" s="29" t="s">
        <v>231</v>
      </c>
      <c r="E64" s="29" t="s">
        <v>231</v>
      </c>
      <c r="F64" s="29"/>
      <c r="G64" s="29"/>
      <c r="H64" s="27"/>
    </row>
    <row r="65">
      <c r="A65" s="15" t="s">
        <v>224</v>
      </c>
      <c r="B65" s="22" t="s">
        <v>1032</v>
      </c>
      <c r="C65" s="22" t="s">
        <v>1033</v>
      </c>
      <c r="D65" s="22" t="s">
        <v>1035</v>
      </c>
      <c r="E65" s="22" t="s">
        <v>1032</v>
      </c>
      <c r="F65" s="22"/>
      <c r="G65" s="22"/>
      <c r="H65" s="27"/>
    </row>
    <row r="66">
      <c r="A66" s="30"/>
      <c r="B66" s="22" t="s">
        <v>1037</v>
      </c>
      <c r="C66" s="22" t="s">
        <v>567</v>
      </c>
      <c r="D66" s="22" t="s">
        <v>951</v>
      </c>
      <c r="E66" s="22" t="s">
        <v>1039</v>
      </c>
      <c r="F66" s="22"/>
      <c r="G66" s="22"/>
      <c r="H66" s="27"/>
    </row>
    <row r="67">
      <c r="A67" s="30"/>
      <c r="B67" s="22" t="s">
        <v>1040</v>
      </c>
      <c r="C67" s="22" t="s">
        <v>1042</v>
      </c>
      <c r="D67" s="22" t="s">
        <v>1043</v>
      </c>
      <c r="E67" s="22" t="s">
        <v>1045</v>
      </c>
      <c r="F67" s="22"/>
      <c r="G67" s="22"/>
      <c r="H67" s="27"/>
    </row>
    <row r="68">
      <c r="A68" s="25"/>
      <c r="B68" s="22" t="s">
        <v>1047</v>
      </c>
      <c r="C68" s="22" t="s">
        <v>1048</v>
      </c>
      <c r="D68" s="22" t="s">
        <v>478</v>
      </c>
      <c r="E68" s="22" t="s">
        <v>258</v>
      </c>
      <c r="F68" s="22"/>
      <c r="G68" s="22"/>
      <c r="H68" s="31"/>
      <c r="I68" s="32"/>
    </row>
    <row r="69">
      <c r="A69" s="8" t="s">
        <v>1050</v>
      </c>
      <c r="B69" s="9"/>
      <c r="C69" s="9"/>
      <c r="D69" s="9"/>
      <c r="E69" s="9"/>
      <c r="F69" s="9"/>
      <c r="G69" s="9"/>
      <c r="H69" s="9"/>
      <c r="I69" s="34"/>
    </row>
    <row r="70">
      <c r="A70" s="10" t="s">
        <v>5</v>
      </c>
      <c r="B70" s="11" t="s">
        <v>1055</v>
      </c>
      <c r="C70" s="9"/>
      <c r="D70" s="9"/>
      <c r="E70" s="9"/>
      <c r="F70" s="9"/>
      <c r="G70" s="9"/>
      <c r="H70" s="9"/>
      <c r="I70" s="13"/>
    </row>
    <row r="71" ht="60.0" customHeight="1">
      <c r="A71" s="15" t="s">
        <v>16</v>
      </c>
      <c r="B71" s="22" t="str">
        <f t="array" ref="B71">iferror(VLOOKUP(INDIRECT(ADDRESS(ROW()+1,COLUMN(), 4)),Dex!$A$2:$C294,3,false),"")</f>
        <v/>
      </c>
      <c r="C71" s="22" t="str">
        <f t="array" ref="C71">iferror(VLOOKUP(INDIRECT(ADDRESS(ROW()+1,COLUMN(), 4)),Dex!$A$2:$C294,3,false),"")</f>
        <v/>
      </c>
      <c r="D71" s="22" t="str">
        <f t="array" ref="D71">iferror(VLOOKUP(INDIRECT(ADDRESS(ROW()+1,COLUMN(), 4)),Dex!$A$2:$C294,3,false),"")</f>
        <v/>
      </c>
      <c r="E71" s="22" t="str">
        <f t="array" ref="E71">iferror(VLOOKUP(INDIRECT(ADDRESS(ROW()+1,COLUMN(), 4)),Dex!$A$2:$C294,3,false),"")</f>
        <v/>
      </c>
      <c r="F71" s="22" t="str">
        <f t="array" ref="F71">iferror(VLOOKUP(INDIRECT(ADDRESS(ROW()+1,COLUMN(), 4)),Dex!$A$2:$C294,3,false),"")</f>
        <v/>
      </c>
      <c r="G71" s="22" t="str">
        <f t="array" ref="G71">iferror(VLOOKUP(INDIRECT(ADDRESS(ROW()+1,COLUMN(), 4)),Dex!$A$2:$C294,3,false),"")</f>
        <v/>
      </c>
      <c r="H71" s="23" t="str">
        <f t="array" ref="H71">iferror(VLOOKUP("TRAINER_PIC_Aqua_Grunt_M",Sprites!$A$1:$B294,2,false),"")</f>
        <v/>
      </c>
      <c r="I71" s="24"/>
    </row>
    <row r="72">
      <c r="A72" s="25"/>
      <c r="B72" s="26" t="s">
        <v>1119</v>
      </c>
      <c r="C72" s="26" t="s">
        <v>823</v>
      </c>
      <c r="D72" s="26" t="s">
        <v>1120</v>
      </c>
      <c r="E72" s="26"/>
      <c r="F72" s="26"/>
      <c r="G72" s="26"/>
      <c r="H72" s="27"/>
    </row>
    <row r="73">
      <c r="A73" s="10" t="s">
        <v>199</v>
      </c>
      <c r="B73" s="22">
        <v>48.0</v>
      </c>
      <c r="C73" s="22">
        <v>48.0</v>
      </c>
      <c r="D73" s="22">
        <v>48.0</v>
      </c>
      <c r="E73" s="22"/>
      <c r="F73" s="22"/>
      <c r="G73" s="22"/>
      <c r="H73" s="27"/>
    </row>
    <row r="74">
      <c r="A74" s="10" t="s">
        <v>201</v>
      </c>
      <c r="B74" s="29" t="s">
        <v>1122</v>
      </c>
      <c r="C74" s="29" t="s">
        <v>776</v>
      </c>
      <c r="D74" s="29" t="s">
        <v>343</v>
      </c>
      <c r="E74" s="29"/>
      <c r="F74" s="29"/>
      <c r="G74" s="29"/>
      <c r="H74" s="27"/>
    </row>
    <row r="75">
      <c r="A75" s="10" t="s">
        <v>209</v>
      </c>
      <c r="B75" s="22" t="s">
        <v>1123</v>
      </c>
      <c r="C75" s="22" t="s">
        <v>1124</v>
      </c>
      <c r="D75" s="22" t="s">
        <v>221</v>
      </c>
      <c r="E75" s="22"/>
      <c r="F75" s="22"/>
      <c r="G75" s="22"/>
      <c r="H75" s="27"/>
    </row>
    <row r="76">
      <c r="A76" s="10" t="s">
        <v>215</v>
      </c>
      <c r="B76" s="29" t="s">
        <v>231</v>
      </c>
      <c r="C76" s="29" t="s">
        <v>220</v>
      </c>
      <c r="D76" s="29" t="s">
        <v>231</v>
      </c>
      <c r="E76" s="29"/>
      <c r="F76" s="29"/>
      <c r="G76" s="29"/>
      <c r="H76" s="27"/>
    </row>
    <row r="77">
      <c r="A77" s="15" t="s">
        <v>224</v>
      </c>
      <c r="B77" s="22" t="s">
        <v>1125</v>
      </c>
      <c r="C77" s="22" t="s">
        <v>927</v>
      </c>
      <c r="D77" s="22" t="s">
        <v>1126</v>
      </c>
      <c r="E77" s="22"/>
      <c r="F77" s="22"/>
      <c r="G77" s="22"/>
      <c r="H77" s="27"/>
    </row>
    <row r="78">
      <c r="A78" s="30"/>
      <c r="B78" s="22" t="s">
        <v>1127</v>
      </c>
      <c r="C78" s="22" t="s">
        <v>1128</v>
      </c>
      <c r="D78" s="22" t="s">
        <v>258</v>
      </c>
      <c r="E78" s="22"/>
      <c r="F78" s="22"/>
      <c r="G78" s="22"/>
      <c r="H78" s="27"/>
    </row>
    <row r="79">
      <c r="A79" s="30"/>
      <c r="B79" s="22" t="s">
        <v>950</v>
      </c>
      <c r="C79" s="22" t="s">
        <v>1131</v>
      </c>
      <c r="D79" s="22" t="s">
        <v>428</v>
      </c>
      <c r="E79" s="22"/>
      <c r="F79" s="22"/>
      <c r="G79" s="22"/>
      <c r="H79" s="27"/>
    </row>
    <row r="80">
      <c r="A80" s="25"/>
      <c r="B80" s="22" t="s">
        <v>467</v>
      </c>
      <c r="C80" s="22" t="s">
        <v>809</v>
      </c>
      <c r="D80" s="22" t="s">
        <v>424</v>
      </c>
      <c r="E80" s="22"/>
      <c r="F80" s="22"/>
      <c r="G80" s="22"/>
      <c r="H80" s="31"/>
      <c r="I80" s="32"/>
    </row>
    <row r="81">
      <c r="A81" s="10" t="s">
        <v>5</v>
      </c>
      <c r="B81" s="11" t="s">
        <v>1135</v>
      </c>
      <c r="C81" s="9"/>
      <c r="D81" s="9"/>
      <c r="E81" s="9"/>
      <c r="F81" s="9"/>
      <c r="G81" s="9"/>
      <c r="H81" s="9"/>
      <c r="I81" s="14"/>
    </row>
    <row r="82" ht="60.0" customHeight="1">
      <c r="A82" s="15" t="s">
        <v>16</v>
      </c>
      <c r="B82" s="22" t="str">
        <f t="array" ref="B82">iferror(VLOOKUP(INDIRECT(ADDRESS(ROW()+1,COLUMN(), 4)),Dex!$A$2:$C294,3,false),"")</f>
        <v/>
      </c>
      <c r="C82" s="22" t="str">
        <f t="array" ref="C82">iferror(VLOOKUP(INDIRECT(ADDRESS(ROW()+1,COLUMN(), 4)),Dex!$A$2:$C294,3,false),"")</f>
        <v/>
      </c>
      <c r="D82" s="22" t="str">
        <f t="array" ref="D82">iferror(VLOOKUP(INDIRECT(ADDRESS(ROW()+1,COLUMN(), 4)),Dex!$A$2:$C294,3,false),"")</f>
        <v/>
      </c>
      <c r="E82" s="22" t="str">
        <f t="array" ref="E82">iferror(VLOOKUP(INDIRECT(ADDRESS(ROW()+1,COLUMN(), 4)),Dex!$A$2:$C294,3,false),"")</f>
        <v/>
      </c>
      <c r="F82" s="22" t="str">
        <f t="array" ref="F82">iferror(VLOOKUP(INDIRECT(ADDRESS(ROW()+1,COLUMN(), 4)),Dex!$A$2:$C294,3,false),"")</f>
        <v/>
      </c>
      <c r="G82" s="22" t="str">
        <f t="array" ref="G82">iferror(VLOOKUP(INDIRECT(ADDRESS(ROW()+1,COLUMN(), 4)),Dex!$A$2:$C294,3,false),"")</f>
        <v/>
      </c>
      <c r="H82" s="23" t="str">
        <f t="array" ref="H82">iferror(VLOOKUP("TRAINER_PIC_Aqua_Grunt_M",Sprites!$A$1:$B294,2,false),"")</f>
        <v/>
      </c>
      <c r="I82" s="24"/>
    </row>
    <row r="83">
      <c r="A83" s="25"/>
      <c r="B83" s="26" t="s">
        <v>1101</v>
      </c>
      <c r="C83" s="26" t="s">
        <v>1208</v>
      </c>
      <c r="D83" s="26" t="s">
        <v>285</v>
      </c>
      <c r="E83" s="26" t="s">
        <v>844</v>
      </c>
      <c r="F83" s="26"/>
      <c r="G83" s="26"/>
      <c r="H83" s="27"/>
    </row>
    <row r="84">
      <c r="A84" s="10" t="s">
        <v>199</v>
      </c>
      <c r="B84" s="22">
        <v>49.0</v>
      </c>
      <c r="C84" s="22">
        <v>49.0</v>
      </c>
      <c r="D84" s="22">
        <v>49.0</v>
      </c>
      <c r="E84" s="22">
        <v>50.0</v>
      </c>
      <c r="F84" s="22"/>
      <c r="G84" s="22"/>
      <c r="H84" s="27"/>
    </row>
    <row r="85">
      <c r="A85" s="10" t="s">
        <v>201</v>
      </c>
      <c r="B85" s="29" t="s">
        <v>645</v>
      </c>
      <c r="C85" s="29" t="s">
        <v>777</v>
      </c>
      <c r="D85" s="29" t="s">
        <v>1213</v>
      </c>
      <c r="E85" s="29" t="s">
        <v>1214</v>
      </c>
      <c r="F85" s="29"/>
      <c r="G85" s="29"/>
      <c r="H85" s="27"/>
    </row>
    <row r="86">
      <c r="A86" s="10" t="s">
        <v>209</v>
      </c>
      <c r="B86" s="22" t="s">
        <v>413</v>
      </c>
      <c r="C86" s="22" t="s">
        <v>1153</v>
      </c>
      <c r="D86" s="22" t="s">
        <v>1216</v>
      </c>
      <c r="E86" s="22" t="s">
        <v>221</v>
      </c>
      <c r="F86" s="22"/>
      <c r="G86" s="22"/>
      <c r="H86" s="27"/>
    </row>
    <row r="87">
      <c r="A87" s="10" t="s">
        <v>215</v>
      </c>
      <c r="B87" s="29" t="s">
        <v>419</v>
      </c>
      <c r="C87" s="29" t="s">
        <v>220</v>
      </c>
      <c r="D87" s="29" t="s">
        <v>220</v>
      </c>
      <c r="E87" s="29" t="s">
        <v>220</v>
      </c>
      <c r="F87" s="29"/>
      <c r="G87" s="29"/>
      <c r="H87" s="27"/>
    </row>
    <row r="88">
      <c r="A88" s="15" t="s">
        <v>224</v>
      </c>
      <c r="B88" s="22" t="s">
        <v>361</v>
      </c>
      <c r="C88" s="22" t="s">
        <v>463</v>
      </c>
      <c r="D88" s="22" t="s">
        <v>917</v>
      </c>
      <c r="E88" s="22" t="s">
        <v>924</v>
      </c>
      <c r="F88" s="22"/>
      <c r="G88" s="22"/>
      <c r="H88" s="27"/>
    </row>
    <row r="89">
      <c r="A89" s="30"/>
      <c r="B89" s="22" t="s">
        <v>1222</v>
      </c>
      <c r="C89" s="22" t="s">
        <v>1223</v>
      </c>
      <c r="D89" s="22" t="s">
        <v>1224</v>
      </c>
      <c r="E89" s="22" t="s">
        <v>477</v>
      </c>
      <c r="F89" s="22"/>
      <c r="G89" s="22"/>
      <c r="H89" s="27"/>
    </row>
    <row r="90">
      <c r="A90" s="30"/>
      <c r="B90" s="22" t="s">
        <v>424</v>
      </c>
      <c r="C90" s="22" t="s">
        <v>1227</v>
      </c>
      <c r="D90" s="22" t="s">
        <v>1228</v>
      </c>
      <c r="E90" s="22" t="s">
        <v>467</v>
      </c>
      <c r="F90" s="22"/>
      <c r="G90" s="22"/>
      <c r="H90" s="27"/>
    </row>
    <row r="91">
      <c r="A91" s="25"/>
      <c r="B91" s="22" t="s">
        <v>581</v>
      </c>
      <c r="C91" s="22" t="s">
        <v>1029</v>
      </c>
      <c r="D91" s="22" t="s">
        <v>1231</v>
      </c>
      <c r="E91" s="22" t="s">
        <v>934</v>
      </c>
      <c r="F91" s="22"/>
      <c r="G91" s="22"/>
      <c r="H91" s="31"/>
      <c r="I91" s="32"/>
    </row>
    <row r="92">
      <c r="A92" s="8" t="s">
        <v>1233</v>
      </c>
      <c r="B92" s="9"/>
      <c r="C92" s="9"/>
      <c r="D92" s="9"/>
      <c r="E92" s="9"/>
      <c r="F92" s="9"/>
      <c r="G92" s="9"/>
      <c r="H92" s="9"/>
      <c r="I92" s="34"/>
    </row>
    <row r="93">
      <c r="A93" s="10" t="s">
        <v>5</v>
      </c>
      <c r="B93" s="11" t="s">
        <v>1235</v>
      </c>
      <c r="C93" s="9"/>
      <c r="D93" s="9"/>
      <c r="E93" s="9"/>
      <c r="F93" s="9"/>
      <c r="G93" s="9"/>
      <c r="H93" s="9"/>
      <c r="I93" s="13"/>
    </row>
    <row r="94" ht="60.0" customHeight="1">
      <c r="A94" s="15" t="s">
        <v>16</v>
      </c>
      <c r="B94" s="22" t="str">
        <f t="array" ref="B94">iferror(VLOOKUP(INDIRECT(ADDRESS(ROW()+1,COLUMN(), 4)),Dex!$A$2:$C294,3,false),"")</f>
        <v/>
      </c>
      <c r="C94" s="22" t="str">
        <f t="array" ref="C94">iferror(VLOOKUP(INDIRECT(ADDRESS(ROW()+1,COLUMN(), 4)),Dex!$A$2:$C294,3,false),"")</f>
        <v/>
      </c>
      <c r="D94" s="22" t="str">
        <f t="array" ref="D94">iferror(VLOOKUP(INDIRECT(ADDRESS(ROW()+1,COLUMN(), 4)),Dex!$A$2:$C294,3,false),"")</f>
        <v/>
      </c>
      <c r="E94" s="22" t="str">
        <f t="array" ref="E94">iferror(VLOOKUP(INDIRECT(ADDRESS(ROW()+1,COLUMN(), 4)),Dex!$A$2:$C294,3,false),"")</f>
        <v/>
      </c>
      <c r="F94" s="22" t="str">
        <f t="array" ref="F94">iferror(VLOOKUP(INDIRECT(ADDRESS(ROW()+1,COLUMN(), 4)),Dex!$A$2:$C294,3,false),"")</f>
        <v/>
      </c>
      <c r="G94" s="22" t="str">
        <f t="array" ref="G94">iferror(VLOOKUP(INDIRECT(ADDRESS(ROW()+1,COLUMN(), 4)),Dex!$A$2:$C294,3,false),"")</f>
        <v/>
      </c>
      <c r="H94" s="23" t="str">
        <f t="array" ref="H94">iferror(VLOOKUP("TRAINER_PIC_Lass",Sprites!$A$1:$B294,2,false),"")</f>
        <v/>
      </c>
      <c r="I94" s="24"/>
    </row>
    <row r="95">
      <c r="A95" s="25"/>
      <c r="B95" s="26" t="s">
        <v>1326</v>
      </c>
      <c r="C95" s="26" t="s">
        <v>592</v>
      </c>
      <c r="D95" s="26" t="s">
        <v>1328</v>
      </c>
      <c r="E95" s="26" t="s">
        <v>1329</v>
      </c>
      <c r="F95" s="26"/>
      <c r="G95" s="26"/>
      <c r="H95" s="27"/>
    </row>
    <row r="96">
      <c r="A96" s="10" t="s">
        <v>199</v>
      </c>
      <c r="B96" s="22">
        <v>50.0</v>
      </c>
      <c r="C96" s="22">
        <v>50.0</v>
      </c>
      <c r="D96" s="22">
        <v>50.0</v>
      </c>
      <c r="E96" s="22">
        <v>51.0</v>
      </c>
      <c r="F96" s="22"/>
      <c r="G96" s="22"/>
      <c r="H96" s="27"/>
    </row>
    <row r="97">
      <c r="A97" s="10" t="s">
        <v>201</v>
      </c>
      <c r="B97" s="29" t="s">
        <v>1342</v>
      </c>
      <c r="C97" s="29" t="s">
        <v>645</v>
      </c>
      <c r="D97" s="29" t="s">
        <v>1054</v>
      </c>
      <c r="E97" s="29" t="s">
        <v>1122</v>
      </c>
      <c r="F97" s="29"/>
      <c r="G97" s="29"/>
      <c r="H97" s="27"/>
    </row>
    <row r="98">
      <c r="A98" s="10" t="s">
        <v>209</v>
      </c>
      <c r="B98" s="22" t="s">
        <v>413</v>
      </c>
      <c r="C98" s="22" t="s">
        <v>912</v>
      </c>
      <c r="D98" s="22" t="s">
        <v>538</v>
      </c>
      <c r="E98" s="22" t="s">
        <v>1344</v>
      </c>
      <c r="F98" s="22"/>
      <c r="G98" s="22"/>
      <c r="H98" s="27"/>
    </row>
    <row r="99">
      <c r="A99" s="10" t="s">
        <v>215</v>
      </c>
      <c r="B99" s="29" t="s">
        <v>1346</v>
      </c>
      <c r="C99" s="29" t="s">
        <v>906</v>
      </c>
      <c r="D99" s="29" t="s">
        <v>220</v>
      </c>
      <c r="E99" s="29" t="s">
        <v>220</v>
      </c>
      <c r="F99" s="29"/>
      <c r="G99" s="29"/>
      <c r="H99" s="27"/>
    </row>
    <row r="100">
      <c r="A100" s="15" t="s">
        <v>224</v>
      </c>
      <c r="B100" s="22" t="s">
        <v>1348</v>
      </c>
      <c r="C100" s="22" t="s">
        <v>1349</v>
      </c>
      <c r="D100" s="22" t="s">
        <v>1350</v>
      </c>
      <c r="E100" s="22" t="s">
        <v>1352</v>
      </c>
      <c r="F100" s="22"/>
      <c r="G100" s="22"/>
      <c r="H100" s="27"/>
    </row>
    <row r="101">
      <c r="A101" s="30"/>
      <c r="B101" s="22" t="s">
        <v>1356</v>
      </c>
      <c r="C101" s="22" t="s">
        <v>1357</v>
      </c>
      <c r="D101" s="22" t="s">
        <v>363</v>
      </c>
      <c r="E101" s="22" t="s">
        <v>1361</v>
      </c>
      <c r="F101" s="22"/>
      <c r="G101" s="22"/>
      <c r="H101" s="27"/>
    </row>
    <row r="102">
      <c r="A102" s="30"/>
      <c r="B102" s="22" t="s">
        <v>1363</v>
      </c>
      <c r="C102" s="22" t="s">
        <v>362</v>
      </c>
      <c r="D102" s="22" t="s">
        <v>565</v>
      </c>
      <c r="E102" s="22"/>
      <c r="F102" s="22"/>
      <c r="G102" s="22"/>
      <c r="H102" s="27"/>
    </row>
    <row r="103">
      <c r="A103" s="25"/>
      <c r="B103" s="22" t="s">
        <v>1366</v>
      </c>
      <c r="C103" s="22" t="s">
        <v>1363</v>
      </c>
      <c r="D103" s="22" t="s">
        <v>367</v>
      </c>
      <c r="E103" s="22"/>
      <c r="F103" s="22"/>
      <c r="G103" s="22"/>
      <c r="H103" s="31"/>
      <c r="I103" s="32"/>
    </row>
    <row r="104">
      <c r="A104" s="10" t="s">
        <v>5</v>
      </c>
      <c r="B104" s="11" t="s">
        <v>1369</v>
      </c>
      <c r="C104" s="9"/>
      <c r="D104" s="9"/>
      <c r="E104" s="9"/>
      <c r="F104" s="9"/>
      <c r="G104" s="9"/>
      <c r="H104" s="9"/>
      <c r="I104" s="13"/>
    </row>
    <row r="105" ht="60.0" customHeight="1">
      <c r="A105" s="15" t="s">
        <v>16</v>
      </c>
      <c r="B105" s="22" t="str">
        <f t="array" ref="B105">iferror(VLOOKUP(INDIRECT(ADDRESS(ROW()+1,COLUMN(), 4)),Dex!$A$2:$C294,3,false),"")</f>
        <v/>
      </c>
      <c r="C105" s="22" t="str">
        <f t="array" ref="C105">iferror(VLOOKUP(INDIRECT(ADDRESS(ROW()+1,COLUMN(), 4)),Dex!$A$2:$C294,3,false),"")</f>
        <v/>
      </c>
      <c r="D105" s="22" t="str">
        <f t="array" ref="D105">iferror(VLOOKUP(INDIRECT(ADDRESS(ROW()+1,COLUMN(), 4)),Dex!$A$2:$C294,3,false),"")</f>
        <v/>
      </c>
      <c r="E105" s="22" t="str">
        <f t="array" ref="E105">iferror(VLOOKUP(INDIRECT(ADDRESS(ROW()+1,COLUMN(), 4)),Dex!$A$2:$C294,3,false),"")</f>
        <v/>
      </c>
      <c r="F105" s="22" t="str">
        <f t="array" ref="F105">iferror(VLOOKUP(INDIRECT(ADDRESS(ROW()+1,COLUMN(), 4)),Dex!$A$2:$C294,3,false),"")</f>
        <v/>
      </c>
      <c r="G105" s="22" t="str">
        <f t="array" ref="G105">iferror(VLOOKUP(INDIRECT(ADDRESS(ROW()+1,COLUMN(), 4)),Dex!$A$2:$C294,3,false),"")</f>
        <v/>
      </c>
      <c r="H105" s="23" t="str">
        <f t="array" ref="H105">iferror(VLOOKUP("TRAINER_PIC_Parasol_Lady",Sprites!$A$1:$B294,2,false),"")</f>
        <v/>
      </c>
      <c r="I105" s="24"/>
    </row>
    <row r="106">
      <c r="A106" s="25"/>
      <c r="B106" s="26" t="s">
        <v>1067</v>
      </c>
      <c r="C106" s="26" t="s">
        <v>172</v>
      </c>
      <c r="D106" s="26" t="s">
        <v>1303</v>
      </c>
      <c r="E106" s="26" t="s">
        <v>312</v>
      </c>
      <c r="F106" s="26" t="s">
        <v>816</v>
      </c>
      <c r="G106" s="26"/>
      <c r="H106" s="27"/>
    </row>
    <row r="107">
      <c r="A107" s="10" t="s">
        <v>199</v>
      </c>
      <c r="B107" s="22">
        <v>51.0</v>
      </c>
      <c r="C107" s="22">
        <v>51.0</v>
      </c>
      <c r="D107" s="22">
        <v>50.0</v>
      </c>
      <c r="E107" s="22">
        <v>51.0</v>
      </c>
      <c r="F107" s="22">
        <v>52.0</v>
      </c>
      <c r="G107" s="22"/>
      <c r="H107" s="27"/>
    </row>
    <row r="108">
      <c r="A108" s="10" t="s">
        <v>201</v>
      </c>
      <c r="B108" s="29" t="s">
        <v>344</v>
      </c>
      <c r="C108" s="29" t="s">
        <v>536</v>
      </c>
      <c r="D108" s="29" t="s">
        <v>1446</v>
      </c>
      <c r="E108" s="29" t="s">
        <v>645</v>
      </c>
      <c r="F108" s="29" t="s">
        <v>455</v>
      </c>
      <c r="G108" s="29"/>
      <c r="H108" s="27"/>
    </row>
    <row r="109">
      <c r="A109" s="10" t="s">
        <v>209</v>
      </c>
      <c r="B109" s="22" t="s">
        <v>1017</v>
      </c>
      <c r="C109" s="22" t="s">
        <v>1448</v>
      </c>
      <c r="D109" s="22" t="s">
        <v>1449</v>
      </c>
      <c r="E109" s="22" t="s">
        <v>1450</v>
      </c>
      <c r="F109" s="22" t="s">
        <v>1451</v>
      </c>
      <c r="G109" s="22"/>
      <c r="H109" s="27"/>
    </row>
    <row r="110">
      <c r="A110" s="10" t="s">
        <v>215</v>
      </c>
      <c r="B110" s="29" t="s">
        <v>461</v>
      </c>
      <c r="C110" s="29" t="s">
        <v>220</v>
      </c>
      <c r="D110" s="29" t="s">
        <v>222</v>
      </c>
      <c r="E110" s="29" t="s">
        <v>906</v>
      </c>
      <c r="F110" s="29" t="s">
        <v>220</v>
      </c>
      <c r="G110" s="29"/>
      <c r="H110" s="27"/>
    </row>
    <row r="111">
      <c r="A111" s="15" t="s">
        <v>224</v>
      </c>
      <c r="B111" s="22" t="s">
        <v>1356</v>
      </c>
      <c r="C111" s="22" t="s">
        <v>1453</v>
      </c>
      <c r="D111" s="22" t="s">
        <v>920</v>
      </c>
      <c r="E111" s="22" t="s">
        <v>258</v>
      </c>
      <c r="F111" s="22" t="s">
        <v>1454</v>
      </c>
      <c r="G111" s="22"/>
      <c r="H111" s="27"/>
    </row>
    <row r="112">
      <c r="A112" s="30"/>
      <c r="B112" s="22" t="s">
        <v>1363</v>
      </c>
      <c r="C112" s="22" t="s">
        <v>652</v>
      </c>
      <c r="D112" s="22" t="s">
        <v>582</v>
      </c>
      <c r="E112" s="22" t="s">
        <v>940</v>
      </c>
      <c r="F112" s="22" t="s">
        <v>809</v>
      </c>
      <c r="G112" s="22"/>
      <c r="H112" s="27"/>
    </row>
    <row r="113">
      <c r="A113" s="30"/>
      <c r="B113" s="22" t="s">
        <v>1457</v>
      </c>
      <c r="C113" s="22" t="s">
        <v>356</v>
      </c>
      <c r="D113" s="22" t="s">
        <v>1458</v>
      </c>
      <c r="E113" s="22" t="s">
        <v>946</v>
      </c>
      <c r="F113" s="22" t="s">
        <v>1460</v>
      </c>
      <c r="G113" s="22"/>
      <c r="H113" s="27"/>
    </row>
    <row r="114">
      <c r="A114" s="25"/>
      <c r="B114" s="22" t="s">
        <v>356</v>
      </c>
      <c r="C114" s="22" t="s">
        <v>549</v>
      </c>
      <c r="D114" s="22" t="s">
        <v>367</v>
      </c>
      <c r="E114" s="22" t="s">
        <v>465</v>
      </c>
      <c r="F114" s="22" t="s">
        <v>356</v>
      </c>
      <c r="G114" s="22"/>
      <c r="H114" s="31"/>
      <c r="I114" s="32"/>
    </row>
    <row r="115">
      <c r="A115" s="10" t="s">
        <v>5</v>
      </c>
      <c r="B115" s="11" t="s">
        <v>1462</v>
      </c>
      <c r="C115" s="9"/>
      <c r="D115" s="9"/>
      <c r="E115" s="9"/>
      <c r="F115" s="9"/>
      <c r="G115" s="9"/>
      <c r="H115" s="9"/>
      <c r="I115" s="13"/>
    </row>
    <row r="116" ht="60.0" customHeight="1">
      <c r="A116" s="15" t="s">
        <v>16</v>
      </c>
      <c r="B116" s="22" t="str">
        <f t="array" ref="B116">iferror(VLOOKUP(INDIRECT(ADDRESS(ROW()+1,COLUMN(), 4)),Dex!$A$2:$C294,3,false),"")</f>
        <v/>
      </c>
      <c r="C116" s="22" t="str">
        <f t="array" ref="C116">iferror(VLOOKUP(INDIRECT(ADDRESS(ROW()+1,COLUMN(), 4)),Dex!$A$2:$C294,3,false),"")</f>
        <v/>
      </c>
      <c r="D116" s="22" t="str">
        <f t="array" ref="D116">iferror(VLOOKUP(INDIRECT(ADDRESS(ROW()+1,COLUMN(), 4)),Dex!$A$2:$C294,3,false),"")</f>
        <v/>
      </c>
      <c r="E116" s="22" t="str">
        <f t="array" ref="E116">iferror(VLOOKUP(INDIRECT(ADDRESS(ROW()+1,COLUMN(), 4)),Dex!$A$2:$C294,3,false),"")</f>
        <v/>
      </c>
      <c r="F116" s="22" t="str">
        <f t="array" ref="F116">iferror(VLOOKUP(INDIRECT(ADDRESS(ROW()+1,COLUMN(), 4)),Dex!$A$2:$C294,3,false),"")</f>
        <v/>
      </c>
      <c r="G116" s="22" t="str">
        <f t="array" ref="G116">iferror(VLOOKUP(INDIRECT(ADDRESS(ROW()+1,COLUMN(), 4)),Dex!$A$2:$C294,3,false),"")</f>
        <v/>
      </c>
      <c r="H116" s="23" t="str">
        <f t="array" ref="H116">iferror(VLOOKUP("TRAINER_PIC_Guitarist",Sprites!$A$1:$B294,2,false),"")</f>
        <v/>
      </c>
      <c r="I116" s="24"/>
    </row>
    <row r="117">
      <c r="A117" s="25"/>
      <c r="B117" s="26" t="s">
        <v>1092</v>
      </c>
      <c r="C117" s="26" t="s">
        <v>614</v>
      </c>
      <c r="D117" s="26" t="s">
        <v>1515</v>
      </c>
      <c r="E117" s="26" t="s">
        <v>860</v>
      </c>
      <c r="F117" s="26" t="s">
        <v>1375</v>
      </c>
      <c r="G117" s="26"/>
      <c r="H117" s="27"/>
    </row>
    <row r="118">
      <c r="A118" s="10" t="s">
        <v>199</v>
      </c>
      <c r="B118" s="22">
        <v>51.0</v>
      </c>
      <c r="C118" s="22">
        <v>51.0</v>
      </c>
      <c r="D118" s="22">
        <v>52.0</v>
      </c>
      <c r="E118" s="22">
        <v>51.0</v>
      </c>
      <c r="F118" s="22">
        <v>52.0</v>
      </c>
      <c r="G118" s="22"/>
      <c r="H118" s="27"/>
    </row>
    <row r="119">
      <c r="A119" s="10" t="s">
        <v>201</v>
      </c>
      <c r="B119" s="29" t="s">
        <v>1456</v>
      </c>
      <c r="C119" s="29" t="s">
        <v>408</v>
      </c>
      <c r="D119" s="29" t="s">
        <v>1517</v>
      </c>
      <c r="E119" s="29" t="s">
        <v>645</v>
      </c>
      <c r="F119" s="29" t="s">
        <v>1521</v>
      </c>
      <c r="G119" s="29"/>
      <c r="H119" s="27"/>
    </row>
    <row r="120">
      <c r="A120" s="10" t="s">
        <v>209</v>
      </c>
      <c r="B120" s="22" t="s">
        <v>1522</v>
      </c>
      <c r="C120" s="22" t="s">
        <v>911</v>
      </c>
      <c r="D120" s="22" t="s">
        <v>679</v>
      </c>
      <c r="E120" s="22" t="s">
        <v>1527</v>
      </c>
      <c r="F120" s="22" t="s">
        <v>1448</v>
      </c>
      <c r="G120" s="22"/>
      <c r="H120" s="27"/>
    </row>
    <row r="121">
      <c r="A121" s="10" t="s">
        <v>215</v>
      </c>
      <c r="B121" s="29" t="s">
        <v>419</v>
      </c>
      <c r="C121" s="29" t="s">
        <v>231</v>
      </c>
      <c r="D121" s="29" t="s">
        <v>906</v>
      </c>
      <c r="E121" s="29" t="s">
        <v>1343</v>
      </c>
      <c r="F121" s="29" t="s">
        <v>231</v>
      </c>
      <c r="G121" s="29"/>
      <c r="H121" s="27"/>
    </row>
    <row r="122">
      <c r="A122" s="15" t="s">
        <v>224</v>
      </c>
      <c r="B122" s="22" t="s">
        <v>924</v>
      </c>
      <c r="C122" s="22" t="s">
        <v>549</v>
      </c>
      <c r="D122" s="22" t="s">
        <v>1540</v>
      </c>
      <c r="E122" s="22" t="s">
        <v>1363</v>
      </c>
      <c r="F122" s="22" t="s">
        <v>700</v>
      </c>
      <c r="G122" s="22"/>
      <c r="H122" s="27"/>
    </row>
    <row r="123">
      <c r="A123" s="30"/>
      <c r="B123" s="22" t="s">
        <v>1541</v>
      </c>
      <c r="C123" s="22" t="s">
        <v>1542</v>
      </c>
      <c r="D123" s="22" t="s">
        <v>1442</v>
      </c>
      <c r="E123" s="22" t="s">
        <v>1543</v>
      </c>
      <c r="F123" s="22" t="s">
        <v>1036</v>
      </c>
      <c r="G123" s="22"/>
      <c r="H123" s="27"/>
    </row>
    <row r="124">
      <c r="A124" s="30"/>
      <c r="B124" s="22" t="s">
        <v>1158</v>
      </c>
      <c r="C124" s="22" t="s">
        <v>477</v>
      </c>
      <c r="D124" s="22" t="s">
        <v>1545</v>
      </c>
      <c r="E124" s="22" t="s">
        <v>1547</v>
      </c>
      <c r="F124" s="22" t="s">
        <v>473</v>
      </c>
      <c r="G124" s="22"/>
      <c r="H124" s="27"/>
    </row>
    <row r="125">
      <c r="A125" s="25"/>
      <c r="B125" s="22" t="s">
        <v>815</v>
      </c>
      <c r="C125" s="22" t="s">
        <v>1549</v>
      </c>
      <c r="D125" s="22" t="s">
        <v>1551</v>
      </c>
      <c r="E125" s="22" t="s">
        <v>356</v>
      </c>
      <c r="F125" s="22" t="s">
        <v>587</v>
      </c>
      <c r="G125" s="22"/>
      <c r="H125" s="31"/>
      <c r="I125" s="32"/>
    </row>
    <row r="126">
      <c r="A126" s="10" t="s">
        <v>5</v>
      </c>
      <c r="B126" s="11" t="s">
        <v>1552</v>
      </c>
      <c r="C126" s="9"/>
      <c r="D126" s="9"/>
      <c r="E126" s="9"/>
      <c r="F126" s="9"/>
      <c r="G126" s="9"/>
      <c r="H126" s="9"/>
      <c r="I126" s="13"/>
    </row>
    <row r="127" ht="60.0" customHeight="1">
      <c r="A127" s="15" t="s">
        <v>16</v>
      </c>
      <c r="B127" s="22" t="str">
        <f t="array" ref="B127">iferror(VLOOKUP(INDIRECT(ADDRESS(ROW()+1,COLUMN(), 4)),Dex!$A$2:$C294,3,false),"")</f>
        <v/>
      </c>
      <c r="C127" s="22" t="str">
        <f t="array" ref="C127">iferror(VLOOKUP(INDIRECT(ADDRESS(ROW()+1,COLUMN(), 4)),Dex!$A$2:$C294,3,false),"")</f>
        <v/>
      </c>
      <c r="D127" s="22" t="str">
        <f t="array" ref="D127">iferror(VLOOKUP(INDIRECT(ADDRESS(ROW()+1,COLUMN(), 4)),Dex!$A$2:$C294,3,false),"")</f>
        <v/>
      </c>
      <c r="E127" s="22" t="str">
        <f t="array" ref="E127">iferror(VLOOKUP(INDIRECT(ADDRESS(ROW()+1,COLUMN(), 4)),Dex!$A$2:$C294,3,false),"")</f>
        <v/>
      </c>
      <c r="F127" s="22" t="str">
        <f t="array" ref="F127">iferror(VLOOKUP(INDIRECT(ADDRESS(ROW()+1,COLUMN(), 4)),Dex!$A$2:$C294,3,false),"")</f>
        <v/>
      </c>
      <c r="G127" s="22" t="str">
        <f t="array" ref="G127">iferror(VLOOKUP(INDIRECT(ADDRESS(ROW()+1,COLUMN(), 4)),Dex!$A$2:$C294,3,false),"")</f>
        <v/>
      </c>
      <c r="H127" s="23" t="str">
        <f t="array" ref="H127">iferror(VLOOKUP("TRAINER_PIC_Elite_Four_Glacia",Sprites!$A$1:$B294,2,false),"")</f>
        <v/>
      </c>
      <c r="I127" s="24"/>
    </row>
    <row r="128">
      <c r="A128" s="25"/>
      <c r="B128" s="26" t="s">
        <v>454</v>
      </c>
      <c r="C128" s="26" t="s">
        <v>1621</v>
      </c>
      <c r="D128" s="26" t="s">
        <v>620</v>
      </c>
      <c r="E128" s="26" t="s">
        <v>1623</v>
      </c>
      <c r="F128" s="26" t="s">
        <v>1627</v>
      </c>
      <c r="G128" s="26" t="s">
        <v>857</v>
      </c>
      <c r="H128" s="27"/>
    </row>
    <row r="129">
      <c r="A129" s="10" t="s">
        <v>199</v>
      </c>
      <c r="B129" s="22">
        <v>51.0</v>
      </c>
      <c r="C129" s="22">
        <v>51.0</v>
      </c>
      <c r="D129" s="22">
        <v>51.0</v>
      </c>
      <c r="E129" s="22">
        <v>52.0</v>
      </c>
      <c r="F129" s="22">
        <v>51.0</v>
      </c>
      <c r="G129" s="22">
        <v>54.0</v>
      </c>
      <c r="H129" s="27"/>
    </row>
    <row r="130">
      <c r="A130" s="10" t="s">
        <v>201</v>
      </c>
      <c r="B130" s="29" t="s">
        <v>1342</v>
      </c>
      <c r="C130" s="29" t="s">
        <v>1635</v>
      </c>
      <c r="D130" s="29" t="s">
        <v>451</v>
      </c>
      <c r="E130" s="29" t="s">
        <v>1517</v>
      </c>
      <c r="F130" s="29" t="s">
        <v>343</v>
      </c>
      <c r="G130" s="29" t="s">
        <v>1639</v>
      </c>
      <c r="H130" s="27"/>
    </row>
    <row r="131">
      <c r="A131" s="10" t="s">
        <v>209</v>
      </c>
      <c r="B131" s="22" t="s">
        <v>1522</v>
      </c>
      <c r="C131" s="22" t="s">
        <v>1448</v>
      </c>
      <c r="D131" s="22" t="s">
        <v>1527</v>
      </c>
      <c r="E131" s="22" t="s">
        <v>1641</v>
      </c>
      <c r="F131" s="22" t="s">
        <v>788</v>
      </c>
      <c r="G131" s="22" t="s">
        <v>1643</v>
      </c>
      <c r="H131" s="27"/>
    </row>
    <row r="132">
      <c r="A132" s="10" t="s">
        <v>215</v>
      </c>
      <c r="B132" s="29" t="s">
        <v>218</v>
      </c>
      <c r="C132" s="29" t="s">
        <v>1646</v>
      </c>
      <c r="D132" s="29" t="s">
        <v>220</v>
      </c>
      <c r="E132" s="29" t="s">
        <v>419</v>
      </c>
      <c r="F132" s="29" t="s">
        <v>461</v>
      </c>
      <c r="G132" s="29" t="s">
        <v>1346</v>
      </c>
      <c r="H132" s="27"/>
    </row>
    <row r="133">
      <c r="A133" s="15" t="s">
        <v>224</v>
      </c>
      <c r="B133" s="22" t="s">
        <v>1356</v>
      </c>
      <c r="C133" s="22" t="s">
        <v>1650</v>
      </c>
      <c r="D133" s="22" t="s">
        <v>917</v>
      </c>
      <c r="E133" s="22" t="s">
        <v>577</v>
      </c>
      <c r="F133" s="22" t="s">
        <v>700</v>
      </c>
      <c r="G133" s="22" t="s">
        <v>1065</v>
      </c>
      <c r="H133" s="27"/>
    </row>
    <row r="134">
      <c r="A134" s="30"/>
      <c r="B134" s="22" t="s">
        <v>1162</v>
      </c>
      <c r="C134" s="22" t="s">
        <v>1068</v>
      </c>
      <c r="D134" s="22" t="s">
        <v>1453</v>
      </c>
      <c r="E134" s="22" t="s">
        <v>1357</v>
      </c>
      <c r="F134" s="22" t="s">
        <v>1658</v>
      </c>
      <c r="G134" s="22" t="s">
        <v>356</v>
      </c>
      <c r="H134" s="27"/>
    </row>
    <row r="135">
      <c r="A135" s="30"/>
      <c r="B135" s="22" t="s">
        <v>1354</v>
      </c>
      <c r="C135" s="22" t="s">
        <v>1662</v>
      </c>
      <c r="D135" s="22" t="s">
        <v>567</v>
      </c>
      <c r="E135" s="22" t="s">
        <v>467</v>
      </c>
      <c r="F135" s="22" t="s">
        <v>951</v>
      </c>
      <c r="G135" s="22" t="s">
        <v>1542</v>
      </c>
      <c r="H135" s="27"/>
    </row>
    <row r="136">
      <c r="A136" s="25"/>
      <c r="B136" s="22" t="s">
        <v>1348</v>
      </c>
      <c r="C136" s="22" t="s">
        <v>1664</v>
      </c>
      <c r="D136" s="22" t="s">
        <v>1666</v>
      </c>
      <c r="E136" s="22" t="s">
        <v>1169</v>
      </c>
      <c r="F136" s="22" t="s">
        <v>361</v>
      </c>
      <c r="G136" s="22" t="s">
        <v>570</v>
      </c>
      <c r="H136" s="31"/>
      <c r="I136" s="32"/>
    </row>
    <row r="137">
      <c r="A137" s="8" t="s">
        <v>659</v>
      </c>
      <c r="B137" s="9"/>
      <c r="C137" s="9"/>
      <c r="D137" s="9"/>
      <c r="E137" s="9"/>
      <c r="F137" s="9"/>
      <c r="G137" s="9"/>
      <c r="H137" s="9"/>
      <c r="I137" s="34"/>
    </row>
    <row r="138">
      <c r="A138" s="10" t="s">
        <v>5</v>
      </c>
      <c r="B138" s="11" t="s">
        <v>1671</v>
      </c>
      <c r="C138" s="9"/>
      <c r="D138" s="9"/>
      <c r="E138" s="9"/>
      <c r="F138" s="9"/>
      <c r="G138" s="9"/>
      <c r="H138" s="9"/>
      <c r="I138" s="14"/>
    </row>
    <row r="139" ht="60.0" customHeight="1">
      <c r="A139" s="15" t="s">
        <v>16</v>
      </c>
      <c r="B139" s="22" t="str">
        <f t="array" ref="B139">iferror(VLOOKUP(INDIRECT(ADDRESS(ROW()+1,COLUMN(), 4)),Dex!$A$2:$C294,3,false),"")</f>
        <v/>
      </c>
      <c r="C139" s="22" t="str">
        <f t="array" ref="C139">iferror(VLOOKUP(INDIRECT(ADDRESS(ROW()+1,COLUMN(), 4)),Dex!$A$2:$C294,3,false),"")</f>
        <v/>
      </c>
      <c r="D139" s="22" t="str">
        <f t="array" ref="D139">iferror(VLOOKUP(INDIRECT(ADDRESS(ROW()+1,COLUMN(), 4)),Dex!$A$2:$C294,3,false),"")</f>
        <v/>
      </c>
      <c r="E139" s="22" t="str">
        <f t="array" ref="E139">iferror(VLOOKUP(INDIRECT(ADDRESS(ROW()+1,COLUMN(), 4)),Dex!$A$2:$C294,3,false),"")</f>
        <v/>
      </c>
      <c r="F139" s="22" t="str">
        <f t="array" ref="F139">iferror(VLOOKUP(INDIRECT(ADDRESS(ROW()+1,COLUMN(), 4)),Dex!$A$2:$C294,3,false),"")</f>
        <v/>
      </c>
      <c r="G139" s="22" t="str">
        <f t="array" ref="G139">iferror(VLOOKUP(INDIRECT(ADDRESS(ROW()+1,COLUMN(), 4)),Dex!$A$2:$C294,3,false),"")</f>
        <v/>
      </c>
      <c r="H139" s="23" t="str">
        <f t="array" ref="H139">iferror(VLOOKUP("TRAINER_PIC_Hiker",Sprites!$A$1:$B294,2,false),"")</f>
        <v/>
      </c>
      <c r="I139" s="24"/>
    </row>
    <row r="140">
      <c r="A140" s="25"/>
      <c r="B140" s="26" t="s">
        <v>1647</v>
      </c>
      <c r="C140" s="26" t="s">
        <v>398</v>
      </c>
      <c r="D140" s="26" t="s">
        <v>342</v>
      </c>
      <c r="E140" s="26" t="s">
        <v>525</v>
      </c>
      <c r="F140" s="26"/>
      <c r="G140" s="26"/>
      <c r="H140" s="27"/>
    </row>
    <row r="141">
      <c r="A141" s="10" t="s">
        <v>199</v>
      </c>
      <c r="B141" s="22">
        <v>54.0</v>
      </c>
      <c r="C141" s="22">
        <v>55.0</v>
      </c>
      <c r="D141" s="22">
        <v>55.0</v>
      </c>
      <c r="E141" s="22">
        <v>56.0</v>
      </c>
      <c r="F141" s="22"/>
      <c r="G141" s="22"/>
      <c r="H141" s="27"/>
    </row>
    <row r="142">
      <c r="A142" s="10" t="s">
        <v>201</v>
      </c>
      <c r="B142" s="29" t="s">
        <v>1242</v>
      </c>
      <c r="C142" s="29" t="s">
        <v>1745</v>
      </c>
      <c r="D142" s="29" t="s">
        <v>675</v>
      </c>
      <c r="E142" s="29" t="s">
        <v>537</v>
      </c>
      <c r="F142" s="29"/>
      <c r="G142" s="29"/>
      <c r="H142" s="27"/>
    </row>
    <row r="143">
      <c r="A143" s="10" t="s">
        <v>209</v>
      </c>
      <c r="B143" s="22" t="s">
        <v>683</v>
      </c>
      <c r="C143" s="22" t="s">
        <v>1524</v>
      </c>
      <c r="D143" s="22" t="s">
        <v>1283</v>
      </c>
      <c r="E143" s="22" t="s">
        <v>1747</v>
      </c>
      <c r="F143" s="22"/>
      <c r="G143" s="22"/>
      <c r="H143" s="27"/>
    </row>
    <row r="144">
      <c r="A144" s="10" t="s">
        <v>215</v>
      </c>
      <c r="B144" s="29" t="s">
        <v>220</v>
      </c>
      <c r="C144" s="29" t="s">
        <v>542</v>
      </c>
      <c r="D144" s="29" t="s">
        <v>220</v>
      </c>
      <c r="E144" s="29" t="s">
        <v>419</v>
      </c>
      <c r="F144" s="29"/>
      <c r="G144" s="29"/>
      <c r="H144" s="27"/>
    </row>
    <row r="145">
      <c r="A145" s="15" t="s">
        <v>224</v>
      </c>
      <c r="B145" s="22" t="s">
        <v>254</v>
      </c>
      <c r="C145" s="22" t="s">
        <v>565</v>
      </c>
      <c r="D145" s="22" t="s">
        <v>1752</v>
      </c>
      <c r="E145" s="22" t="s">
        <v>1439</v>
      </c>
      <c r="F145" s="22"/>
      <c r="G145" s="22"/>
      <c r="H145" s="27"/>
    </row>
    <row r="146">
      <c r="A146" s="30"/>
      <c r="B146" s="22" t="s">
        <v>363</v>
      </c>
      <c r="C146" s="22" t="s">
        <v>1047</v>
      </c>
      <c r="D146" s="22" t="s">
        <v>811</v>
      </c>
      <c r="E146" s="22" t="s">
        <v>582</v>
      </c>
      <c r="F146" s="22"/>
      <c r="G146" s="22"/>
      <c r="H146" s="27"/>
    </row>
    <row r="147">
      <c r="A147" s="30"/>
      <c r="B147" s="22" t="s">
        <v>244</v>
      </c>
      <c r="C147" s="22" t="s">
        <v>555</v>
      </c>
      <c r="D147" s="22" t="s">
        <v>1564</v>
      </c>
      <c r="E147" s="22" t="s">
        <v>1291</v>
      </c>
      <c r="F147" s="22"/>
      <c r="G147" s="22"/>
      <c r="H147" s="27"/>
    </row>
    <row r="148">
      <c r="A148" s="25"/>
      <c r="B148" s="22" t="s">
        <v>366</v>
      </c>
      <c r="C148" s="22" t="s">
        <v>1538</v>
      </c>
      <c r="D148" s="22" t="s">
        <v>1759</v>
      </c>
      <c r="E148" s="22" t="s">
        <v>1761</v>
      </c>
      <c r="F148" s="22"/>
      <c r="G148" s="22"/>
      <c r="H148" s="31"/>
      <c r="I148" s="32"/>
    </row>
    <row r="149">
      <c r="A149" s="8" t="s">
        <v>1762</v>
      </c>
      <c r="B149" s="9"/>
      <c r="C149" s="9"/>
      <c r="D149" s="9"/>
      <c r="E149" s="9"/>
      <c r="F149" s="9"/>
      <c r="G149" s="9"/>
      <c r="H149" s="9"/>
      <c r="I149" s="34"/>
    </row>
    <row r="150">
      <c r="A150" s="10" t="s">
        <v>5</v>
      </c>
      <c r="B150" s="11" t="s">
        <v>1768</v>
      </c>
      <c r="C150" s="9"/>
      <c r="D150" s="9"/>
      <c r="E150" s="9"/>
      <c r="F150" s="9"/>
      <c r="G150" s="9"/>
      <c r="H150" s="9"/>
      <c r="I150" s="14"/>
    </row>
    <row r="151" ht="60.0" customHeight="1">
      <c r="A151" s="15" t="s">
        <v>16</v>
      </c>
      <c r="B151" s="22" t="str">
        <f t="array" ref="B151">iferror(VLOOKUP(INDIRECT(ADDRESS(ROW()+1,COLUMN(), 4)),Dex!$A$2:$C294,3,false),"")</f>
        <v/>
      </c>
      <c r="C151" s="22" t="str">
        <f t="array" ref="C151">iferror(VLOOKUP(INDIRECT(ADDRESS(ROW()+1,COLUMN(), 4)),Dex!$A$2:$C294,3,false),"")</f>
        <v/>
      </c>
      <c r="D151" s="22" t="str">
        <f t="array" ref="D151">iferror(VLOOKUP(INDIRECT(ADDRESS(ROW()+1,COLUMN(), 4)),Dex!$A$2:$C294,3,false),"")</f>
        <v/>
      </c>
      <c r="E151" s="22" t="str">
        <f t="array" ref="E151">iferror(VLOOKUP(INDIRECT(ADDRESS(ROW()+1,COLUMN(), 4)),Dex!$A$2:$C294,3,false),"")</f>
        <v/>
      </c>
      <c r="F151" s="22" t="str">
        <f t="array" ref="F151">iferror(VLOOKUP(INDIRECT(ADDRESS(ROW()+1,COLUMN(), 4)),Dex!$A$2:$C294,3,false),"")</f>
        <v/>
      </c>
      <c r="G151" s="22" t="str">
        <f t="array" ref="G151">iferror(VLOOKUP(INDIRECT(ADDRESS(ROW()+1,COLUMN(), 4)),Dex!$A$2:$C294,3,false),"")</f>
        <v/>
      </c>
      <c r="H151" s="23" t="str">
        <f t="array" ref="H151">iferror(VLOOKUP("TRAINER_PIC_Pokemon_Breeder_F",Sprites!$A$1:$B294,2,false),"")</f>
        <v/>
      </c>
      <c r="I151" s="24"/>
    </row>
    <row r="152">
      <c r="A152" s="25"/>
      <c r="B152" s="26" t="s">
        <v>1576</v>
      </c>
      <c r="C152" s="26" t="s">
        <v>1253</v>
      </c>
      <c r="D152" s="26" t="s">
        <v>1836</v>
      </c>
      <c r="E152" s="26" t="s">
        <v>136</v>
      </c>
      <c r="F152" s="26"/>
      <c r="G152" s="26"/>
      <c r="H152" s="27"/>
    </row>
    <row r="153">
      <c r="A153" s="10" t="s">
        <v>199</v>
      </c>
      <c r="B153" s="22">
        <v>55.0</v>
      </c>
      <c r="C153" s="22">
        <v>55.0</v>
      </c>
      <c r="D153" s="22">
        <v>55.0</v>
      </c>
      <c r="E153" s="22">
        <v>56.0</v>
      </c>
      <c r="F153" s="22"/>
      <c r="G153" s="22"/>
      <c r="H153" s="27"/>
    </row>
    <row r="154">
      <c r="A154" s="10" t="s">
        <v>201</v>
      </c>
      <c r="B154" s="29" t="s">
        <v>408</v>
      </c>
      <c r="C154" s="29" t="s">
        <v>1455</v>
      </c>
      <c r="D154" s="29" t="s">
        <v>1022</v>
      </c>
      <c r="E154" s="29" t="s">
        <v>1332</v>
      </c>
      <c r="F154" s="29"/>
      <c r="G154" s="29"/>
      <c r="H154" s="27"/>
    </row>
    <row r="155">
      <c r="A155" s="10" t="s">
        <v>209</v>
      </c>
      <c r="B155" s="22" t="s">
        <v>1341</v>
      </c>
      <c r="C155" s="22" t="s">
        <v>456</v>
      </c>
      <c r="D155" s="22" t="s">
        <v>1840</v>
      </c>
      <c r="E155" s="22" t="s">
        <v>1339</v>
      </c>
      <c r="F155" s="22"/>
      <c r="G155" s="22"/>
      <c r="H155" s="27"/>
    </row>
    <row r="156">
      <c r="A156" s="10" t="s">
        <v>215</v>
      </c>
      <c r="B156" s="29" t="s">
        <v>231</v>
      </c>
      <c r="C156" s="29" t="s">
        <v>231</v>
      </c>
      <c r="D156" s="29" t="s">
        <v>222</v>
      </c>
      <c r="E156" s="29" t="s">
        <v>231</v>
      </c>
      <c r="F156" s="29"/>
      <c r="G156" s="29"/>
      <c r="H156" s="27"/>
    </row>
    <row r="157">
      <c r="A157" s="15" t="s">
        <v>224</v>
      </c>
      <c r="B157" s="22" t="s">
        <v>1843</v>
      </c>
      <c r="C157" s="22" t="s">
        <v>1844</v>
      </c>
      <c r="D157" s="22" t="s">
        <v>1846</v>
      </c>
      <c r="E157" s="22" t="s">
        <v>1844</v>
      </c>
      <c r="F157" s="22"/>
      <c r="G157" s="22"/>
      <c r="H157" s="27"/>
    </row>
    <row r="158">
      <c r="A158" s="30"/>
      <c r="B158" s="22" t="s">
        <v>924</v>
      </c>
      <c r="C158" s="22" t="s">
        <v>244</v>
      </c>
      <c r="D158" s="22" t="s">
        <v>1551</v>
      </c>
      <c r="E158" s="22" t="s">
        <v>472</v>
      </c>
      <c r="F158" s="22"/>
      <c r="G158" s="22"/>
      <c r="H158" s="27"/>
    </row>
    <row r="159">
      <c r="A159" s="30"/>
      <c r="B159" s="22" t="s">
        <v>1848</v>
      </c>
      <c r="C159" s="22" t="s">
        <v>1849</v>
      </c>
      <c r="D159" s="22" t="s">
        <v>1357</v>
      </c>
      <c r="E159" s="22"/>
      <c r="F159" s="22"/>
      <c r="G159" s="22"/>
      <c r="H159" s="27"/>
    </row>
    <row r="160">
      <c r="A160" s="25"/>
      <c r="B160" s="22" t="s">
        <v>917</v>
      </c>
      <c r="C160" s="22" t="s">
        <v>476</v>
      </c>
      <c r="D160" s="22" t="s">
        <v>701</v>
      </c>
      <c r="E160" s="22"/>
      <c r="F160" s="22"/>
      <c r="G160" s="22"/>
      <c r="H160" s="31"/>
      <c r="I160" s="32"/>
    </row>
    <row r="161">
      <c r="A161" s="10" t="s">
        <v>5</v>
      </c>
      <c r="B161" s="11" t="s">
        <v>1853</v>
      </c>
      <c r="C161" s="9"/>
      <c r="D161" s="9"/>
      <c r="E161" s="9"/>
      <c r="F161" s="9"/>
      <c r="G161" s="9"/>
      <c r="H161" s="9"/>
      <c r="I161" s="14"/>
    </row>
    <row r="162" ht="60.0" customHeight="1">
      <c r="A162" s="15" t="s">
        <v>16</v>
      </c>
      <c r="B162" s="22" t="str">
        <f t="array" ref="B162">iferror(VLOOKUP(INDIRECT(ADDRESS(ROW()+1,COLUMN(), 4)),Dex!$A$2:$C294,3,false),"")</f>
        <v/>
      </c>
      <c r="C162" s="22" t="str">
        <f t="array" ref="C162">iferror(VLOOKUP(INDIRECT(ADDRESS(ROW()+1,COLUMN(), 4)),Dex!$A$2:$C294,3,false),"")</f>
        <v/>
      </c>
      <c r="D162" s="22" t="str">
        <f t="array" ref="D162">iferror(VLOOKUP(INDIRECT(ADDRESS(ROW()+1,COLUMN(), 4)),Dex!$A$2:$C294,3,false),"")</f>
        <v/>
      </c>
      <c r="E162" s="22" t="str">
        <f t="array" ref="E162">iferror(VLOOKUP(INDIRECT(ADDRESS(ROW()+1,COLUMN(), 4)),Dex!$A$2:$C294,3,false),"")</f>
        <v/>
      </c>
      <c r="F162" s="22" t="str">
        <f t="array" ref="F162">iferror(VLOOKUP(INDIRECT(ADDRESS(ROW()+1,COLUMN(), 4)),Dex!$A$2:$C294,3,false),"")</f>
        <v/>
      </c>
      <c r="G162" s="22" t="str">
        <f t="array" ref="G162">iferror(VLOOKUP(INDIRECT(ADDRESS(ROW()+1,COLUMN(), 4)),Dex!$A$2:$C294,3,false),"")</f>
        <v/>
      </c>
      <c r="H162" s="23" t="str">
        <f t="array" ref="H162">iferror(VLOOKUP("TRAINER_PIC_Psychic_F",Sprites!$A$1:$B294,2,false),"")</f>
        <v/>
      </c>
      <c r="I162" s="24"/>
    </row>
    <row r="163">
      <c r="A163" s="25"/>
      <c r="B163" s="26" t="s">
        <v>841</v>
      </c>
      <c r="C163" s="26" t="s">
        <v>392</v>
      </c>
      <c r="D163" s="26" t="s">
        <v>848</v>
      </c>
      <c r="E163" s="26" t="s">
        <v>790</v>
      </c>
      <c r="F163" s="26" t="s">
        <v>1355</v>
      </c>
      <c r="G163" s="26"/>
      <c r="H163" s="27"/>
    </row>
    <row r="164">
      <c r="A164" s="10" t="s">
        <v>199</v>
      </c>
      <c r="B164" s="22">
        <v>55.0</v>
      </c>
      <c r="C164" s="22">
        <v>56.0</v>
      </c>
      <c r="D164" s="22">
        <v>56.0</v>
      </c>
      <c r="E164" s="22">
        <v>55.0</v>
      </c>
      <c r="F164" s="22">
        <v>56.0</v>
      </c>
      <c r="G164" s="22"/>
      <c r="H164" s="27"/>
    </row>
    <row r="165">
      <c r="A165" s="10" t="s">
        <v>201</v>
      </c>
      <c r="B165" s="29" t="s">
        <v>408</v>
      </c>
      <c r="C165" s="29" t="s">
        <v>1242</v>
      </c>
      <c r="D165" s="29" t="s">
        <v>1924</v>
      </c>
      <c r="E165" s="29" t="s">
        <v>1926</v>
      </c>
      <c r="F165" s="29" t="s">
        <v>1928</v>
      </c>
      <c r="G165" s="29"/>
      <c r="H165" s="27"/>
    </row>
    <row r="166">
      <c r="A166" s="10" t="s">
        <v>209</v>
      </c>
      <c r="B166" s="22" t="s">
        <v>1929</v>
      </c>
      <c r="C166" s="22" t="s">
        <v>1245</v>
      </c>
      <c r="D166" s="22" t="s">
        <v>413</v>
      </c>
      <c r="E166" s="22" t="s">
        <v>1527</v>
      </c>
      <c r="F166" s="22" t="s">
        <v>459</v>
      </c>
      <c r="G166" s="22"/>
      <c r="H166" s="27"/>
    </row>
    <row r="167">
      <c r="A167" s="10" t="s">
        <v>215</v>
      </c>
      <c r="B167" s="29" t="s">
        <v>461</v>
      </c>
      <c r="C167" s="29" t="s">
        <v>419</v>
      </c>
      <c r="D167" s="29" t="s">
        <v>564</v>
      </c>
      <c r="E167" s="29" t="s">
        <v>222</v>
      </c>
      <c r="F167" s="29" t="s">
        <v>685</v>
      </c>
      <c r="G167" s="29"/>
      <c r="H167" s="27"/>
    </row>
    <row r="168">
      <c r="A168" s="15" t="s">
        <v>224</v>
      </c>
      <c r="B168" s="22" t="s">
        <v>1934</v>
      </c>
      <c r="C168" s="22" t="s">
        <v>1935</v>
      </c>
      <c r="D168" s="22" t="s">
        <v>1934</v>
      </c>
      <c r="E168" s="22" t="s">
        <v>920</v>
      </c>
      <c r="F168" s="22" t="s">
        <v>1937</v>
      </c>
      <c r="G168" s="22"/>
      <c r="H168" s="27"/>
    </row>
    <row r="169">
      <c r="A169" s="30"/>
      <c r="B169" s="22" t="s">
        <v>698</v>
      </c>
      <c r="C169" s="22" t="s">
        <v>694</v>
      </c>
      <c r="D169" s="22" t="s">
        <v>469</v>
      </c>
      <c r="E169" s="22" t="s">
        <v>229</v>
      </c>
      <c r="F169" s="22" t="s">
        <v>920</v>
      </c>
      <c r="G169" s="22"/>
      <c r="H169" s="27"/>
    </row>
    <row r="170">
      <c r="A170" s="30"/>
      <c r="B170" s="22" t="s">
        <v>1941</v>
      </c>
      <c r="C170" s="22" t="s">
        <v>234</v>
      </c>
      <c r="D170" s="22" t="s">
        <v>1942</v>
      </c>
      <c r="E170" s="22" t="s">
        <v>582</v>
      </c>
      <c r="F170" s="22" t="s">
        <v>582</v>
      </c>
      <c r="G170" s="22"/>
      <c r="H170" s="27"/>
    </row>
    <row r="171">
      <c r="A171" s="25"/>
      <c r="B171" s="22" t="s">
        <v>361</v>
      </c>
      <c r="C171" s="22" t="s">
        <v>1357</v>
      </c>
      <c r="D171" s="22" t="s">
        <v>1169</v>
      </c>
      <c r="E171" s="22" t="s">
        <v>424</v>
      </c>
      <c r="F171" s="22" t="s">
        <v>805</v>
      </c>
      <c r="G171" s="22"/>
      <c r="H171" s="31"/>
      <c r="I171" s="32"/>
    </row>
    <row r="172">
      <c r="A172" s="10" t="s">
        <v>5</v>
      </c>
      <c r="B172" s="11" t="s">
        <v>1945</v>
      </c>
      <c r="C172" s="9"/>
      <c r="D172" s="9"/>
      <c r="E172" s="9"/>
      <c r="F172" s="9"/>
      <c r="G172" s="9"/>
      <c r="H172" s="9"/>
      <c r="I172" s="14"/>
    </row>
    <row r="173" ht="60.0" customHeight="1">
      <c r="A173" s="15" t="s">
        <v>16</v>
      </c>
      <c r="B173" s="22" t="str">
        <f t="array" ref="B173">iferror(VLOOKUP(INDIRECT(ADDRESS(ROW()+1,COLUMN(), 4)),Dex!$A$2:$C294,3,false),"")</f>
        <v/>
      </c>
      <c r="C173" s="22" t="str">
        <f t="array" ref="C173">iferror(VLOOKUP(INDIRECT(ADDRESS(ROW()+1,COLUMN(), 4)),Dex!$A$2:$C294,3,false),"")</f>
        <v/>
      </c>
      <c r="D173" s="22" t="str">
        <f t="array" ref="D173">iferror(VLOOKUP(INDIRECT(ADDRESS(ROW()+1,COLUMN(), 4)),Dex!$A$2:$C294,3,false),"")</f>
        <v/>
      </c>
      <c r="E173" s="22" t="str">
        <f t="array" ref="E173">iferror(VLOOKUP(INDIRECT(ADDRESS(ROW()+1,COLUMN(), 4)),Dex!$A$2:$C294,3,false),"")</f>
        <v/>
      </c>
      <c r="F173" s="22" t="str">
        <f t="array" ref="F173">iferror(VLOOKUP(INDIRECT(ADDRESS(ROW()+1,COLUMN(), 4)),Dex!$A$2:$C294,3,false),"")</f>
        <v/>
      </c>
      <c r="G173" s="22" t="str">
        <f t="array" ref="G173">iferror(VLOOKUP(INDIRECT(ADDRESS(ROW()+1,COLUMN(), 4)),Dex!$A$2:$C294,3,false),"")</f>
        <v/>
      </c>
      <c r="H173" s="23" t="str">
        <f t="array" ref="H173">iferror(VLOOKUP("TRAINER_PIC_Bug_Maniac",Sprites!$A$1:$B294,2,false),"")</f>
        <v/>
      </c>
      <c r="I173" s="24"/>
    </row>
    <row r="174">
      <c r="A174" s="25"/>
      <c r="B174" s="26" t="s">
        <v>1665</v>
      </c>
      <c r="C174" s="26" t="s">
        <v>1669</v>
      </c>
      <c r="D174" s="26" t="s">
        <v>391</v>
      </c>
      <c r="E174" s="26" t="s">
        <v>1266</v>
      </c>
      <c r="F174" s="26"/>
      <c r="G174" s="26"/>
      <c r="H174" s="27"/>
    </row>
    <row r="175">
      <c r="A175" s="10" t="s">
        <v>199</v>
      </c>
      <c r="B175" s="22">
        <v>56.0</v>
      </c>
      <c r="C175" s="22">
        <v>56.0</v>
      </c>
      <c r="D175" s="22">
        <v>57.0</v>
      </c>
      <c r="E175" s="22">
        <v>56.0</v>
      </c>
      <c r="F175" s="22"/>
      <c r="G175" s="22"/>
      <c r="H175" s="27"/>
    </row>
    <row r="176">
      <c r="A176" s="10" t="s">
        <v>201</v>
      </c>
      <c r="B176" s="29" t="s">
        <v>1148</v>
      </c>
      <c r="C176" s="29" t="s">
        <v>205</v>
      </c>
      <c r="D176" s="29" t="s">
        <v>451</v>
      </c>
      <c r="E176" s="29" t="s">
        <v>1213</v>
      </c>
      <c r="F176" s="29"/>
      <c r="G176" s="29"/>
      <c r="H176" s="27"/>
    </row>
    <row r="177">
      <c r="A177" s="10" t="s">
        <v>209</v>
      </c>
      <c r="B177" s="22" t="s">
        <v>2016</v>
      </c>
      <c r="C177" s="22" t="s">
        <v>2017</v>
      </c>
      <c r="D177" s="22" t="s">
        <v>541</v>
      </c>
      <c r="E177" s="22" t="s">
        <v>1523</v>
      </c>
      <c r="F177" s="22"/>
      <c r="G177" s="22"/>
      <c r="H177" s="27"/>
    </row>
    <row r="178">
      <c r="A178" s="10" t="s">
        <v>215</v>
      </c>
      <c r="B178" s="29" t="s">
        <v>542</v>
      </c>
      <c r="C178" s="29" t="s">
        <v>231</v>
      </c>
      <c r="D178" s="29" t="s">
        <v>231</v>
      </c>
      <c r="E178" s="29" t="s">
        <v>220</v>
      </c>
      <c r="F178" s="29"/>
      <c r="G178" s="29"/>
      <c r="H178" s="27"/>
    </row>
    <row r="179">
      <c r="A179" s="15" t="s">
        <v>224</v>
      </c>
      <c r="B179" s="22" t="s">
        <v>806</v>
      </c>
      <c r="C179" s="22" t="s">
        <v>577</v>
      </c>
      <c r="D179" s="22" t="s">
        <v>549</v>
      </c>
      <c r="E179" s="22" t="s">
        <v>2020</v>
      </c>
      <c r="F179" s="22"/>
      <c r="G179" s="22"/>
      <c r="H179" s="27"/>
    </row>
    <row r="180">
      <c r="A180" s="30"/>
      <c r="B180" s="22" t="s">
        <v>587</v>
      </c>
      <c r="C180" s="22" t="s">
        <v>473</v>
      </c>
      <c r="D180" s="22" t="s">
        <v>1454</v>
      </c>
      <c r="E180" s="22" t="s">
        <v>2022</v>
      </c>
      <c r="F180" s="22"/>
      <c r="G180" s="22"/>
      <c r="H180" s="27"/>
    </row>
    <row r="181">
      <c r="A181" s="30"/>
      <c r="B181" s="22" t="s">
        <v>1163</v>
      </c>
      <c r="C181" s="22" t="s">
        <v>477</v>
      </c>
      <c r="D181" s="22" t="s">
        <v>1793</v>
      </c>
      <c r="E181" s="22" t="s">
        <v>1163</v>
      </c>
      <c r="F181" s="22"/>
      <c r="G181" s="22"/>
      <c r="H181" s="27"/>
    </row>
    <row r="182">
      <c r="A182" s="25"/>
      <c r="B182" s="22" t="s">
        <v>1716</v>
      </c>
      <c r="C182" s="22" t="s">
        <v>2025</v>
      </c>
      <c r="D182" s="22" t="s">
        <v>1352</v>
      </c>
      <c r="E182" s="22" t="s">
        <v>356</v>
      </c>
      <c r="F182" s="22"/>
      <c r="G182" s="22"/>
      <c r="H182" s="31"/>
      <c r="I182" s="32"/>
    </row>
    <row r="183">
      <c r="A183" s="10" t="s">
        <v>5</v>
      </c>
      <c r="B183" s="11" t="s">
        <v>2026</v>
      </c>
      <c r="C183" s="12"/>
      <c r="D183" s="12"/>
      <c r="E183" s="12"/>
      <c r="F183" s="12"/>
      <c r="G183" s="12"/>
      <c r="H183" s="12"/>
      <c r="I183" s="14"/>
    </row>
    <row r="184" ht="60.0" customHeight="1">
      <c r="A184" s="15" t="s">
        <v>16</v>
      </c>
      <c r="B184" s="22" t="str">
        <f t="array" ref="B184">iferror(VLOOKUP(INDIRECT(ADDRESS(ROW()+1,COLUMN(), 4)),Dex!$A$2:$C294,3,false),"")</f>
        <v/>
      </c>
      <c r="C184" s="22" t="str">
        <f t="array" ref="C184">iferror(VLOOKUP(INDIRECT(ADDRESS(ROW()+1,COLUMN(), 4)),Dex!$A$2:$C294,3,false),"")</f>
        <v/>
      </c>
      <c r="D184" s="22" t="str">
        <f t="array" ref="D184">iferror(VLOOKUP(INDIRECT(ADDRESS(ROW()+1,COLUMN(), 4)),Dex!$A$2:$C294,3,false),"")</f>
        <v/>
      </c>
      <c r="E184" s="22" t="str">
        <f t="array" ref="E184">iferror(VLOOKUP(INDIRECT(ADDRESS(ROW()+1,COLUMN(), 4)),Dex!$A$2:$C294,3,false),"")</f>
        <v/>
      </c>
      <c r="F184" s="22" t="str">
        <f t="array" ref="F184">iferror(VLOOKUP(INDIRECT(ADDRESS(ROW()+1,COLUMN(), 4)),Dex!$A$2:$C294,3,false),"")</f>
        <v/>
      </c>
      <c r="G184" s="22" t="str">
        <f t="array" ref="G184">iferror(VLOOKUP(INDIRECT(ADDRESS(ROW()+1,COLUMN(), 4)),Dex!$A$2:$C294,3,false),"")</f>
        <v/>
      </c>
      <c r="H184" s="23" t="str">
        <f t="array" ref="H184">iferror(VLOOKUP("TRAINER_PIC_Running_Triathlete_M",Sprites!$A$1:$B294,2,false),"")</f>
        <v/>
      </c>
      <c r="I184" s="24"/>
    </row>
    <row r="185">
      <c r="A185" s="25"/>
      <c r="B185" s="26" t="s">
        <v>761</v>
      </c>
      <c r="C185" s="26" t="s">
        <v>251</v>
      </c>
      <c r="D185" s="26"/>
      <c r="E185" s="26" t="s">
        <v>760</v>
      </c>
      <c r="F185" s="26" t="s">
        <v>1202</v>
      </c>
      <c r="G185" s="26"/>
      <c r="H185" s="27"/>
    </row>
    <row r="186">
      <c r="A186" s="10" t="s">
        <v>199</v>
      </c>
      <c r="B186" s="22">
        <v>56.0</v>
      </c>
      <c r="C186" s="22">
        <v>57.0</v>
      </c>
      <c r="D186" s="22"/>
      <c r="E186" s="22">
        <v>56.0</v>
      </c>
      <c r="F186" s="22">
        <v>57.0</v>
      </c>
      <c r="G186" s="22"/>
      <c r="H186" s="27"/>
    </row>
    <row r="187">
      <c r="A187" s="10" t="s">
        <v>201</v>
      </c>
      <c r="B187" s="29" t="s">
        <v>1342</v>
      </c>
      <c r="C187" s="29" t="s">
        <v>1455</v>
      </c>
      <c r="D187" s="29"/>
      <c r="E187" s="29" t="s">
        <v>408</v>
      </c>
      <c r="F187" s="29" t="s">
        <v>1014</v>
      </c>
      <c r="G187" s="29"/>
      <c r="H187" s="27"/>
    </row>
    <row r="188">
      <c r="A188" s="10" t="s">
        <v>209</v>
      </c>
      <c r="B188" s="22" t="s">
        <v>221</v>
      </c>
      <c r="C188" s="22" t="s">
        <v>2094</v>
      </c>
      <c r="D188" s="22"/>
      <c r="E188" s="22" t="s">
        <v>221</v>
      </c>
      <c r="F188" s="22" t="s">
        <v>896</v>
      </c>
      <c r="G188" s="22"/>
      <c r="H188" s="27"/>
    </row>
    <row r="189">
      <c r="A189" s="10" t="s">
        <v>215</v>
      </c>
      <c r="B189" s="29" t="s">
        <v>906</v>
      </c>
      <c r="C189" s="29" t="s">
        <v>419</v>
      </c>
      <c r="D189" s="29"/>
      <c r="E189" s="29" t="s">
        <v>419</v>
      </c>
      <c r="F189" s="29" t="s">
        <v>419</v>
      </c>
      <c r="G189" s="29"/>
      <c r="H189" s="27"/>
    </row>
    <row r="190">
      <c r="A190" s="15" t="s">
        <v>224</v>
      </c>
      <c r="B190" s="22" t="s">
        <v>938</v>
      </c>
      <c r="C190" s="22" t="s">
        <v>241</v>
      </c>
      <c r="D190" s="22"/>
      <c r="E190" s="22" t="s">
        <v>797</v>
      </c>
      <c r="F190" s="22" t="s">
        <v>1442</v>
      </c>
      <c r="G190" s="22"/>
      <c r="H190" s="27"/>
    </row>
    <row r="191">
      <c r="A191" s="30"/>
      <c r="B191" s="22" t="s">
        <v>258</v>
      </c>
      <c r="C191" s="22" t="s">
        <v>694</v>
      </c>
      <c r="D191" s="22"/>
      <c r="E191" s="22" t="s">
        <v>1169</v>
      </c>
      <c r="F191" s="22" t="s">
        <v>1545</v>
      </c>
      <c r="G191" s="22"/>
      <c r="H191" s="27"/>
    </row>
    <row r="192">
      <c r="A192" s="30"/>
      <c r="B192" s="22" t="s">
        <v>1037</v>
      </c>
      <c r="C192" s="22" t="s">
        <v>585</v>
      </c>
      <c r="D192" s="22"/>
      <c r="E192" s="22" t="s">
        <v>360</v>
      </c>
      <c r="F192" s="22" t="s">
        <v>232</v>
      </c>
      <c r="G192" s="22"/>
      <c r="H192" s="27"/>
    </row>
    <row r="193">
      <c r="A193" s="25"/>
      <c r="B193" s="22" t="s">
        <v>1040</v>
      </c>
      <c r="C193" s="22" t="s">
        <v>238</v>
      </c>
      <c r="D193" s="22"/>
      <c r="E193" s="22" t="s">
        <v>238</v>
      </c>
      <c r="F193" s="22" t="s">
        <v>236</v>
      </c>
      <c r="G193" s="22"/>
      <c r="H193" s="31"/>
      <c r="I193" s="32"/>
    </row>
    <row r="194">
      <c r="A194" s="10" t="s">
        <v>5</v>
      </c>
      <c r="B194" s="11" t="s">
        <v>2120</v>
      </c>
      <c r="C194" s="12"/>
      <c r="D194" s="12"/>
      <c r="E194" s="12"/>
      <c r="F194" s="12"/>
      <c r="G194" s="12"/>
      <c r="H194" s="12"/>
      <c r="I194" s="14"/>
    </row>
    <row r="195" ht="60.0" customHeight="1">
      <c r="A195" s="15" t="s">
        <v>16</v>
      </c>
      <c r="B195" s="22" t="str">
        <f t="array" ref="B195">iferror(VLOOKUP(INDIRECT(ADDRESS(ROW()+1,COLUMN(), 4)),Dex!$A$2:$C294,3,false),"")</f>
        <v/>
      </c>
      <c r="C195" s="22" t="str">
        <f t="array" ref="C195">iferror(VLOOKUP(INDIRECT(ADDRESS(ROW()+1,COLUMN(), 4)),Dex!$A$2:$C294,3,false),"")</f>
        <v/>
      </c>
      <c r="D195" s="22" t="str">
        <f t="array" ref="D195">iferror(VLOOKUP(INDIRECT(ADDRESS(ROW()+1,COLUMN(), 4)),Dex!$A$2:$C294,3,false),"")</f>
        <v/>
      </c>
      <c r="E195" s="22" t="str">
        <f t="array" ref="E195">iferror(VLOOKUP(INDIRECT(ADDRESS(ROW()+1,COLUMN(), 4)),Dex!$A$2:$C294,3,false),"")</f>
        <v/>
      </c>
      <c r="F195" s="22" t="str">
        <f t="array" ref="F195">iferror(VLOOKUP(INDIRECT(ADDRESS(ROW()+1,COLUMN(), 4)),Dex!$A$2:$C294,3,false),"")</f>
        <v/>
      </c>
      <c r="G195" s="22" t="str">
        <f t="array" ref="G195">iferror(VLOOKUP(INDIRECT(ADDRESS(ROW()+1,COLUMN(), 4)),Dex!$A$2:$C294,3,false),"")</f>
        <v/>
      </c>
      <c r="H195" s="23" t="str">
        <f t="array" ref="H195">iferror(VLOOKUP("TRAINER_PIC_Pokemon_Breeder_M",Sprites!$A$1:$B294,2,false),"")</f>
        <v/>
      </c>
      <c r="I195" s="24"/>
    </row>
    <row r="196">
      <c r="A196" s="25"/>
      <c r="B196" s="26" t="s">
        <v>1828</v>
      </c>
      <c r="C196" s="26" t="s">
        <v>822</v>
      </c>
      <c r="D196" s="26" t="s">
        <v>1488</v>
      </c>
      <c r="E196" s="26" t="s">
        <v>141</v>
      </c>
      <c r="F196" s="26" t="s">
        <v>2149</v>
      </c>
      <c r="G196" s="26"/>
      <c r="H196" s="27"/>
    </row>
    <row r="197">
      <c r="A197" s="10" t="s">
        <v>199</v>
      </c>
      <c r="B197" s="22">
        <v>56.0</v>
      </c>
      <c r="C197" s="22">
        <v>56.0</v>
      </c>
      <c r="D197" s="22">
        <v>56.0</v>
      </c>
      <c r="E197" s="22">
        <v>56.0</v>
      </c>
      <c r="F197" s="22">
        <v>57.0</v>
      </c>
      <c r="G197" s="22"/>
      <c r="H197" s="27"/>
    </row>
    <row r="198">
      <c r="A198" s="10" t="s">
        <v>201</v>
      </c>
      <c r="B198" s="29" t="s">
        <v>1052</v>
      </c>
      <c r="C198" s="29" t="s">
        <v>452</v>
      </c>
      <c r="D198" s="29" t="s">
        <v>645</v>
      </c>
      <c r="E198" s="29" t="s">
        <v>2099</v>
      </c>
      <c r="F198" s="29" t="s">
        <v>2090</v>
      </c>
      <c r="G198" s="29"/>
      <c r="H198" s="27"/>
    </row>
    <row r="199">
      <c r="A199" s="10" t="s">
        <v>209</v>
      </c>
      <c r="B199" s="22" t="s">
        <v>2205</v>
      </c>
      <c r="C199" s="22" t="s">
        <v>2206</v>
      </c>
      <c r="D199" s="22" t="s">
        <v>2094</v>
      </c>
      <c r="E199" s="22" t="s">
        <v>1124</v>
      </c>
      <c r="F199" s="22" t="s">
        <v>2208</v>
      </c>
      <c r="G199" s="22"/>
      <c r="H199" s="27"/>
    </row>
    <row r="200">
      <c r="A200" s="10" t="s">
        <v>215</v>
      </c>
      <c r="B200" s="29" t="s">
        <v>231</v>
      </c>
      <c r="C200" s="29" t="s">
        <v>231</v>
      </c>
      <c r="D200" s="29" t="s">
        <v>904</v>
      </c>
      <c r="E200" s="29" t="s">
        <v>220</v>
      </c>
      <c r="F200" s="29" t="s">
        <v>542</v>
      </c>
      <c r="G200" s="29"/>
      <c r="H200" s="27"/>
    </row>
    <row r="201">
      <c r="A201" s="15" t="s">
        <v>224</v>
      </c>
      <c r="B201" s="22" t="s">
        <v>1068</v>
      </c>
      <c r="C201" s="22" t="s">
        <v>1065</v>
      </c>
      <c r="D201" s="22" t="s">
        <v>2213</v>
      </c>
      <c r="E201" s="22" t="s">
        <v>2214</v>
      </c>
      <c r="F201" s="22" t="s">
        <v>2215</v>
      </c>
      <c r="G201" s="22"/>
      <c r="H201" s="27"/>
    </row>
    <row r="202">
      <c r="A202" s="30"/>
      <c r="B202" s="22" t="s">
        <v>2217</v>
      </c>
      <c r="C202" s="22" t="s">
        <v>1352</v>
      </c>
      <c r="D202" s="22" t="s">
        <v>801</v>
      </c>
      <c r="E202" s="22" t="s">
        <v>2220</v>
      </c>
      <c r="F202" s="22" t="s">
        <v>565</v>
      </c>
      <c r="G202" s="22"/>
      <c r="H202" s="27"/>
    </row>
    <row r="203">
      <c r="A203" s="30"/>
      <c r="B203" s="22" t="s">
        <v>808</v>
      </c>
      <c r="C203" s="22" t="s">
        <v>2220</v>
      </c>
      <c r="D203" s="22" t="s">
        <v>809</v>
      </c>
      <c r="E203" s="22" t="s">
        <v>1666</v>
      </c>
      <c r="F203" s="22" t="s">
        <v>1068</v>
      </c>
      <c r="G203" s="22"/>
      <c r="H203" s="27"/>
    </row>
    <row r="204">
      <c r="A204" s="25"/>
      <c r="B204" s="22" t="s">
        <v>2224</v>
      </c>
      <c r="C204" s="22" t="s">
        <v>477</v>
      </c>
      <c r="D204" s="22" t="s">
        <v>424</v>
      </c>
      <c r="E204" s="22" t="s">
        <v>808</v>
      </c>
      <c r="F204" s="22" t="s">
        <v>1999</v>
      </c>
      <c r="G204" s="22"/>
      <c r="H204" s="31"/>
      <c r="I204" s="32"/>
    </row>
    <row r="205">
      <c r="A205" s="10" t="s">
        <v>5</v>
      </c>
      <c r="B205" s="11" t="s">
        <v>2225</v>
      </c>
      <c r="C205" s="12"/>
      <c r="D205" s="12"/>
      <c r="E205" s="12"/>
      <c r="F205" s="12"/>
      <c r="G205" s="12"/>
      <c r="H205" s="12"/>
      <c r="I205" s="14"/>
    </row>
    <row r="206" ht="60.0" customHeight="1">
      <c r="A206" s="15" t="s">
        <v>16</v>
      </c>
      <c r="B206" s="22" t="str">
        <f t="array" ref="B206">iferror(VLOOKUP(INDIRECT(ADDRESS(ROW()+1,COLUMN(), 4)),Dex!$A$2:$C294,3,false),"")</f>
        <v/>
      </c>
      <c r="C206" s="22" t="str">
        <f t="array" ref="C206">iferror(VLOOKUP(INDIRECT(ADDRESS(ROW()+1,COLUMN(), 4)),Dex!$A$2:$C294,3,false),"")</f>
        <v/>
      </c>
      <c r="D206" s="22" t="str">
        <f t="array" ref="D206">iferror(VLOOKUP(INDIRECT(ADDRESS(ROW()+1,COLUMN(), 4)),Dex!$A$2:$C294,3,false),"")</f>
        <v/>
      </c>
      <c r="E206" s="22" t="str">
        <f t="array" ref="E206">iferror(VLOOKUP(INDIRECT(ADDRESS(ROW()+1,COLUMN(), 4)),Dex!$A$2:$C294,3,false),"")</f>
        <v/>
      </c>
      <c r="F206" s="22" t="str">
        <f t="array" ref="F206">iferror(VLOOKUP(INDIRECT(ADDRESS(ROW()+1,COLUMN(), 4)),Dex!$A$2:$C294,3,false),"")</f>
        <v/>
      </c>
      <c r="G206" s="22" t="str">
        <f t="array" ref="G206">iferror(VLOOKUP(INDIRECT(ADDRESS(ROW()+1,COLUMN(), 4)),Dex!$A$2:$C294,3,false),"")</f>
        <v/>
      </c>
      <c r="H206" s="23" t="str">
        <f t="array" ref="H206">iferror(VLOOKUP("TRAINER_PIC_Twins",Sprites!$A$1:$B294,2,false),"")</f>
        <v/>
      </c>
      <c r="I206" s="24"/>
    </row>
    <row r="207">
      <c r="A207" s="25"/>
      <c r="B207" s="26" t="s">
        <v>1628</v>
      </c>
      <c r="C207" s="26" t="s">
        <v>1620</v>
      </c>
      <c r="D207" s="26" t="s">
        <v>527</v>
      </c>
      <c r="E207" s="26" t="s">
        <v>1617</v>
      </c>
      <c r="F207" s="26" t="s">
        <v>1624</v>
      </c>
      <c r="G207" s="26"/>
      <c r="H207" s="27"/>
    </row>
    <row r="208">
      <c r="A208" s="10" t="s">
        <v>199</v>
      </c>
      <c r="B208" s="22">
        <v>56.0</v>
      </c>
      <c r="C208" s="22">
        <v>56.0</v>
      </c>
      <c r="D208" s="22">
        <v>57.0</v>
      </c>
      <c r="E208" s="22">
        <v>56.0</v>
      </c>
      <c r="F208" s="22">
        <v>56.0</v>
      </c>
      <c r="G208" s="22"/>
      <c r="H208" s="27"/>
    </row>
    <row r="209">
      <c r="A209" s="10" t="s">
        <v>201</v>
      </c>
      <c r="B209" s="29" t="s">
        <v>1707</v>
      </c>
      <c r="C209" s="29" t="s">
        <v>2032</v>
      </c>
      <c r="D209" s="29" t="s">
        <v>455</v>
      </c>
      <c r="E209" s="29" t="s">
        <v>206</v>
      </c>
      <c r="F209" s="29" t="s">
        <v>1446</v>
      </c>
      <c r="G209" s="29"/>
      <c r="H209" s="27"/>
    </row>
    <row r="210">
      <c r="A210" s="10" t="s">
        <v>209</v>
      </c>
      <c r="B210" s="22" t="s">
        <v>2298</v>
      </c>
      <c r="C210" s="22" t="s">
        <v>2298</v>
      </c>
      <c r="D210" s="22" t="s">
        <v>1747</v>
      </c>
      <c r="E210" s="22" t="s">
        <v>2298</v>
      </c>
      <c r="F210" s="22" t="s">
        <v>2298</v>
      </c>
      <c r="G210" s="22"/>
      <c r="H210" s="27"/>
    </row>
    <row r="211">
      <c r="A211" s="10" t="s">
        <v>215</v>
      </c>
      <c r="B211" s="29" t="s">
        <v>419</v>
      </c>
      <c r="C211" s="29" t="s">
        <v>419</v>
      </c>
      <c r="D211" s="29" t="s">
        <v>222</v>
      </c>
      <c r="E211" s="29" t="s">
        <v>419</v>
      </c>
      <c r="F211" s="29" t="s">
        <v>419</v>
      </c>
      <c r="G211" s="29"/>
      <c r="H211" s="27"/>
    </row>
    <row r="212">
      <c r="A212" s="15" t="s">
        <v>224</v>
      </c>
      <c r="B212" s="22" t="s">
        <v>371</v>
      </c>
      <c r="C212" s="22" t="s">
        <v>371</v>
      </c>
      <c r="D212" s="22" t="s">
        <v>371</v>
      </c>
      <c r="E212" s="22" t="s">
        <v>371</v>
      </c>
      <c r="F212" s="22" t="s">
        <v>371</v>
      </c>
      <c r="G212" s="22"/>
      <c r="H212" s="27"/>
    </row>
    <row r="213">
      <c r="A213" s="30"/>
      <c r="B213" s="22" t="s">
        <v>2305</v>
      </c>
      <c r="C213" s="22" t="s">
        <v>2305</v>
      </c>
      <c r="D213" s="22" t="s">
        <v>2306</v>
      </c>
      <c r="E213" s="22" t="s">
        <v>2307</v>
      </c>
      <c r="F213" s="22" t="s">
        <v>2305</v>
      </c>
      <c r="G213" s="22"/>
      <c r="H213" s="27"/>
    </row>
    <row r="214">
      <c r="A214" s="30"/>
      <c r="B214" s="22" t="s">
        <v>232</v>
      </c>
      <c r="C214" s="22" t="s">
        <v>1347</v>
      </c>
      <c r="D214" s="22" t="s">
        <v>355</v>
      </c>
      <c r="E214" s="22" t="s">
        <v>2115</v>
      </c>
      <c r="F214" s="22" t="s">
        <v>465</v>
      </c>
      <c r="G214" s="22"/>
      <c r="H214" s="27"/>
    </row>
    <row r="215">
      <c r="A215" s="25"/>
      <c r="B215" s="22" t="s">
        <v>2308</v>
      </c>
      <c r="C215" s="22" t="s">
        <v>1039</v>
      </c>
      <c r="D215" s="22" t="s">
        <v>2309</v>
      </c>
      <c r="E215" s="22" t="s">
        <v>805</v>
      </c>
      <c r="F215" s="22" t="s">
        <v>2310</v>
      </c>
      <c r="G215" s="22"/>
      <c r="H215" s="31"/>
      <c r="I215" s="32"/>
    </row>
    <row r="216">
      <c r="A216" s="10" t="s">
        <v>5</v>
      </c>
      <c r="B216" s="11" t="s">
        <v>2311</v>
      </c>
      <c r="C216" s="12"/>
      <c r="D216" s="12"/>
      <c r="E216" s="12"/>
      <c r="F216" s="12"/>
      <c r="G216" s="12"/>
      <c r="H216" s="12"/>
      <c r="I216" s="14"/>
    </row>
    <row r="217" ht="60.0" customHeight="1">
      <c r="A217" s="15" t="s">
        <v>16</v>
      </c>
      <c r="B217" s="22" t="str">
        <f t="array" ref="B217">iferror(VLOOKUP(INDIRECT(ADDRESS(ROW()+1,COLUMN(), 4)),Dex!$A$2:$C294,3,false),"")</f>
        <v/>
      </c>
      <c r="C217" s="22" t="str">
        <f t="array" ref="C217">iferror(VLOOKUP(INDIRECT(ADDRESS(ROW()+1,COLUMN(), 4)),Dex!$A$2:$C294,3,false),"")</f>
        <v/>
      </c>
      <c r="D217" s="22" t="str">
        <f t="array" ref="D217">iferror(VLOOKUP(INDIRECT(ADDRESS(ROW()+1,COLUMN(), 4)),Dex!$A$2:$C294,3,false),"")</f>
        <v/>
      </c>
      <c r="E217" s="22" t="str">
        <f t="array" ref="E217">iferror(VLOOKUP(INDIRECT(ADDRESS(ROW()+1,COLUMN(), 4)),Dex!$A$2:$C294,3,false),"")</f>
        <v/>
      </c>
      <c r="F217" s="22" t="str">
        <f t="array" ref="F217">iferror(VLOOKUP(INDIRECT(ADDRESS(ROW()+1,COLUMN(), 4)),Dex!$A$2:$C294,3,false),"")</f>
        <v/>
      </c>
      <c r="G217" s="22" t="str">
        <f t="array" ref="G217">iferror(VLOOKUP(INDIRECT(ADDRESS(ROW()+1,COLUMN(), 4)),Dex!$A$2:$C294,3,false),"")</f>
        <v/>
      </c>
      <c r="H217" s="23" t="str">
        <f t="array" ref="H217">iferror(VLOOKUP("TRAINER_PIC_Black_Belt",Sprites!$A$1:$B294,2,false),"")</f>
        <v/>
      </c>
      <c r="I217" s="24"/>
    </row>
    <row r="218">
      <c r="A218" s="25"/>
      <c r="B218" s="26" t="s">
        <v>377</v>
      </c>
      <c r="C218" s="26" t="s">
        <v>1861</v>
      </c>
      <c r="D218" s="26" t="s">
        <v>606</v>
      </c>
      <c r="E218" s="26" t="s">
        <v>676</v>
      </c>
      <c r="F218" s="26" t="s">
        <v>1880</v>
      </c>
      <c r="G218" s="26"/>
      <c r="H218" s="27"/>
    </row>
    <row r="219">
      <c r="A219" s="10" t="s">
        <v>199</v>
      </c>
      <c r="B219" s="22">
        <v>56.0</v>
      </c>
      <c r="C219" s="22">
        <v>57.0</v>
      </c>
      <c r="D219" s="22">
        <v>56.0</v>
      </c>
      <c r="E219" s="22">
        <v>57.0</v>
      </c>
      <c r="F219" s="22">
        <v>57.0</v>
      </c>
      <c r="G219" s="22"/>
      <c r="H219" s="27"/>
    </row>
    <row r="220">
      <c r="A220" s="10" t="s">
        <v>201</v>
      </c>
      <c r="B220" s="29" t="s">
        <v>406</v>
      </c>
      <c r="C220" s="29" t="s">
        <v>1636</v>
      </c>
      <c r="D220" s="29" t="s">
        <v>452</v>
      </c>
      <c r="E220" s="29" t="s">
        <v>1213</v>
      </c>
      <c r="F220" s="29" t="s">
        <v>2324</v>
      </c>
      <c r="G220" s="29"/>
      <c r="H220" s="27"/>
    </row>
    <row r="221">
      <c r="A221" s="10" t="s">
        <v>209</v>
      </c>
      <c r="B221" s="22" t="s">
        <v>911</v>
      </c>
      <c r="C221" s="22" t="s">
        <v>541</v>
      </c>
      <c r="D221" s="22" t="s">
        <v>457</v>
      </c>
      <c r="E221" s="22" t="s">
        <v>2325</v>
      </c>
      <c r="F221" s="22" t="s">
        <v>2326</v>
      </c>
      <c r="G221" s="22"/>
      <c r="H221" s="27"/>
    </row>
    <row r="222">
      <c r="A222" s="10" t="s">
        <v>215</v>
      </c>
      <c r="B222" s="29" t="s">
        <v>220</v>
      </c>
      <c r="C222" s="29" t="s">
        <v>220</v>
      </c>
      <c r="D222" s="29" t="s">
        <v>231</v>
      </c>
      <c r="E222" s="29" t="s">
        <v>220</v>
      </c>
      <c r="F222" s="29" t="s">
        <v>220</v>
      </c>
      <c r="G222" s="29"/>
      <c r="H222" s="27"/>
    </row>
    <row r="223">
      <c r="A223" s="15" t="s">
        <v>224</v>
      </c>
      <c r="B223" s="22" t="s">
        <v>241</v>
      </c>
      <c r="C223" s="22" t="s">
        <v>2329</v>
      </c>
      <c r="D223" s="22" t="s">
        <v>799</v>
      </c>
      <c r="E223" s="22" t="s">
        <v>1352</v>
      </c>
      <c r="F223" s="22" t="s">
        <v>809</v>
      </c>
      <c r="G223" s="22"/>
      <c r="H223" s="27"/>
    </row>
    <row r="224">
      <c r="A224" s="30"/>
      <c r="B224" s="22" t="s">
        <v>801</v>
      </c>
      <c r="C224" s="22" t="s">
        <v>2330</v>
      </c>
      <c r="D224" s="22" t="s">
        <v>2331</v>
      </c>
      <c r="E224" s="22" t="s">
        <v>2332</v>
      </c>
      <c r="F224" s="22" t="s">
        <v>1029</v>
      </c>
      <c r="G224" s="22"/>
      <c r="H224" s="27"/>
    </row>
    <row r="225">
      <c r="A225" s="30"/>
      <c r="B225" s="22" t="s">
        <v>922</v>
      </c>
      <c r="C225" s="22" t="s">
        <v>372</v>
      </c>
      <c r="D225" s="22" t="s">
        <v>431</v>
      </c>
      <c r="E225" s="22" t="s">
        <v>363</v>
      </c>
      <c r="F225" s="22" t="s">
        <v>1352</v>
      </c>
      <c r="G225" s="22"/>
      <c r="H225" s="27"/>
    </row>
    <row r="226">
      <c r="A226" s="25"/>
      <c r="B226" s="22" t="s">
        <v>366</v>
      </c>
      <c r="C226" s="22" t="s">
        <v>2334</v>
      </c>
      <c r="D226" s="22" t="s">
        <v>1352</v>
      </c>
      <c r="E226" s="22" t="s">
        <v>477</v>
      </c>
      <c r="F226" s="22" t="s">
        <v>917</v>
      </c>
      <c r="G226" s="22"/>
      <c r="H226" s="31"/>
      <c r="I226" s="32"/>
    </row>
    <row r="227">
      <c r="A227" s="8" t="s">
        <v>2335</v>
      </c>
      <c r="B227" s="9"/>
      <c r="C227" s="9"/>
      <c r="D227" s="9"/>
      <c r="E227" s="9"/>
      <c r="F227" s="9"/>
      <c r="G227" s="9"/>
      <c r="H227" s="9"/>
      <c r="I227" s="34"/>
    </row>
    <row r="228">
      <c r="A228" s="10" t="s">
        <v>5</v>
      </c>
      <c r="B228" s="11" t="s">
        <v>2336</v>
      </c>
      <c r="C228" s="12"/>
      <c r="D228" s="12"/>
      <c r="E228" s="12"/>
      <c r="F228" s="12"/>
      <c r="G228" s="12"/>
      <c r="H228" s="12"/>
      <c r="I228" s="13"/>
    </row>
    <row r="229" ht="60.0" customHeight="1">
      <c r="A229" s="15" t="s">
        <v>16</v>
      </c>
      <c r="B229" s="22" t="str">
        <f t="array" ref="B229">iferror(VLOOKUP(INDIRECT(ADDRESS(ROW()+1,COLUMN(), 4)),Dex!$A$2:$C294,3,false),"")</f>
        <v/>
      </c>
      <c r="C229" s="22" t="str">
        <f t="array" ref="C229">iferror(VLOOKUP(INDIRECT(ADDRESS(ROW()+1,COLUMN(), 4)),Dex!$A$2:$C294,3,false),"")</f>
        <v/>
      </c>
      <c r="D229" s="22" t="str">
        <f t="array" ref="D229">iferror(VLOOKUP(INDIRECT(ADDRESS(ROW()+1,COLUMN(), 4)),Dex!$A$2:$C294,3,false),"")</f>
        <v/>
      </c>
      <c r="E229" s="22" t="str">
        <f t="array" ref="E229">iferror(VLOOKUP(INDIRECT(ADDRESS(ROW()+1,COLUMN(), 4)),Dex!$A$2:$C294,3,false),"")</f>
        <v/>
      </c>
      <c r="F229" s="22" t="str">
        <f t="array" ref="F229">iferror(VLOOKUP(INDIRECT(ADDRESS(ROW()+1,COLUMN(), 4)),Dex!$A$2:$C294,3,false),"")</f>
        <v/>
      </c>
      <c r="G229" s="22" t="str">
        <f t="array" ref="G229">iferror(VLOOKUP(INDIRECT(ADDRESS(ROW()+1,COLUMN(), 4)),Dex!$A$2:$C294,3,false),"")</f>
        <v/>
      </c>
      <c r="H229" s="23" t="str">
        <f t="array" ref="H229">iferror(VLOOKUP("TRAINER_PIC_Wally",Sprites!$A$1:$B294,2,false),"")</f>
        <v/>
      </c>
      <c r="I229" s="24"/>
    </row>
    <row r="230">
      <c r="A230" s="25"/>
      <c r="B230" s="26" t="s">
        <v>721</v>
      </c>
      <c r="C230" s="26"/>
      <c r="D230" s="26"/>
      <c r="E230" s="26"/>
      <c r="F230" s="26"/>
      <c r="G230" s="26"/>
      <c r="H230" s="27"/>
    </row>
    <row r="231">
      <c r="A231" s="10" t="s">
        <v>199</v>
      </c>
      <c r="B231" s="22">
        <v>60.0</v>
      </c>
      <c r="C231" s="22"/>
      <c r="D231" s="22"/>
      <c r="E231" s="22"/>
      <c r="F231" s="22"/>
      <c r="G231" s="22"/>
      <c r="H231" s="27"/>
    </row>
    <row r="232">
      <c r="A232" s="10" t="s">
        <v>201</v>
      </c>
      <c r="B232" s="29" t="s">
        <v>2347</v>
      </c>
      <c r="C232" s="29"/>
      <c r="D232" s="29"/>
      <c r="E232" s="29"/>
      <c r="F232" s="29"/>
      <c r="G232" s="29"/>
      <c r="H232" s="27"/>
    </row>
    <row r="233">
      <c r="A233" s="10" t="s">
        <v>209</v>
      </c>
      <c r="B233" s="22" t="s">
        <v>2348</v>
      </c>
      <c r="C233" s="22"/>
      <c r="D233" s="22"/>
      <c r="E233" s="22"/>
      <c r="F233" s="22"/>
      <c r="G233" s="22"/>
      <c r="H233" s="27"/>
    </row>
    <row r="234">
      <c r="A234" s="10" t="s">
        <v>215</v>
      </c>
      <c r="B234" s="29" t="s">
        <v>231</v>
      </c>
      <c r="C234" s="29"/>
      <c r="D234" s="29"/>
      <c r="E234" s="29"/>
      <c r="F234" s="29"/>
      <c r="G234" s="29"/>
      <c r="H234" s="27"/>
    </row>
    <row r="235">
      <c r="A235" s="15" t="s">
        <v>224</v>
      </c>
      <c r="B235" s="22" t="s">
        <v>940</v>
      </c>
      <c r="C235" s="22"/>
      <c r="D235" s="22"/>
      <c r="E235" s="22"/>
      <c r="F235" s="22"/>
      <c r="G235" s="22"/>
      <c r="H235" s="27"/>
    </row>
    <row r="236">
      <c r="A236" s="30"/>
      <c r="B236" s="22" t="s">
        <v>465</v>
      </c>
      <c r="C236" s="22"/>
      <c r="D236" s="22"/>
      <c r="E236" s="22"/>
      <c r="F236" s="22"/>
      <c r="G236" s="22"/>
      <c r="H236" s="27"/>
    </row>
    <row r="237">
      <c r="A237" s="30"/>
      <c r="B237" s="22" t="s">
        <v>697</v>
      </c>
      <c r="C237" s="22"/>
      <c r="D237" s="22"/>
      <c r="E237" s="22"/>
      <c r="F237" s="22"/>
      <c r="G237" s="22"/>
      <c r="H237" s="27"/>
    </row>
    <row r="238">
      <c r="A238" s="25"/>
      <c r="B238" s="22" t="s">
        <v>920</v>
      </c>
      <c r="C238" s="22"/>
      <c r="D238" s="22"/>
      <c r="E238" s="22"/>
      <c r="F238" s="22"/>
      <c r="G238" s="22"/>
      <c r="H238" s="31"/>
      <c r="I238" s="32"/>
    </row>
    <row r="239">
      <c r="A239" s="8" t="s">
        <v>2349</v>
      </c>
      <c r="B239" s="9"/>
      <c r="C239" s="9"/>
      <c r="D239" s="9"/>
      <c r="E239" s="9"/>
      <c r="F239" s="9"/>
      <c r="G239" s="9"/>
      <c r="H239" s="9"/>
      <c r="I239" s="34"/>
    </row>
    <row r="240">
      <c r="A240" s="10" t="s">
        <v>5</v>
      </c>
      <c r="B240" s="11" t="s">
        <v>2350</v>
      </c>
      <c r="C240" s="12"/>
      <c r="D240" s="12"/>
      <c r="E240" s="12"/>
      <c r="F240" s="12"/>
      <c r="G240" s="12"/>
      <c r="H240" s="12"/>
      <c r="I240" s="14"/>
    </row>
    <row r="241" ht="60.0" customHeight="1">
      <c r="A241" s="15" t="s">
        <v>16</v>
      </c>
      <c r="B241" s="22" t="str">
        <f t="array" ref="B241">iferror(VLOOKUP(INDIRECT(ADDRESS(ROW()+1,COLUMN(), 4)),Dex!$A$2:$C294,3,false),"")</f>
        <v/>
      </c>
      <c r="C241" s="22" t="str">
        <f t="array" ref="C241">iferror(VLOOKUP(INDIRECT(ADDRESS(ROW()+1,COLUMN(), 4)),Dex!$A$2:$C294,3,false),"")</f>
        <v/>
      </c>
      <c r="D241" s="22" t="str">
        <f t="array" ref="D241">iferror(VLOOKUP(INDIRECT(ADDRESS(ROW()+1,COLUMN(), 4)),Dex!$A$2:$C294,3,false),"")</f>
        <v/>
      </c>
      <c r="E241" s="22" t="str">
        <f t="array" ref="E241">iferror(VLOOKUP(INDIRECT(ADDRESS(ROW()+1,COLUMN(), 4)),Dex!$A$2:$C294,3,false),"")</f>
        <v/>
      </c>
      <c r="F241" s="22" t="str">
        <f t="array" ref="F241">iferror(VLOOKUP(INDIRECT(ADDRESS(ROW()+1,COLUMN(), 4)),Dex!$A$2:$C294,3,false),"")</f>
        <v/>
      </c>
      <c r="G241" s="22" t="str">
        <f t="array" ref="G241">iferror(VLOOKUP(INDIRECT(ADDRESS(ROW()+1,COLUMN(), 4)),Dex!$A$2:$C294,3,false),"")</f>
        <v/>
      </c>
      <c r="H241" s="23" t="str">
        <f t="array" ref="H241">iferror(VLOOKUP("TRAINER_PIC_Battle_Girl",Sprites!$A$1:$B294,2,false),"")</f>
        <v/>
      </c>
      <c r="I241" s="24"/>
    </row>
    <row r="242">
      <c r="A242" s="25"/>
      <c r="B242" s="26" t="s">
        <v>1078</v>
      </c>
      <c r="C242" s="26" t="s">
        <v>624</v>
      </c>
      <c r="D242" s="26" t="s">
        <v>2359</v>
      </c>
      <c r="E242" s="26" t="s">
        <v>1095</v>
      </c>
      <c r="F242" s="26"/>
      <c r="G242" s="26"/>
      <c r="H242" s="27"/>
    </row>
    <row r="243">
      <c r="A243" s="10" t="s">
        <v>199</v>
      </c>
      <c r="B243" s="22">
        <v>58.0</v>
      </c>
      <c r="C243" s="22">
        <v>57.0</v>
      </c>
      <c r="D243" s="22">
        <v>57.0</v>
      </c>
      <c r="E243" s="22">
        <v>57.0</v>
      </c>
      <c r="F243" s="22"/>
      <c r="G243" s="22"/>
      <c r="H243" s="27"/>
    </row>
    <row r="244">
      <c r="A244" s="10" t="s">
        <v>201</v>
      </c>
      <c r="B244" s="29" t="s">
        <v>1242</v>
      </c>
      <c r="C244" s="29" t="s">
        <v>1213</v>
      </c>
      <c r="D244" s="29" t="s">
        <v>1150</v>
      </c>
      <c r="E244" s="29" t="s">
        <v>776</v>
      </c>
      <c r="F244" s="29"/>
      <c r="G244" s="29"/>
      <c r="H244" s="27"/>
    </row>
    <row r="245">
      <c r="A245" s="10" t="s">
        <v>209</v>
      </c>
      <c r="B245" s="22" t="s">
        <v>1431</v>
      </c>
      <c r="C245" s="22" t="s">
        <v>2360</v>
      </c>
      <c r="D245" s="22" t="s">
        <v>2361</v>
      </c>
      <c r="E245" s="22" t="s">
        <v>413</v>
      </c>
      <c r="F245" s="22"/>
      <c r="G245" s="22"/>
      <c r="H245" s="27"/>
    </row>
    <row r="246">
      <c r="A246" s="10" t="s">
        <v>215</v>
      </c>
      <c r="B246" s="29" t="s">
        <v>231</v>
      </c>
      <c r="C246" s="29" t="s">
        <v>222</v>
      </c>
      <c r="D246" s="29" t="s">
        <v>220</v>
      </c>
      <c r="E246" s="29" t="s">
        <v>419</v>
      </c>
      <c r="F246" s="29"/>
      <c r="G246" s="29"/>
      <c r="H246" s="27"/>
    </row>
    <row r="247">
      <c r="A247" s="15" t="s">
        <v>224</v>
      </c>
      <c r="B247" s="22" t="s">
        <v>1035</v>
      </c>
      <c r="C247" s="22" t="s">
        <v>1441</v>
      </c>
      <c r="D247" s="22" t="s">
        <v>241</v>
      </c>
      <c r="E247" s="22" t="s">
        <v>1435</v>
      </c>
      <c r="F247" s="22"/>
      <c r="G247" s="22"/>
      <c r="H247" s="27"/>
    </row>
    <row r="248">
      <c r="A248" s="30"/>
      <c r="B248" s="22" t="s">
        <v>700</v>
      </c>
      <c r="C248" s="22" t="s">
        <v>424</v>
      </c>
      <c r="D248" s="22" t="s">
        <v>702</v>
      </c>
      <c r="E248" s="22" t="s">
        <v>1441</v>
      </c>
      <c r="F248" s="22"/>
      <c r="G248" s="22"/>
      <c r="H248" s="27"/>
    </row>
    <row r="249">
      <c r="A249" s="30"/>
      <c r="B249" s="22" t="s">
        <v>373</v>
      </c>
      <c r="C249" s="22" t="s">
        <v>465</v>
      </c>
      <c r="D249" s="22" t="s">
        <v>1653</v>
      </c>
      <c r="E249" s="22" t="s">
        <v>1545</v>
      </c>
      <c r="F249" s="22"/>
      <c r="G249" s="22"/>
      <c r="H249" s="27"/>
    </row>
    <row r="250">
      <c r="A250" s="25"/>
      <c r="B250" s="22" t="s">
        <v>478</v>
      </c>
      <c r="C250" s="22" t="s">
        <v>2114</v>
      </c>
      <c r="D250" s="22" t="s">
        <v>467</v>
      </c>
      <c r="E250" s="22" t="s">
        <v>1291</v>
      </c>
      <c r="F250" s="22"/>
      <c r="G250" s="22"/>
      <c r="H250" s="31"/>
      <c r="I250" s="32"/>
    </row>
    <row r="251">
      <c r="A251" s="10" t="s">
        <v>5</v>
      </c>
      <c r="B251" s="11" t="s">
        <v>2362</v>
      </c>
      <c r="C251" s="12"/>
      <c r="D251" s="12"/>
      <c r="E251" s="12"/>
      <c r="F251" s="12"/>
      <c r="G251" s="12"/>
      <c r="H251" s="12"/>
      <c r="I251" s="14"/>
    </row>
    <row r="252" ht="60.0" customHeight="1">
      <c r="A252" s="15" t="s">
        <v>16</v>
      </c>
      <c r="B252" s="22" t="str">
        <f t="array" ref="B252">iferror(VLOOKUP(INDIRECT(ADDRESS(ROW()+1,COLUMN(), 4)),Dex!$A$2:$C294,3,false),"")</f>
        <v/>
      </c>
      <c r="C252" s="22" t="str">
        <f t="array" ref="C252">iferror(VLOOKUP(INDIRECT(ADDRESS(ROW()+1,COLUMN(), 4)),Dex!$A$2:$C294,3,false),"")</f>
        <v/>
      </c>
      <c r="D252" s="22" t="str">
        <f t="array" ref="D252">iferror(VLOOKUP(INDIRECT(ADDRESS(ROW()+1,COLUMN(), 4)),Dex!$A$2:$C294,3,false),"")</f>
        <v/>
      </c>
      <c r="E252" s="22" t="str">
        <f t="array" ref="E252">iferror(VLOOKUP(INDIRECT(ADDRESS(ROW()+1,COLUMN(), 4)),Dex!$A$2:$C294,3,false),"")</f>
        <v/>
      </c>
      <c r="F252" s="22" t="str">
        <f t="array" ref="F252">iferror(VLOOKUP(INDIRECT(ADDRESS(ROW()+1,COLUMN(), 4)),Dex!$A$2:$C294,3,false),"")</f>
        <v/>
      </c>
      <c r="G252" s="22" t="str">
        <f t="array" ref="G252">iferror(VLOOKUP(INDIRECT(ADDRESS(ROW()+1,COLUMN(), 4)),Dex!$A$2:$C294,3,false),"")</f>
        <v/>
      </c>
      <c r="H252" s="23" t="str">
        <f t="array" ref="H252">iferror(VLOOKUP("TRAINER_PIC_Bug_Maniac",Sprites!$A$1:$B294,2,false),"")</f>
        <v/>
      </c>
      <c r="I252" s="24"/>
    </row>
    <row r="253">
      <c r="A253" s="25"/>
      <c r="B253" s="26" t="s">
        <v>332</v>
      </c>
      <c r="C253" s="26" t="s">
        <v>2091</v>
      </c>
      <c r="D253" s="26" t="s">
        <v>2010</v>
      </c>
      <c r="E253" s="26" t="s">
        <v>293</v>
      </c>
      <c r="F253" s="26"/>
      <c r="G253" s="26"/>
      <c r="H253" s="27"/>
    </row>
    <row r="254">
      <c r="A254" s="10" t="s">
        <v>199</v>
      </c>
      <c r="B254" s="22">
        <v>59.0</v>
      </c>
      <c r="C254" s="22">
        <v>57.0</v>
      </c>
      <c r="D254" s="22">
        <v>57.0</v>
      </c>
      <c r="E254" s="22">
        <v>58.0</v>
      </c>
      <c r="F254" s="22"/>
      <c r="G254" s="22"/>
      <c r="H254" s="27"/>
    </row>
    <row r="255">
      <c r="A255" s="10" t="s">
        <v>201</v>
      </c>
      <c r="B255" s="29" t="s">
        <v>1122</v>
      </c>
      <c r="C255" s="29" t="s">
        <v>2372</v>
      </c>
      <c r="D255" s="29" t="s">
        <v>2372</v>
      </c>
      <c r="E255" s="29" t="s">
        <v>1022</v>
      </c>
      <c r="F255" s="29"/>
      <c r="G255" s="29"/>
      <c r="H255" s="27"/>
    </row>
    <row r="256">
      <c r="A256" s="10" t="s">
        <v>209</v>
      </c>
      <c r="B256" s="22" t="s">
        <v>1017</v>
      </c>
      <c r="C256" s="22" t="s">
        <v>2373</v>
      </c>
      <c r="D256" s="22" t="s">
        <v>1284</v>
      </c>
      <c r="E256" s="22" t="s">
        <v>2261</v>
      </c>
      <c r="F256" s="22"/>
      <c r="G256" s="22"/>
      <c r="H256" s="27"/>
    </row>
    <row r="257">
      <c r="A257" s="10" t="s">
        <v>215</v>
      </c>
      <c r="B257" s="29" t="s">
        <v>220</v>
      </c>
      <c r="C257" s="29" t="s">
        <v>222</v>
      </c>
      <c r="D257" s="29" t="s">
        <v>231</v>
      </c>
      <c r="E257" s="29" t="s">
        <v>220</v>
      </c>
      <c r="F257" s="29"/>
      <c r="G257" s="29"/>
      <c r="H257" s="27"/>
    </row>
    <row r="258">
      <c r="A258" s="15" t="s">
        <v>224</v>
      </c>
      <c r="B258" s="22" t="s">
        <v>1366</v>
      </c>
      <c r="C258" s="22" t="s">
        <v>2221</v>
      </c>
      <c r="D258" s="22" t="s">
        <v>2221</v>
      </c>
      <c r="E258" s="22" t="s">
        <v>1366</v>
      </c>
      <c r="F258" s="22"/>
      <c r="G258" s="22"/>
      <c r="H258" s="27"/>
    </row>
    <row r="259">
      <c r="A259" s="30"/>
      <c r="B259" s="22"/>
      <c r="C259" s="22" t="s">
        <v>920</v>
      </c>
      <c r="D259" s="22" t="s">
        <v>1666</v>
      </c>
      <c r="E259" s="22" t="s">
        <v>2268</v>
      </c>
      <c r="F259" s="22"/>
      <c r="G259" s="22"/>
      <c r="H259" s="27"/>
    </row>
    <row r="260">
      <c r="A260" s="30"/>
      <c r="B260" s="22"/>
      <c r="C260" s="22" t="s">
        <v>1661</v>
      </c>
      <c r="D260" s="22" t="s">
        <v>2049</v>
      </c>
      <c r="E260" s="22" t="s">
        <v>1127</v>
      </c>
      <c r="F260" s="22"/>
      <c r="G260" s="22"/>
      <c r="H260" s="27"/>
    </row>
    <row r="261">
      <c r="A261" s="25"/>
      <c r="B261" s="22"/>
      <c r="C261" s="22" t="s">
        <v>805</v>
      </c>
      <c r="D261" s="22" t="s">
        <v>237</v>
      </c>
      <c r="E261" s="22" t="s">
        <v>1047</v>
      </c>
      <c r="F261" s="22"/>
      <c r="G261" s="22"/>
      <c r="H261" s="31"/>
      <c r="I261" s="32"/>
    </row>
    <row r="262">
      <c r="A262" s="10" t="s">
        <v>5</v>
      </c>
      <c r="B262" s="11" t="s">
        <v>2376</v>
      </c>
      <c r="C262" s="12"/>
      <c r="D262" s="12"/>
      <c r="E262" s="12"/>
      <c r="F262" s="12"/>
      <c r="G262" s="12"/>
      <c r="H262" s="12"/>
      <c r="I262" s="14"/>
    </row>
    <row r="263" ht="60.0" customHeight="1">
      <c r="A263" s="15" t="s">
        <v>16</v>
      </c>
      <c r="B263" s="22" t="str">
        <f t="array" ref="B263">iferror(VLOOKUP(INDIRECT(ADDRESS(ROW()+1,COLUMN(), 4)),Dex!$A$2:$C294,3,false),"")</f>
        <v/>
      </c>
      <c r="C263" s="22" t="str">
        <f t="array" ref="C263">iferror(VLOOKUP(INDIRECT(ADDRESS(ROW()+1,COLUMN(), 4)),Dex!$A$2:$C294,3,false),"")</f>
        <v/>
      </c>
      <c r="D263" s="22" t="str">
        <f t="array" ref="D263">iferror(VLOOKUP(INDIRECT(ADDRESS(ROW()+1,COLUMN(), 4)),Dex!$A$2:$C294,3,false),"")</f>
        <v/>
      </c>
      <c r="E263" s="22" t="str">
        <f t="array" ref="E263">iferror(VLOOKUP(INDIRECT(ADDRESS(ROW()+1,COLUMN(), 4)),Dex!$A$2:$C294,3,false),"")</f>
        <v/>
      </c>
      <c r="F263" s="22" t="str">
        <f t="array" ref="F263">iferror(VLOOKUP(INDIRECT(ADDRESS(ROW()+1,COLUMN(), 4)),Dex!$A$2:$C294,3,false),"")</f>
        <v/>
      </c>
      <c r="G263" s="22" t="str">
        <f t="array" ref="G263">iferror(VLOOKUP(INDIRECT(ADDRESS(ROW()+1,COLUMN(), 4)),Dex!$A$2:$C294,3,false),"")</f>
        <v/>
      </c>
      <c r="H263" s="23" t="str">
        <f t="array" ref="H263">iferror(VLOOKUP("TRAINER_PIC_Youngster",Sprites!$A$1:$B294,2,false),"")</f>
        <v/>
      </c>
      <c r="I263" s="24"/>
    </row>
    <row r="264">
      <c r="A264" s="25"/>
      <c r="B264" s="26" t="s">
        <v>1318</v>
      </c>
      <c r="C264" s="26" t="s">
        <v>1096</v>
      </c>
      <c r="D264" s="26" t="s">
        <v>1322</v>
      </c>
      <c r="E264" s="26" t="s">
        <v>2063</v>
      </c>
      <c r="F264" s="26" t="s">
        <v>1335</v>
      </c>
      <c r="G264" s="26"/>
      <c r="H264" s="27"/>
    </row>
    <row r="265">
      <c r="A265" s="10" t="s">
        <v>199</v>
      </c>
      <c r="B265" s="22">
        <v>57.0</v>
      </c>
      <c r="C265" s="22">
        <v>57.0</v>
      </c>
      <c r="D265" s="22">
        <v>58.0</v>
      </c>
      <c r="E265" s="22">
        <v>57.0</v>
      </c>
      <c r="F265" s="22">
        <v>59.0</v>
      </c>
      <c r="G265" s="22"/>
      <c r="H265" s="27"/>
    </row>
    <row r="266">
      <c r="A266" s="10" t="s">
        <v>201</v>
      </c>
      <c r="B266" s="29" t="s">
        <v>408</v>
      </c>
      <c r="C266" s="29" t="s">
        <v>537</v>
      </c>
      <c r="D266" s="29" t="s">
        <v>455</v>
      </c>
      <c r="E266" s="29" t="s">
        <v>2383</v>
      </c>
      <c r="F266" s="29" t="s">
        <v>645</v>
      </c>
      <c r="G266" s="29"/>
      <c r="H266" s="27"/>
    </row>
    <row r="267">
      <c r="A267" s="10" t="s">
        <v>209</v>
      </c>
      <c r="B267" s="22" t="s">
        <v>2384</v>
      </c>
      <c r="C267" s="22" t="s">
        <v>413</v>
      </c>
      <c r="D267" s="22" t="s">
        <v>1337</v>
      </c>
      <c r="E267" s="22" t="s">
        <v>2385</v>
      </c>
      <c r="F267" s="22" t="s">
        <v>413</v>
      </c>
      <c r="G267" s="22"/>
      <c r="H267" s="27"/>
    </row>
    <row r="268">
      <c r="A268" s="10" t="s">
        <v>215</v>
      </c>
      <c r="B268" s="29" t="s">
        <v>419</v>
      </c>
      <c r="C268" s="29" t="s">
        <v>222</v>
      </c>
      <c r="D268" s="29" t="s">
        <v>417</v>
      </c>
      <c r="E268" s="29" t="s">
        <v>419</v>
      </c>
      <c r="F268" s="29" t="s">
        <v>542</v>
      </c>
      <c r="G268" s="29"/>
      <c r="H268" s="27"/>
    </row>
    <row r="269">
      <c r="A269" s="15" t="s">
        <v>224</v>
      </c>
      <c r="B269" s="22" t="s">
        <v>806</v>
      </c>
      <c r="C269" s="22" t="s">
        <v>1363</v>
      </c>
      <c r="D269" s="22" t="s">
        <v>2386</v>
      </c>
      <c r="E269" s="22" t="s">
        <v>238</v>
      </c>
      <c r="F269" s="22" t="s">
        <v>2214</v>
      </c>
      <c r="G269" s="22"/>
      <c r="H269" s="27"/>
    </row>
    <row r="270">
      <c r="A270" s="30"/>
      <c r="B270" s="22" t="s">
        <v>1891</v>
      </c>
      <c r="C270" s="22" t="s">
        <v>1439</v>
      </c>
      <c r="D270" s="22" t="s">
        <v>356</v>
      </c>
      <c r="E270" s="22" t="s">
        <v>232</v>
      </c>
      <c r="F270" s="22" t="s">
        <v>702</v>
      </c>
      <c r="G270" s="22"/>
      <c r="H270" s="27"/>
    </row>
    <row r="271">
      <c r="A271" s="30"/>
      <c r="B271" s="22" t="s">
        <v>360</v>
      </c>
      <c r="C271" s="22" t="s">
        <v>588</v>
      </c>
      <c r="D271" s="22" t="s">
        <v>570</v>
      </c>
      <c r="E271" s="22" t="s">
        <v>1162</v>
      </c>
      <c r="F271" s="22" t="s">
        <v>927</v>
      </c>
      <c r="G271" s="22"/>
      <c r="H271" s="27"/>
    </row>
    <row r="272">
      <c r="A272" s="25"/>
      <c r="B272" s="22" t="s">
        <v>805</v>
      </c>
      <c r="C272" s="22" t="s">
        <v>924</v>
      </c>
      <c r="D272" s="22" t="s">
        <v>2387</v>
      </c>
      <c r="E272" s="22" t="s">
        <v>938</v>
      </c>
      <c r="F272" s="22" t="s">
        <v>565</v>
      </c>
      <c r="G272" s="22"/>
      <c r="H272" s="31"/>
      <c r="I272" s="32"/>
    </row>
    <row r="273">
      <c r="A273" s="10" t="s">
        <v>5</v>
      </c>
      <c r="B273" s="11" t="s">
        <v>2388</v>
      </c>
      <c r="C273" s="12"/>
      <c r="D273" s="12"/>
      <c r="E273" s="12"/>
      <c r="F273" s="12"/>
      <c r="G273" s="12"/>
      <c r="H273" s="12"/>
      <c r="I273" s="14"/>
    </row>
    <row r="274" ht="60.0" customHeight="1">
      <c r="A274" s="15" t="s">
        <v>16</v>
      </c>
      <c r="B274" s="22" t="str">
        <f t="array" ref="B274">iferror(VLOOKUP(INDIRECT(ADDRESS(ROW()+1,COLUMN(), 4)),Dex!$A$2:$C294,3,false),"")</f>
        <v/>
      </c>
      <c r="C274" s="22" t="str">
        <f t="array" ref="C274">iferror(VLOOKUP(INDIRECT(ADDRESS(ROW()+1,COLUMN(), 4)),Dex!$A$2:$C294,3,false),"")</f>
        <v/>
      </c>
      <c r="D274" s="22" t="str">
        <f t="array" ref="D274">iferror(VLOOKUP(INDIRECT(ADDRESS(ROW()+1,COLUMN(), 4)),Dex!$A$2:$C294,3,false),"")</f>
        <v/>
      </c>
      <c r="E274" s="22" t="str">
        <f t="array" ref="E274">iferror(VLOOKUP(INDIRECT(ADDRESS(ROW()+1,COLUMN(), 4)),Dex!$A$2:$C294,3,false),"")</f>
        <v/>
      </c>
      <c r="F274" s="22" t="str">
        <f t="array" ref="F274">iferror(VLOOKUP(INDIRECT(ADDRESS(ROW()+1,COLUMN(), 4)),Dex!$A$2:$C294,3,false),"")</f>
        <v/>
      </c>
      <c r="G274" s="22" t="str">
        <f t="array" ref="G274">iferror(VLOOKUP(INDIRECT(ADDRESS(ROW()+1,COLUMN(), 4)),Dex!$A$2:$C294,3,false),"")</f>
        <v/>
      </c>
      <c r="H274" s="23" t="str">
        <f t="array" ref="H274">iferror(VLOOKUP("TRAINER_PIC_Guitarist",Sprites!$A$1:$B294,2,false),"")</f>
        <v/>
      </c>
      <c r="I274" s="24"/>
    </row>
    <row r="275">
      <c r="A275" s="25"/>
      <c r="B275" s="26" t="s">
        <v>758</v>
      </c>
      <c r="C275" s="26" t="s">
        <v>1325</v>
      </c>
      <c r="D275" s="26" t="s">
        <v>1851</v>
      </c>
      <c r="E275" s="26" t="s">
        <v>759</v>
      </c>
      <c r="F275" s="26" t="s">
        <v>1852</v>
      </c>
      <c r="G275" s="26"/>
      <c r="H275" s="27"/>
    </row>
    <row r="276">
      <c r="A276" s="10" t="s">
        <v>199</v>
      </c>
      <c r="B276" s="22">
        <v>58.0</v>
      </c>
      <c r="C276" s="22">
        <v>59.0</v>
      </c>
      <c r="D276" s="22">
        <v>59.0</v>
      </c>
      <c r="E276" s="22">
        <v>58.0</v>
      </c>
      <c r="F276" s="22">
        <v>59.0</v>
      </c>
      <c r="G276" s="22"/>
      <c r="H276" s="27"/>
    </row>
    <row r="277">
      <c r="A277" s="10" t="s">
        <v>201</v>
      </c>
      <c r="B277" s="29" t="s">
        <v>2408</v>
      </c>
      <c r="C277" s="29" t="s">
        <v>1015</v>
      </c>
      <c r="D277" s="29" t="s">
        <v>2409</v>
      </c>
      <c r="E277" s="29" t="s">
        <v>1546</v>
      </c>
      <c r="F277" s="29" t="s">
        <v>2410</v>
      </c>
      <c r="G277" s="29"/>
      <c r="H277" s="27"/>
    </row>
    <row r="278">
      <c r="A278" s="10" t="s">
        <v>209</v>
      </c>
      <c r="B278" s="22" t="s">
        <v>2411</v>
      </c>
      <c r="C278" s="22" t="s">
        <v>2411</v>
      </c>
      <c r="D278" s="22" t="s">
        <v>2411</v>
      </c>
      <c r="E278" s="22" t="s">
        <v>2412</v>
      </c>
      <c r="F278" s="22" t="s">
        <v>2412</v>
      </c>
      <c r="G278" s="22"/>
      <c r="H278" s="27"/>
    </row>
    <row r="279">
      <c r="A279" s="10" t="s">
        <v>215</v>
      </c>
      <c r="B279" s="29" t="s">
        <v>419</v>
      </c>
      <c r="C279" s="29" t="s">
        <v>222</v>
      </c>
      <c r="D279" s="29" t="s">
        <v>222</v>
      </c>
      <c r="E279" s="29" t="s">
        <v>222</v>
      </c>
      <c r="F279" s="29" t="s">
        <v>419</v>
      </c>
      <c r="G279" s="29"/>
      <c r="H279" s="27"/>
    </row>
    <row r="280">
      <c r="A280" s="15" t="s">
        <v>224</v>
      </c>
      <c r="B280" s="22" t="s">
        <v>241</v>
      </c>
      <c r="C280" s="22" t="s">
        <v>2413</v>
      </c>
      <c r="D280" s="22" t="s">
        <v>2414</v>
      </c>
      <c r="E280" s="22" t="s">
        <v>253</v>
      </c>
      <c r="F280" s="22" t="s">
        <v>2415</v>
      </c>
      <c r="G280" s="22"/>
      <c r="H280" s="27"/>
    </row>
    <row r="281">
      <c r="A281" s="30"/>
      <c r="B281" s="22" t="s">
        <v>253</v>
      </c>
      <c r="C281" s="22" t="s">
        <v>2416</v>
      </c>
      <c r="D281" s="22" t="s">
        <v>355</v>
      </c>
      <c r="E281" s="22" t="s">
        <v>1043</v>
      </c>
      <c r="F281" s="22" t="s">
        <v>355</v>
      </c>
      <c r="G281" s="22"/>
      <c r="H281" s="27"/>
    </row>
    <row r="282">
      <c r="A282" s="30"/>
      <c r="B282" s="22" t="s">
        <v>238</v>
      </c>
      <c r="C282" s="22" t="s">
        <v>654</v>
      </c>
      <c r="D282" s="22" t="s">
        <v>258</v>
      </c>
      <c r="E282" s="22" t="s">
        <v>1891</v>
      </c>
      <c r="F282" s="22" t="s">
        <v>1873</v>
      </c>
      <c r="G282" s="22"/>
      <c r="H282" s="27"/>
    </row>
    <row r="283">
      <c r="A283" s="25"/>
      <c r="B283" s="22" t="s">
        <v>2417</v>
      </c>
      <c r="C283" s="22" t="s">
        <v>2418</v>
      </c>
      <c r="D283" s="22" t="s">
        <v>2419</v>
      </c>
      <c r="E283" s="22" t="s">
        <v>234</v>
      </c>
      <c r="F283" s="22" t="s">
        <v>568</v>
      </c>
      <c r="G283" s="22"/>
      <c r="H283" s="31"/>
      <c r="I283" s="32"/>
    </row>
    <row r="284">
      <c r="A284" s="10" t="s">
        <v>5</v>
      </c>
      <c r="B284" s="11" t="s">
        <v>2420</v>
      </c>
      <c r="C284" s="12"/>
      <c r="D284" s="12"/>
      <c r="E284" s="12"/>
      <c r="F284" s="12"/>
      <c r="G284" s="12"/>
      <c r="H284" s="12"/>
      <c r="I284" s="14"/>
    </row>
    <row r="285" ht="60.0" customHeight="1">
      <c r="A285" s="15" t="s">
        <v>16</v>
      </c>
      <c r="B285" s="22" t="str">
        <f t="array" ref="B285">iferror(VLOOKUP(INDIRECT(ADDRESS(ROW()+1,COLUMN(), 4)),Dex!$A$2:$C294,3,false),"")</f>
        <v/>
      </c>
      <c r="C285" s="22" t="str">
        <f t="array" ref="C285">iferror(VLOOKUP(INDIRECT(ADDRESS(ROW()+1,COLUMN(), 4)),Dex!$A$2:$C294,3,false),"")</f>
        <v/>
      </c>
      <c r="D285" s="22" t="str">
        <f t="array" ref="D285">iferror(VLOOKUP(INDIRECT(ADDRESS(ROW()+1,COLUMN(), 4)),Dex!$A$2:$C294,3,false),"")</f>
        <v/>
      </c>
      <c r="E285" s="22" t="str">
        <f t="array" ref="E285">iferror(VLOOKUP(INDIRECT(ADDRESS(ROW()+1,COLUMN(), 4)),Dex!$A$2:$C294,3,false),"")</f>
        <v/>
      </c>
      <c r="F285" s="22" t="str">
        <f t="array" ref="F285">iferror(VLOOKUP(INDIRECT(ADDRESS(ROW()+1,COLUMN(), 4)),Dex!$A$2:$C294,3,false),"")</f>
        <v/>
      </c>
      <c r="G285" s="22" t="str">
        <f t="array" ref="G285">iferror(VLOOKUP(INDIRECT(ADDRESS(ROW()+1,COLUMN(), 4)),Dex!$A$2:$C294,3,false),"")</f>
        <v/>
      </c>
      <c r="H285" s="23" t="str">
        <f t="array" ref="H285">iferror(VLOOKUP("TRAINER_PIC_Leader_Wattson",Sprites!$A$1:$B294,2,false),"")</f>
        <v/>
      </c>
      <c r="I285" s="24"/>
    </row>
    <row r="286">
      <c r="A286" s="25"/>
      <c r="B286" s="26" t="s">
        <v>1731</v>
      </c>
      <c r="C286" s="26" t="s">
        <v>672</v>
      </c>
      <c r="D286" s="26" t="s">
        <v>1310</v>
      </c>
      <c r="E286" s="26" t="s">
        <v>1910</v>
      </c>
      <c r="F286" s="26" t="s">
        <v>2441</v>
      </c>
      <c r="G286" s="26" t="s">
        <v>756</v>
      </c>
      <c r="H286" s="27"/>
    </row>
    <row r="287">
      <c r="A287" s="10" t="s">
        <v>199</v>
      </c>
      <c r="B287" s="22">
        <v>59.0</v>
      </c>
      <c r="C287" s="22">
        <v>58.0</v>
      </c>
      <c r="D287" s="22">
        <v>59.0</v>
      </c>
      <c r="E287" s="22">
        <v>58.0</v>
      </c>
      <c r="F287" s="22">
        <v>58.0</v>
      </c>
      <c r="G287" s="22">
        <v>60.0</v>
      </c>
      <c r="H287" s="27"/>
    </row>
    <row r="288">
      <c r="A288" s="10" t="s">
        <v>201</v>
      </c>
      <c r="B288" s="29" t="s">
        <v>2408</v>
      </c>
      <c r="C288" s="29" t="s">
        <v>2443</v>
      </c>
      <c r="D288" s="29" t="s">
        <v>547</v>
      </c>
      <c r="E288" s="29" t="s">
        <v>536</v>
      </c>
      <c r="F288" s="29" t="s">
        <v>1521</v>
      </c>
      <c r="G288" s="29" t="s">
        <v>408</v>
      </c>
      <c r="H288" s="27"/>
    </row>
    <row r="289">
      <c r="A289" s="10" t="s">
        <v>209</v>
      </c>
      <c r="B289" s="22" t="s">
        <v>550</v>
      </c>
      <c r="C289" s="22" t="s">
        <v>1283</v>
      </c>
      <c r="D289" s="22" t="s">
        <v>2445</v>
      </c>
      <c r="E289" s="22" t="s">
        <v>1284</v>
      </c>
      <c r="F289" s="22" t="s">
        <v>2361</v>
      </c>
      <c r="G289" s="22" t="s">
        <v>1283</v>
      </c>
      <c r="H289" s="27"/>
    </row>
    <row r="290">
      <c r="A290" s="10" t="s">
        <v>215</v>
      </c>
      <c r="B290" s="29" t="s">
        <v>419</v>
      </c>
      <c r="C290" s="29" t="s">
        <v>1868</v>
      </c>
      <c r="D290" s="29" t="s">
        <v>218</v>
      </c>
      <c r="E290" s="29" t="s">
        <v>220</v>
      </c>
      <c r="F290" s="29" t="s">
        <v>220</v>
      </c>
      <c r="G290" s="29" t="s">
        <v>419</v>
      </c>
      <c r="H290" s="27"/>
    </row>
    <row r="291">
      <c r="A291" s="15" t="s">
        <v>224</v>
      </c>
      <c r="B291" s="22" t="s">
        <v>654</v>
      </c>
      <c r="C291" s="22" t="s">
        <v>805</v>
      </c>
      <c r="D291" s="22" t="s">
        <v>654</v>
      </c>
      <c r="E291" s="22" t="s">
        <v>2447</v>
      </c>
      <c r="F291" s="22" t="s">
        <v>1035</v>
      </c>
      <c r="G291" s="22" t="s">
        <v>654</v>
      </c>
      <c r="H291" s="27"/>
    </row>
    <row r="292">
      <c r="A292" s="30"/>
      <c r="B292" s="22" t="s">
        <v>1162</v>
      </c>
      <c r="C292" s="22" t="s">
        <v>702</v>
      </c>
      <c r="D292" s="22" t="s">
        <v>1039</v>
      </c>
      <c r="E292" s="22" t="s">
        <v>1453</v>
      </c>
      <c r="F292" s="22" t="s">
        <v>555</v>
      </c>
      <c r="G292" s="22" t="s">
        <v>246</v>
      </c>
      <c r="H292" s="27"/>
    </row>
    <row r="293">
      <c r="A293" s="30"/>
      <c r="B293" s="22" t="s">
        <v>229</v>
      </c>
      <c r="C293" s="22" t="s">
        <v>2397</v>
      </c>
      <c r="D293" s="22" t="s">
        <v>1069</v>
      </c>
      <c r="E293" s="22" t="s">
        <v>951</v>
      </c>
      <c r="F293" s="22" t="s">
        <v>1434</v>
      </c>
      <c r="G293" s="22" t="s">
        <v>2419</v>
      </c>
      <c r="H293" s="27"/>
    </row>
    <row r="294">
      <c r="A294" s="25"/>
      <c r="B294" s="22" t="s">
        <v>253</v>
      </c>
      <c r="C294" s="22" t="s">
        <v>2041</v>
      </c>
      <c r="D294" s="22" t="s">
        <v>1256</v>
      </c>
      <c r="E294" s="22" t="s">
        <v>654</v>
      </c>
      <c r="F294" s="22" t="s">
        <v>700</v>
      </c>
      <c r="G294" s="22" t="s">
        <v>238</v>
      </c>
      <c r="H294" s="31"/>
      <c r="I294" s="32"/>
    </row>
  </sheetData>
  <mergeCells count="112">
    <mergeCell ref="A43:A46"/>
    <mergeCell ref="A48:A49"/>
    <mergeCell ref="A54:A57"/>
    <mergeCell ref="A59:A60"/>
    <mergeCell ref="A65:A68"/>
    <mergeCell ref="A71:A72"/>
    <mergeCell ref="A77:A80"/>
    <mergeCell ref="A111:A114"/>
    <mergeCell ref="A116:A117"/>
    <mergeCell ref="A127:A128"/>
    <mergeCell ref="A139:A140"/>
    <mergeCell ref="A151:A152"/>
    <mergeCell ref="A162:A163"/>
    <mergeCell ref="A173:A174"/>
    <mergeCell ref="A263:A264"/>
    <mergeCell ref="A274:A275"/>
    <mergeCell ref="A285:A286"/>
    <mergeCell ref="A184:A185"/>
    <mergeCell ref="A195:A196"/>
    <mergeCell ref="A206:A207"/>
    <mergeCell ref="A217:A218"/>
    <mergeCell ref="A229:A230"/>
    <mergeCell ref="A241:A242"/>
    <mergeCell ref="A252:A253"/>
    <mergeCell ref="A157:A160"/>
    <mergeCell ref="A168:A171"/>
    <mergeCell ref="A133:A136"/>
    <mergeCell ref="A137:I137"/>
    <mergeCell ref="B138:H138"/>
    <mergeCell ref="A145:A148"/>
    <mergeCell ref="A149:I149"/>
    <mergeCell ref="B150:H150"/>
    <mergeCell ref="B161:H161"/>
    <mergeCell ref="A122:A125"/>
    <mergeCell ref="A179:A182"/>
    <mergeCell ref="A94:A95"/>
    <mergeCell ref="A100:A103"/>
    <mergeCell ref="B104:H104"/>
    <mergeCell ref="A105:A106"/>
    <mergeCell ref="B115:H115"/>
    <mergeCell ref="B126:H126"/>
    <mergeCell ref="B172:H172"/>
    <mergeCell ref="B183:H183"/>
    <mergeCell ref="H195:I204"/>
    <mergeCell ref="H206:I215"/>
    <mergeCell ref="H162:I171"/>
    <mergeCell ref="H173:I182"/>
    <mergeCell ref="H184:I193"/>
    <mergeCell ref="A190:A193"/>
    <mergeCell ref="B194:H194"/>
    <mergeCell ref="A201:A204"/>
    <mergeCell ref="B205:H205"/>
    <mergeCell ref="A212:A215"/>
    <mergeCell ref="B216:H216"/>
    <mergeCell ref="H217:I226"/>
    <mergeCell ref="A223:A226"/>
    <mergeCell ref="A227:I227"/>
    <mergeCell ref="B228:H228"/>
    <mergeCell ref="H229:I238"/>
    <mergeCell ref="A235:A238"/>
    <mergeCell ref="A239:I239"/>
    <mergeCell ref="B240:H240"/>
    <mergeCell ref="H241:I250"/>
    <mergeCell ref="A247:A250"/>
    <mergeCell ref="B251:H251"/>
    <mergeCell ref="H252:I261"/>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A92:I92"/>
    <mergeCell ref="B93:H93"/>
    <mergeCell ref="H4:I13"/>
    <mergeCell ref="H15:I24"/>
    <mergeCell ref="H26:I35"/>
    <mergeCell ref="H37:I46"/>
    <mergeCell ref="H48:I57"/>
    <mergeCell ref="H59:I68"/>
    <mergeCell ref="H71:I80"/>
    <mergeCell ref="H82:I91"/>
    <mergeCell ref="H94:I103"/>
    <mergeCell ref="H105:I114"/>
    <mergeCell ref="H116:I125"/>
    <mergeCell ref="H127:I136"/>
    <mergeCell ref="H139:I148"/>
    <mergeCell ref="H151:I160"/>
    <mergeCell ref="H274:I283"/>
    <mergeCell ref="H285:I294"/>
    <mergeCell ref="A258:A261"/>
    <mergeCell ref="B262:H262"/>
    <mergeCell ref="H263:I272"/>
    <mergeCell ref="A269:A272"/>
    <mergeCell ref="B273:H273"/>
    <mergeCell ref="A280:A283"/>
    <mergeCell ref="B284:H284"/>
    <mergeCell ref="A291:A294"/>
  </mergeCells>
  <conditionalFormatting sqref="A1">
    <cfRule type="notContainsBlanks" dxfId="3" priority="1">
      <formula>LEN(TRIM(A1))&gt;0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8"/>
      <c r="B1" s="49"/>
      <c r="C1" s="32"/>
      <c r="D1" s="32"/>
      <c r="E1" s="32"/>
      <c r="F1" s="32"/>
      <c r="G1" s="32"/>
      <c r="H1" s="25"/>
      <c r="I1" s="50"/>
    </row>
    <row r="2">
      <c r="A2" s="8" t="s">
        <v>2276</v>
      </c>
      <c r="B2" s="9"/>
      <c r="C2" s="9"/>
      <c r="D2" s="9"/>
      <c r="E2" s="9"/>
      <c r="F2" s="9"/>
      <c r="G2" s="9"/>
      <c r="H2" s="9"/>
      <c r="I2" s="34"/>
    </row>
    <row r="3">
      <c r="A3" s="10" t="s">
        <v>5</v>
      </c>
      <c r="B3" s="11" t="s">
        <v>2279</v>
      </c>
      <c r="C3" s="9"/>
      <c r="D3" s="9"/>
      <c r="E3" s="9"/>
      <c r="F3" s="9"/>
      <c r="G3" s="9"/>
      <c r="H3" s="9"/>
      <c r="I3" s="10"/>
    </row>
    <row r="4" ht="60.0" customHeight="1">
      <c r="A4" s="15" t="s">
        <v>16</v>
      </c>
      <c r="B4" s="22" t="str">
        <f t="array" ref="B4">iferror(VLOOKUP(INDIRECT(ADDRESS(ROW()+1,COLUMN(), 4)),Dex!$A$2:$C449,3,false),"")</f>
        <v/>
      </c>
      <c r="C4" s="22" t="str">
        <f t="array" ref="C4">iferror(VLOOKUP(INDIRECT(ADDRESS(ROW()+1,COLUMN(), 4)),Dex!$A$2:$C449,3,false),"")</f>
        <v/>
      </c>
      <c r="D4" s="22" t="str">
        <f t="array" ref="D4">iferror(VLOOKUP(INDIRECT(ADDRESS(ROW()+1,COLUMN(), 4)),Dex!$A$2:$C449,3,false),"")</f>
        <v/>
      </c>
      <c r="E4" s="22" t="str">
        <f t="array" ref="E4">iferror(VLOOKUP(INDIRECT(ADDRESS(ROW()+1,COLUMN(), 4)),Dex!$A$2:$C449,3,false),"")</f>
        <v/>
      </c>
      <c r="F4" s="22" t="str">
        <f t="array" ref="F4">iferror(VLOOKUP(INDIRECT(ADDRESS(ROW()+1,COLUMN(), 4)),Dex!$A$2:$C449,3,false),"")</f>
        <v/>
      </c>
      <c r="G4" s="22" t="str">
        <f t="array" ref="G4">iferror(VLOOKUP(INDIRECT(ADDRESS(ROW()+1,COLUMN(), 4)),Dex!$A$2:$C449,3,false),"")</f>
        <v/>
      </c>
      <c r="H4" s="23" t="str">
        <f t="array" ref="H4">iferror(VLOOKUP("TRAINER_PIC_Magma_Grunt_F",Sprites!$A$1:$B449,2,false),"")</f>
        <v/>
      </c>
      <c r="I4" s="24"/>
    </row>
    <row r="5">
      <c r="A5" s="25"/>
      <c r="B5" s="26" t="s">
        <v>296</v>
      </c>
      <c r="C5" s="26" t="s">
        <v>1243</v>
      </c>
      <c r="D5" s="26" t="s">
        <v>1046</v>
      </c>
      <c r="E5" s="26" t="s">
        <v>847</v>
      </c>
      <c r="F5" s="26"/>
      <c r="G5" s="26"/>
      <c r="H5" s="27"/>
    </row>
    <row r="6">
      <c r="A6" s="10" t="s">
        <v>199</v>
      </c>
      <c r="B6" s="22">
        <v>60.0</v>
      </c>
      <c r="C6" s="22">
        <v>61.0</v>
      </c>
      <c r="D6" s="22">
        <v>61.0</v>
      </c>
      <c r="E6" s="22">
        <v>61.0</v>
      </c>
      <c r="F6" s="22"/>
      <c r="G6" s="22"/>
      <c r="H6" s="27"/>
    </row>
    <row r="7">
      <c r="A7" s="10" t="s">
        <v>201</v>
      </c>
      <c r="B7" s="29" t="s">
        <v>2323</v>
      </c>
      <c r="C7" s="29" t="s">
        <v>2033</v>
      </c>
      <c r="D7" s="29" t="s">
        <v>2323</v>
      </c>
      <c r="E7" s="29" t="s">
        <v>779</v>
      </c>
      <c r="F7" s="29"/>
      <c r="G7" s="29"/>
      <c r="H7" s="27"/>
    </row>
    <row r="8">
      <c r="A8" s="10" t="s">
        <v>209</v>
      </c>
      <c r="B8" s="22" t="s">
        <v>1060</v>
      </c>
      <c r="C8" s="22" t="s">
        <v>1950</v>
      </c>
      <c r="D8" s="22" t="s">
        <v>1060</v>
      </c>
      <c r="E8" s="22" t="s">
        <v>1950</v>
      </c>
      <c r="F8" s="22"/>
      <c r="G8" s="22"/>
      <c r="H8" s="27"/>
    </row>
    <row r="9">
      <c r="A9" s="10" t="s">
        <v>215</v>
      </c>
      <c r="B9" s="29" t="s">
        <v>231</v>
      </c>
      <c r="C9" s="29" t="s">
        <v>222</v>
      </c>
      <c r="D9" s="29" t="s">
        <v>231</v>
      </c>
      <c r="E9" s="29" t="s">
        <v>220</v>
      </c>
      <c r="F9" s="29"/>
      <c r="G9" s="29"/>
      <c r="H9" s="27"/>
    </row>
    <row r="10">
      <c r="A10" s="15" t="s">
        <v>224</v>
      </c>
      <c r="B10" s="22" t="s">
        <v>1952</v>
      </c>
      <c r="C10" s="22" t="s">
        <v>1958</v>
      </c>
      <c r="D10" s="22" t="s">
        <v>931</v>
      </c>
      <c r="E10" s="22" t="s">
        <v>356</v>
      </c>
      <c r="F10" s="22"/>
      <c r="G10" s="22"/>
      <c r="H10" s="27"/>
    </row>
    <row r="11">
      <c r="A11" s="30"/>
      <c r="B11" s="22" t="s">
        <v>2327</v>
      </c>
      <c r="C11" s="22" t="s">
        <v>1955</v>
      </c>
      <c r="D11" s="22" t="s">
        <v>1454</v>
      </c>
      <c r="E11" s="22" t="s">
        <v>1460</v>
      </c>
      <c r="F11" s="22"/>
      <c r="G11" s="22"/>
      <c r="H11" s="27"/>
    </row>
    <row r="12">
      <c r="A12" s="30"/>
      <c r="B12" s="22" t="s">
        <v>567</v>
      </c>
      <c r="C12" s="22" t="s">
        <v>2328</v>
      </c>
      <c r="D12" s="22" t="s">
        <v>549</v>
      </c>
      <c r="E12" s="22" t="s">
        <v>1954</v>
      </c>
      <c r="F12" s="22"/>
      <c r="G12" s="22"/>
      <c r="H12" s="27"/>
    </row>
    <row r="13">
      <c r="A13" s="25"/>
      <c r="B13" s="22" t="s">
        <v>924</v>
      </c>
      <c r="C13" s="22" t="s">
        <v>560</v>
      </c>
      <c r="D13" s="22" t="s">
        <v>1952</v>
      </c>
      <c r="E13" s="22" t="s">
        <v>1454</v>
      </c>
      <c r="F13" s="22"/>
      <c r="G13" s="22"/>
      <c r="H13" s="31"/>
      <c r="I13" s="32"/>
    </row>
    <row r="14">
      <c r="A14" s="10" t="s">
        <v>5</v>
      </c>
      <c r="B14" s="11" t="s">
        <v>2333</v>
      </c>
      <c r="C14" s="9"/>
      <c r="D14" s="9"/>
      <c r="E14" s="9"/>
      <c r="F14" s="9"/>
      <c r="G14" s="9"/>
      <c r="H14" s="9"/>
      <c r="I14" s="10"/>
    </row>
    <row r="15" ht="60.0" customHeight="1">
      <c r="A15" s="15" t="s">
        <v>16</v>
      </c>
      <c r="B15" s="22" t="str">
        <f t="array" ref="B15">iferror(VLOOKUP(INDIRECT(ADDRESS(ROW()+1,COLUMN(), 4)),Dex!$A$2:$C449,3,false),"")</f>
        <v/>
      </c>
      <c r="C15" s="22" t="str">
        <f t="array" ref="C15">iferror(VLOOKUP(INDIRECT(ADDRESS(ROW()+1,COLUMN(), 4)),Dex!$A$2:$C449,3,false),"")</f>
        <v/>
      </c>
      <c r="D15" s="22" t="str">
        <f t="array" ref="D15">iferror(VLOOKUP(INDIRECT(ADDRESS(ROW()+1,COLUMN(), 4)),Dex!$A$2:$C449,3,false),"")</f>
        <v/>
      </c>
      <c r="E15" s="22" t="str">
        <f t="array" ref="E15">iferror(VLOOKUP(INDIRECT(ADDRESS(ROW()+1,COLUMN(), 4)),Dex!$A$2:$C449,3,false),"")</f>
        <v/>
      </c>
      <c r="F15" s="22" t="str">
        <f t="array" ref="F15">iferror(VLOOKUP(INDIRECT(ADDRESS(ROW()+1,COLUMN(), 4)),Dex!$A$2:$C449,3,false),"")</f>
        <v/>
      </c>
      <c r="G15" s="22" t="str">
        <f t="array" ref="G15">iferror(VLOOKUP(INDIRECT(ADDRESS(ROW()+1,COLUMN(), 4)),Dex!$A$2:$C449,3,false),"")</f>
        <v/>
      </c>
      <c r="H15" s="23" t="str">
        <f t="array" ref="H15">iferror(VLOOKUP("TRAINER_PIC_Magma_Grunt_M",Sprites!$A$1:$B449,2,false),"")</f>
        <v/>
      </c>
      <c r="I15" s="24"/>
    </row>
    <row r="16">
      <c r="A16" s="25"/>
      <c r="B16" s="26" t="s">
        <v>783</v>
      </c>
      <c r="C16" s="26" t="s">
        <v>335</v>
      </c>
      <c r="D16" s="26" t="s">
        <v>1857</v>
      </c>
      <c r="E16" s="26" t="s">
        <v>1080</v>
      </c>
      <c r="F16" s="26"/>
      <c r="G16" s="26"/>
      <c r="H16" s="27"/>
    </row>
    <row r="17">
      <c r="A17" s="10" t="s">
        <v>199</v>
      </c>
      <c r="B17" s="22">
        <v>61.0</v>
      </c>
      <c r="C17" s="22">
        <v>61.0</v>
      </c>
      <c r="D17" s="22">
        <v>62.0</v>
      </c>
      <c r="E17" s="22">
        <v>62.0</v>
      </c>
      <c r="F17" s="22"/>
      <c r="G17" s="22"/>
      <c r="H17" s="27"/>
    </row>
    <row r="18">
      <c r="A18" s="10" t="s">
        <v>201</v>
      </c>
      <c r="B18" s="29" t="s">
        <v>2323</v>
      </c>
      <c r="C18" s="29" t="s">
        <v>2351</v>
      </c>
      <c r="D18" s="29" t="s">
        <v>645</v>
      </c>
      <c r="E18" s="29" t="s">
        <v>1332</v>
      </c>
      <c r="F18" s="29"/>
      <c r="G18" s="29"/>
      <c r="H18" s="27"/>
    </row>
    <row r="19">
      <c r="A19" s="10" t="s">
        <v>209</v>
      </c>
      <c r="B19" s="22" t="s">
        <v>2353</v>
      </c>
      <c r="C19" s="22" t="s">
        <v>1950</v>
      </c>
      <c r="D19" s="22" t="s">
        <v>2354</v>
      </c>
      <c r="E19" s="22" t="s">
        <v>2355</v>
      </c>
      <c r="F19" s="22"/>
      <c r="G19" s="22"/>
      <c r="H19" s="27"/>
    </row>
    <row r="20">
      <c r="A20" s="10" t="s">
        <v>215</v>
      </c>
      <c r="B20" s="29" t="s">
        <v>222</v>
      </c>
      <c r="C20" s="29" t="s">
        <v>419</v>
      </c>
      <c r="D20" s="29" t="s">
        <v>220</v>
      </c>
      <c r="E20" s="29" t="s">
        <v>419</v>
      </c>
      <c r="F20" s="29"/>
      <c r="G20" s="29"/>
      <c r="H20" s="27"/>
    </row>
    <row r="21">
      <c r="A21" s="15" t="s">
        <v>224</v>
      </c>
      <c r="B21" s="22" t="s">
        <v>361</v>
      </c>
      <c r="C21" s="22" t="s">
        <v>1958</v>
      </c>
      <c r="D21" s="22" t="s">
        <v>2214</v>
      </c>
      <c r="E21" s="22" t="s">
        <v>246</v>
      </c>
      <c r="F21" s="22"/>
      <c r="G21" s="22"/>
      <c r="H21" s="27"/>
    </row>
    <row r="22">
      <c r="A22" s="30"/>
      <c r="B22" s="22" t="s">
        <v>1366</v>
      </c>
      <c r="C22" s="22" t="s">
        <v>920</v>
      </c>
      <c r="D22" s="22" t="s">
        <v>1163</v>
      </c>
      <c r="E22" s="22" t="s">
        <v>358</v>
      </c>
      <c r="F22" s="22"/>
      <c r="G22" s="22"/>
      <c r="H22" s="27"/>
    </row>
    <row r="23">
      <c r="A23" s="30"/>
      <c r="B23" s="22" t="s">
        <v>246</v>
      </c>
      <c r="C23" s="22" t="s">
        <v>1952</v>
      </c>
      <c r="D23" s="22" t="s">
        <v>2357</v>
      </c>
      <c r="E23" s="22" t="s">
        <v>1347</v>
      </c>
      <c r="F23" s="22"/>
      <c r="G23" s="22"/>
      <c r="H23" s="27"/>
    </row>
    <row r="24">
      <c r="A24" s="25"/>
      <c r="B24" s="22" t="s">
        <v>1958</v>
      </c>
      <c r="C24" s="22" t="s">
        <v>1366</v>
      </c>
      <c r="D24" s="22" t="s">
        <v>1848</v>
      </c>
      <c r="E24" s="22" t="s">
        <v>589</v>
      </c>
      <c r="F24" s="22"/>
      <c r="G24" s="22"/>
      <c r="H24" s="31"/>
      <c r="I24" s="32"/>
    </row>
    <row r="25">
      <c r="A25" s="10" t="s">
        <v>5</v>
      </c>
      <c r="B25" s="11" t="s">
        <v>2358</v>
      </c>
      <c r="C25" s="9"/>
      <c r="D25" s="9"/>
      <c r="E25" s="9"/>
      <c r="F25" s="9"/>
      <c r="G25" s="9"/>
      <c r="H25" s="9"/>
      <c r="I25" s="10"/>
    </row>
    <row r="26" ht="60.0" customHeight="1">
      <c r="A26" s="15" t="s">
        <v>16</v>
      </c>
      <c r="B26" s="22" t="str">
        <f t="array" ref="B26">iferror(VLOOKUP(INDIRECT(ADDRESS(ROW()+1,COLUMN(), 4)),Dex!$A$2:$C449,3,false),"")</f>
        <v/>
      </c>
      <c r="C26" s="22" t="str">
        <f t="array" ref="C26">iferror(VLOOKUP(INDIRECT(ADDRESS(ROW()+1,COLUMN(), 4)),Dex!$A$2:$C449,3,false),"")</f>
        <v/>
      </c>
      <c r="D26" s="22" t="str">
        <f t="array" ref="D26">iferror(VLOOKUP(INDIRECT(ADDRESS(ROW()+1,COLUMN(), 4)),Dex!$A$2:$C449,3,false),"")</f>
        <v/>
      </c>
      <c r="E26" s="22" t="str">
        <f t="array" ref="E26">iferror(VLOOKUP(INDIRECT(ADDRESS(ROW()+1,COLUMN(), 4)),Dex!$A$2:$C449,3,false),"")</f>
        <v/>
      </c>
      <c r="F26" s="22" t="str">
        <f t="array" ref="F26">iferror(VLOOKUP(INDIRECT(ADDRESS(ROW()+1,COLUMN(), 4)),Dex!$A$2:$C449,3,false),"")</f>
        <v/>
      </c>
      <c r="G26" s="22" t="str">
        <f t="array" ref="G26">iferror(VLOOKUP(INDIRECT(ADDRESS(ROW()+1,COLUMN(), 4)),Dex!$A$2:$C449,3,false),"")</f>
        <v/>
      </c>
      <c r="H26" s="23" t="str">
        <f t="array" ref="H26">iferror(VLOOKUP("TRAINER_PIC_Magma_Grunt_F",Sprites!$A$1:$B449,2,false),"")</f>
        <v/>
      </c>
      <c r="I26" s="24"/>
    </row>
    <row r="27">
      <c r="A27" s="25"/>
      <c r="B27" s="26" t="s">
        <v>180</v>
      </c>
      <c r="C27" s="26" t="s">
        <v>2364</v>
      </c>
      <c r="D27" s="26" t="s">
        <v>370</v>
      </c>
      <c r="E27" s="26" t="s">
        <v>1189</v>
      </c>
      <c r="F27" s="26"/>
      <c r="G27" s="26"/>
      <c r="H27" s="27"/>
    </row>
    <row r="28">
      <c r="A28" s="10" t="s">
        <v>199</v>
      </c>
      <c r="B28" s="22">
        <v>61.0</v>
      </c>
      <c r="C28" s="22">
        <v>62.0</v>
      </c>
      <c r="D28" s="22">
        <v>61.0</v>
      </c>
      <c r="E28" s="22">
        <v>61.0</v>
      </c>
      <c r="F28" s="22"/>
      <c r="G28" s="22"/>
      <c r="H28" s="27"/>
    </row>
    <row r="29">
      <c r="A29" s="10" t="s">
        <v>201</v>
      </c>
      <c r="B29" s="29" t="s">
        <v>2365</v>
      </c>
      <c r="C29" s="29" t="s">
        <v>2366</v>
      </c>
      <c r="D29" s="29" t="s">
        <v>779</v>
      </c>
      <c r="E29" s="29" t="s">
        <v>2351</v>
      </c>
      <c r="F29" s="29"/>
      <c r="G29" s="29"/>
      <c r="H29" s="27"/>
    </row>
    <row r="30">
      <c r="A30" s="10" t="s">
        <v>209</v>
      </c>
      <c r="B30" s="22" t="s">
        <v>2367</v>
      </c>
      <c r="C30" s="22" t="s">
        <v>2368</v>
      </c>
      <c r="D30" s="22" t="s">
        <v>1123</v>
      </c>
      <c r="E30" s="22" t="s">
        <v>2369</v>
      </c>
      <c r="F30" s="22"/>
      <c r="G30" s="22"/>
      <c r="H30" s="27"/>
    </row>
    <row r="31">
      <c r="A31" s="10" t="s">
        <v>215</v>
      </c>
      <c r="B31" s="29" t="s">
        <v>231</v>
      </c>
      <c r="C31" s="29" t="s">
        <v>222</v>
      </c>
      <c r="D31" s="29" t="s">
        <v>220</v>
      </c>
      <c r="E31" s="29" t="s">
        <v>419</v>
      </c>
      <c r="F31" s="29"/>
      <c r="G31" s="29"/>
      <c r="H31" s="27"/>
    </row>
    <row r="32">
      <c r="A32" s="15" t="s">
        <v>224</v>
      </c>
      <c r="B32" s="22" t="s">
        <v>2022</v>
      </c>
      <c r="C32" s="22" t="s">
        <v>2370</v>
      </c>
      <c r="D32" s="22" t="s">
        <v>2268</v>
      </c>
      <c r="E32" s="22" t="s">
        <v>246</v>
      </c>
      <c r="F32" s="22"/>
      <c r="G32" s="22"/>
      <c r="H32" s="27"/>
    </row>
    <row r="33">
      <c r="A33" s="30"/>
      <c r="B33" s="22" t="s">
        <v>1224</v>
      </c>
      <c r="C33" s="22"/>
      <c r="D33" s="22" t="s">
        <v>361</v>
      </c>
      <c r="E33" s="22" t="s">
        <v>1759</v>
      </c>
      <c r="F33" s="22"/>
      <c r="G33" s="22"/>
      <c r="H33" s="27"/>
    </row>
    <row r="34">
      <c r="A34" s="30"/>
      <c r="B34" s="22" t="s">
        <v>811</v>
      </c>
      <c r="C34" s="22"/>
      <c r="D34" s="22" t="s">
        <v>1798</v>
      </c>
      <c r="E34" s="22" t="s">
        <v>1036</v>
      </c>
      <c r="F34" s="22"/>
      <c r="G34" s="22"/>
      <c r="H34" s="27"/>
    </row>
    <row r="35">
      <c r="A35" s="25"/>
      <c r="B35" s="22" t="s">
        <v>366</v>
      </c>
      <c r="C35" s="22"/>
      <c r="D35" s="22" t="s">
        <v>1127</v>
      </c>
      <c r="E35" s="22" t="s">
        <v>253</v>
      </c>
      <c r="F35" s="22"/>
      <c r="G35" s="22"/>
      <c r="H35" s="31"/>
      <c r="I35" s="32"/>
    </row>
    <row r="36">
      <c r="A36" s="10" t="s">
        <v>5</v>
      </c>
      <c r="B36" s="11" t="s">
        <v>2375</v>
      </c>
      <c r="C36" s="9"/>
      <c r="D36" s="9"/>
      <c r="E36" s="9"/>
      <c r="F36" s="9"/>
      <c r="G36" s="9"/>
      <c r="H36" s="9"/>
      <c r="I36" s="10"/>
    </row>
    <row r="37" ht="60.0" customHeight="1">
      <c r="A37" s="15" t="s">
        <v>16</v>
      </c>
      <c r="B37" s="22" t="str">
        <f t="array" ref="B37">iferror(VLOOKUP(INDIRECT(ADDRESS(ROW()+1,COLUMN(), 4)),Dex!$A$2:$C449,3,false),"")</f>
        <v/>
      </c>
      <c r="C37" s="22" t="str">
        <f t="array" ref="C37">iferror(VLOOKUP(INDIRECT(ADDRESS(ROW()+1,COLUMN(), 4)),Dex!$A$2:$C449,3,false),"")</f>
        <v/>
      </c>
      <c r="D37" s="22" t="str">
        <f t="array" ref="D37">iferror(VLOOKUP(INDIRECT(ADDRESS(ROW()+1,COLUMN(), 4)),Dex!$A$2:$C449,3,false),"")</f>
        <v/>
      </c>
      <c r="E37" s="22" t="str">
        <f t="array" ref="E37">iferror(VLOOKUP(INDIRECT(ADDRESS(ROW()+1,COLUMN(), 4)),Dex!$A$2:$C449,3,false),"")</f>
        <v/>
      </c>
      <c r="F37" s="22" t="str">
        <f t="array" ref="F37">iferror(VLOOKUP(INDIRECT(ADDRESS(ROW()+1,COLUMN(), 4)),Dex!$A$2:$C449,3,false),"")</f>
        <v/>
      </c>
      <c r="G37" s="22" t="str">
        <f t="array" ref="G37">iferror(VLOOKUP(INDIRECT(ADDRESS(ROW()+1,COLUMN(), 4)),Dex!$A$2:$C449,3,false),"")</f>
        <v/>
      </c>
      <c r="H37" s="23" t="str">
        <f t="array" ref="H37">iferror(VLOOKUP("TRAINER_PIC_Magma_Grunt_M",Sprites!$A$1:$B449,2,false),"")</f>
        <v/>
      </c>
      <c r="I37" s="24"/>
    </row>
    <row r="38">
      <c r="A38" s="25"/>
      <c r="B38" s="26" t="s">
        <v>997</v>
      </c>
      <c r="C38" s="26" t="s">
        <v>1892</v>
      </c>
      <c r="D38" s="26" t="s">
        <v>70</v>
      </c>
      <c r="E38" s="26" t="s">
        <v>1172</v>
      </c>
      <c r="F38" s="26"/>
      <c r="G38" s="26"/>
      <c r="H38" s="27"/>
    </row>
    <row r="39">
      <c r="A39" s="10" t="s">
        <v>199</v>
      </c>
      <c r="B39" s="22">
        <v>61.0</v>
      </c>
      <c r="C39" s="22">
        <v>62.0</v>
      </c>
      <c r="D39" s="22">
        <v>62.0</v>
      </c>
      <c r="E39" s="22">
        <v>62.0</v>
      </c>
      <c r="F39" s="22"/>
      <c r="G39" s="22"/>
      <c r="H39" s="27"/>
    </row>
    <row r="40">
      <c r="A40" s="10" t="s">
        <v>201</v>
      </c>
      <c r="B40" s="29" t="s">
        <v>2400</v>
      </c>
      <c r="C40" s="29" t="s">
        <v>645</v>
      </c>
      <c r="D40" s="29" t="s">
        <v>1635</v>
      </c>
      <c r="E40" s="29" t="s">
        <v>777</v>
      </c>
      <c r="F40" s="29"/>
      <c r="G40" s="29"/>
      <c r="H40" s="27"/>
    </row>
    <row r="41">
      <c r="A41" s="10" t="s">
        <v>209</v>
      </c>
      <c r="B41" s="22" t="s">
        <v>2401</v>
      </c>
      <c r="C41" s="22" t="s">
        <v>680</v>
      </c>
      <c r="D41" s="22" t="s">
        <v>2369</v>
      </c>
      <c r="E41" s="22" t="s">
        <v>1123</v>
      </c>
      <c r="F41" s="22"/>
      <c r="G41" s="22"/>
      <c r="H41" s="27"/>
    </row>
    <row r="42">
      <c r="A42" s="10" t="s">
        <v>215</v>
      </c>
      <c r="B42" s="29" t="s">
        <v>218</v>
      </c>
      <c r="C42" s="29" t="s">
        <v>542</v>
      </c>
      <c r="D42" s="29" t="s">
        <v>419</v>
      </c>
      <c r="E42" s="29" t="s">
        <v>220</v>
      </c>
      <c r="F42" s="29"/>
      <c r="G42" s="29"/>
      <c r="H42" s="27"/>
    </row>
    <row r="43">
      <c r="A43" s="15" t="s">
        <v>224</v>
      </c>
      <c r="B43" s="22" t="s">
        <v>246</v>
      </c>
      <c r="C43" s="22" t="s">
        <v>1159</v>
      </c>
      <c r="D43" s="22" t="s">
        <v>236</v>
      </c>
      <c r="E43" s="22" t="s">
        <v>2327</v>
      </c>
      <c r="F43" s="22"/>
      <c r="G43" s="22"/>
      <c r="H43" s="27"/>
    </row>
    <row r="44">
      <c r="A44" s="30"/>
      <c r="B44" s="22" t="s">
        <v>1224</v>
      </c>
      <c r="C44" s="22" t="s">
        <v>565</v>
      </c>
      <c r="D44" s="22" t="s">
        <v>1664</v>
      </c>
      <c r="E44" s="22" t="s">
        <v>1035</v>
      </c>
      <c r="F44" s="22"/>
      <c r="G44" s="22"/>
      <c r="H44" s="27"/>
    </row>
    <row r="45">
      <c r="A45" s="30"/>
      <c r="B45" s="22" t="s">
        <v>585</v>
      </c>
      <c r="C45" s="22" t="s">
        <v>476</v>
      </c>
      <c r="D45" s="22" t="s">
        <v>1354</v>
      </c>
      <c r="E45" s="22" t="s">
        <v>2268</v>
      </c>
      <c r="F45" s="22"/>
      <c r="G45" s="22"/>
      <c r="H45" s="27"/>
    </row>
    <row r="46">
      <c r="A46" s="25"/>
      <c r="B46" s="22" t="s">
        <v>1366</v>
      </c>
      <c r="C46" s="22" t="s">
        <v>555</v>
      </c>
      <c r="D46" s="22" t="s">
        <v>924</v>
      </c>
      <c r="E46" s="22" t="s">
        <v>1956</v>
      </c>
      <c r="F46" s="22"/>
      <c r="G46" s="22"/>
      <c r="H46" s="31"/>
      <c r="I46" s="32"/>
    </row>
    <row r="47">
      <c r="A47" s="10" t="s">
        <v>5</v>
      </c>
      <c r="B47" s="11" t="s">
        <v>2402</v>
      </c>
      <c r="C47" s="9"/>
      <c r="D47" s="9"/>
      <c r="E47" s="9"/>
      <c r="F47" s="9"/>
      <c r="G47" s="9"/>
      <c r="H47" s="9"/>
      <c r="I47" s="10"/>
    </row>
    <row r="48" ht="60.0" customHeight="1">
      <c r="A48" s="15" t="s">
        <v>16</v>
      </c>
      <c r="B48" s="22" t="str">
        <f t="array" ref="B48">iferror(VLOOKUP(INDIRECT(ADDRESS(ROW()+1,COLUMN(), 4)),Dex!$A$2:$C449,3,false),"")</f>
        <v/>
      </c>
      <c r="C48" s="22" t="str">
        <f t="array" ref="C48">iferror(VLOOKUP(INDIRECT(ADDRESS(ROW()+1,COLUMN(), 4)),Dex!$A$2:$C449,3,false),"")</f>
        <v/>
      </c>
      <c r="D48" s="22" t="str">
        <f t="array" ref="D48">iferror(VLOOKUP(INDIRECT(ADDRESS(ROW()+1,COLUMN(), 4)),Dex!$A$2:$C449,3,false),"")</f>
        <v/>
      </c>
      <c r="E48" s="22" t="str">
        <f t="array" ref="E48">iferror(VLOOKUP(INDIRECT(ADDRESS(ROW()+1,COLUMN(), 4)),Dex!$A$2:$C449,3,false),"")</f>
        <v/>
      </c>
      <c r="F48" s="22" t="str">
        <f t="array" ref="F48">iferror(VLOOKUP(INDIRECT(ADDRESS(ROW()+1,COLUMN(), 4)),Dex!$A$2:$C449,3,false),"")</f>
        <v/>
      </c>
      <c r="G48" s="22" t="str">
        <f t="array" ref="G48">iferror(VLOOKUP(INDIRECT(ADDRESS(ROW()+1,COLUMN(), 4)),Dex!$A$2:$C449,3,false),"")</f>
        <v/>
      </c>
      <c r="H48" s="23" t="str">
        <f t="array" ref="H48">iferror(VLOOKUP("TRAINER_PIC_Magma_Grunt_F",Sprites!$A$1:$B449,2,false),"")</f>
        <v/>
      </c>
      <c r="I48" s="24"/>
    </row>
    <row r="49">
      <c r="A49" s="25"/>
      <c r="B49" s="26" t="s">
        <v>1392</v>
      </c>
      <c r="C49" s="26" t="s">
        <v>176</v>
      </c>
      <c r="D49" s="26" t="s">
        <v>2067</v>
      </c>
      <c r="E49" s="26" t="s">
        <v>297</v>
      </c>
      <c r="F49" s="26" t="s">
        <v>123</v>
      </c>
      <c r="G49" s="26"/>
      <c r="H49" s="27"/>
    </row>
    <row r="50">
      <c r="A50" s="10" t="s">
        <v>199</v>
      </c>
      <c r="B50" s="22">
        <v>63.0</v>
      </c>
      <c r="C50" s="22">
        <v>62.0</v>
      </c>
      <c r="D50" s="22">
        <v>63.0</v>
      </c>
      <c r="E50" s="22">
        <v>63.0</v>
      </c>
      <c r="F50" s="22">
        <v>64.0</v>
      </c>
      <c r="G50" s="22"/>
      <c r="H50" s="27"/>
    </row>
    <row r="51">
      <c r="A51" s="10" t="s">
        <v>201</v>
      </c>
      <c r="B51" s="29" t="s">
        <v>1456</v>
      </c>
      <c r="C51" s="29" t="s">
        <v>2430</v>
      </c>
      <c r="D51" s="29" t="s">
        <v>1054</v>
      </c>
      <c r="E51" s="29" t="s">
        <v>455</v>
      </c>
      <c r="F51" s="29" t="s">
        <v>2431</v>
      </c>
      <c r="G51" s="29"/>
      <c r="H51" s="27"/>
    </row>
    <row r="52">
      <c r="A52" s="10" t="s">
        <v>209</v>
      </c>
      <c r="B52" s="22" t="s">
        <v>212</v>
      </c>
      <c r="C52" s="22" t="s">
        <v>352</v>
      </c>
      <c r="D52" s="22" t="s">
        <v>1059</v>
      </c>
      <c r="E52" s="22" t="s">
        <v>2432</v>
      </c>
      <c r="F52" s="22" t="s">
        <v>683</v>
      </c>
      <c r="G52" s="22"/>
      <c r="H52" s="27"/>
    </row>
    <row r="53">
      <c r="A53" s="10" t="s">
        <v>215</v>
      </c>
      <c r="B53" s="29" t="s">
        <v>220</v>
      </c>
      <c r="C53" s="29" t="s">
        <v>419</v>
      </c>
      <c r="D53" s="29" t="s">
        <v>220</v>
      </c>
      <c r="E53" s="29" t="s">
        <v>231</v>
      </c>
      <c r="F53" s="29" t="s">
        <v>419</v>
      </c>
      <c r="G53" s="29"/>
      <c r="H53" s="27"/>
    </row>
    <row r="54">
      <c r="A54" s="15" t="s">
        <v>224</v>
      </c>
      <c r="B54" s="22" t="s">
        <v>2357</v>
      </c>
      <c r="C54" s="22" t="s">
        <v>357</v>
      </c>
      <c r="D54" s="22" t="s">
        <v>1538</v>
      </c>
      <c r="E54" s="22" t="s">
        <v>796</v>
      </c>
      <c r="F54" s="22" t="s">
        <v>2115</v>
      </c>
      <c r="G54" s="22"/>
      <c r="H54" s="27"/>
    </row>
    <row r="55">
      <c r="A55" s="30"/>
      <c r="B55" s="22" t="s">
        <v>698</v>
      </c>
      <c r="C55" s="22" t="s">
        <v>234</v>
      </c>
      <c r="D55" s="22" t="s">
        <v>1541</v>
      </c>
      <c r="E55" s="22" t="s">
        <v>799</v>
      </c>
      <c r="F55" s="22" t="s">
        <v>236</v>
      </c>
      <c r="G55" s="22"/>
      <c r="H55" s="27"/>
    </row>
    <row r="56">
      <c r="A56" s="30"/>
      <c r="B56" s="22" t="s">
        <v>951</v>
      </c>
      <c r="C56" s="22" t="s">
        <v>361</v>
      </c>
      <c r="D56" s="22" t="s">
        <v>2217</v>
      </c>
      <c r="E56" s="22" t="s">
        <v>552</v>
      </c>
      <c r="F56" s="22" t="s">
        <v>1354</v>
      </c>
      <c r="G56" s="22"/>
      <c r="H56" s="27"/>
    </row>
    <row r="57">
      <c r="A57" s="25"/>
      <c r="B57" s="22" t="s">
        <v>702</v>
      </c>
      <c r="C57" s="22" t="s">
        <v>246</v>
      </c>
      <c r="D57" s="22" t="s">
        <v>817</v>
      </c>
      <c r="E57" s="22" t="s">
        <v>549</v>
      </c>
      <c r="F57" s="22" t="s">
        <v>2309</v>
      </c>
      <c r="G57" s="22"/>
      <c r="H57" s="31"/>
      <c r="I57" s="32"/>
    </row>
    <row r="58">
      <c r="A58" s="10" t="s">
        <v>5</v>
      </c>
      <c r="B58" s="11" t="s">
        <v>2433</v>
      </c>
      <c r="C58" s="9"/>
      <c r="D58" s="9"/>
      <c r="E58" s="9"/>
      <c r="F58" s="9"/>
      <c r="G58" s="9"/>
      <c r="H58" s="9"/>
      <c r="I58" s="10"/>
    </row>
    <row r="59" ht="60.0" customHeight="1">
      <c r="A59" s="15" t="s">
        <v>16</v>
      </c>
      <c r="B59" s="22" t="str">
        <f t="array" ref="B59">iferror(VLOOKUP(INDIRECT(ADDRESS(ROW()+1,COLUMN(), 4)),Dex!$A$2:$C449,3,false),"")</f>
        <v/>
      </c>
      <c r="C59" s="22" t="str">
        <f t="array" ref="C59">iferror(VLOOKUP(INDIRECT(ADDRESS(ROW()+1,COLUMN(), 4)),Dex!$A$2:$C449,3,false),"")</f>
        <v/>
      </c>
      <c r="D59" s="22" t="str">
        <f t="array" ref="D59">iferror(VLOOKUP(INDIRECT(ADDRESS(ROW()+1,COLUMN(), 4)),Dex!$A$2:$C449,3,false),"")</f>
        <v/>
      </c>
      <c r="E59" s="22" t="str">
        <f t="array" ref="E59">iferror(VLOOKUP(INDIRECT(ADDRESS(ROW()+1,COLUMN(), 4)),Dex!$A$2:$C449,3,false),"")</f>
        <v/>
      </c>
      <c r="F59" s="22" t="str">
        <f t="array" ref="F59">iferror(VLOOKUP(INDIRECT(ADDRESS(ROW()+1,COLUMN(), 4)),Dex!$A$2:$C449,3,false),"")</f>
        <v/>
      </c>
      <c r="G59" s="22" t="str">
        <f t="array" ref="G59">iferror(VLOOKUP(INDIRECT(ADDRESS(ROW()+1,COLUMN(), 4)),Dex!$A$2:$C449,3,false),"")</f>
        <v/>
      </c>
      <c r="H59" s="23" t="str">
        <f t="array" ref="H59">iferror(VLOOKUP("TRAINER_PIC_Magma_Admin_F",Sprites!$A$1:$B449,2,false),"")</f>
        <v/>
      </c>
      <c r="I59" s="24"/>
    </row>
    <row r="60">
      <c r="A60" s="25"/>
      <c r="B60" s="26" t="s">
        <v>782</v>
      </c>
      <c r="C60" s="26" t="s">
        <v>336</v>
      </c>
      <c r="D60" s="26" t="s">
        <v>315</v>
      </c>
      <c r="E60" s="26" t="s">
        <v>470</v>
      </c>
      <c r="F60" s="26" t="s">
        <v>846</v>
      </c>
      <c r="G60" s="26" t="s">
        <v>2454</v>
      </c>
      <c r="H60" s="27"/>
    </row>
    <row r="61">
      <c r="A61" s="10" t="s">
        <v>199</v>
      </c>
      <c r="B61" s="22">
        <v>63.0</v>
      </c>
      <c r="C61" s="22">
        <v>63.0</v>
      </c>
      <c r="D61" s="22">
        <v>63.0</v>
      </c>
      <c r="E61" s="22">
        <v>64.0</v>
      </c>
      <c r="F61" s="22">
        <v>63.0</v>
      </c>
      <c r="G61" s="22">
        <v>66.0</v>
      </c>
      <c r="H61" s="27"/>
    </row>
    <row r="62">
      <c r="A62" s="10" t="s">
        <v>201</v>
      </c>
      <c r="B62" s="29" t="s">
        <v>2455</v>
      </c>
      <c r="C62" s="29" t="s">
        <v>455</v>
      </c>
      <c r="D62" s="29" t="s">
        <v>1015</v>
      </c>
      <c r="E62" s="29" t="s">
        <v>1928</v>
      </c>
      <c r="F62" s="29" t="s">
        <v>451</v>
      </c>
      <c r="G62" s="29" t="s">
        <v>1148</v>
      </c>
      <c r="H62" s="27"/>
    </row>
    <row r="63">
      <c r="A63" s="10" t="s">
        <v>209</v>
      </c>
      <c r="B63" s="22" t="s">
        <v>352</v>
      </c>
      <c r="C63" s="22" t="s">
        <v>1528</v>
      </c>
      <c r="D63" s="22" t="s">
        <v>2456</v>
      </c>
      <c r="E63" s="22" t="s">
        <v>1060</v>
      </c>
      <c r="F63" s="22" t="s">
        <v>2377</v>
      </c>
      <c r="G63" s="22" t="s">
        <v>2368</v>
      </c>
      <c r="H63" s="27"/>
    </row>
    <row r="64">
      <c r="A64" s="10" t="s">
        <v>215</v>
      </c>
      <c r="B64" s="29" t="s">
        <v>906</v>
      </c>
      <c r="C64" s="29" t="s">
        <v>222</v>
      </c>
      <c r="D64" s="29" t="s">
        <v>220</v>
      </c>
      <c r="E64" s="29" t="s">
        <v>419</v>
      </c>
      <c r="F64" s="29" t="s">
        <v>542</v>
      </c>
      <c r="G64" s="29" t="s">
        <v>231</v>
      </c>
      <c r="H64" s="27"/>
    </row>
    <row r="65">
      <c r="A65" s="15" t="s">
        <v>224</v>
      </c>
      <c r="B65" s="22" t="s">
        <v>361</v>
      </c>
      <c r="C65" s="22" t="s">
        <v>246</v>
      </c>
      <c r="D65" s="22" t="s">
        <v>1366</v>
      </c>
      <c r="E65" s="22" t="s">
        <v>1958</v>
      </c>
      <c r="F65" s="22" t="s">
        <v>924</v>
      </c>
      <c r="G65" s="22" t="s">
        <v>951</v>
      </c>
      <c r="H65" s="27"/>
    </row>
    <row r="66">
      <c r="A66" s="30"/>
      <c r="B66" s="22" t="s">
        <v>2457</v>
      </c>
      <c r="C66" s="22" t="s">
        <v>467</v>
      </c>
      <c r="D66" s="22" t="s">
        <v>1224</v>
      </c>
      <c r="E66" s="22" t="s">
        <v>232</v>
      </c>
      <c r="F66" s="22" t="s">
        <v>1560</v>
      </c>
      <c r="G66" s="22" t="s">
        <v>1163</v>
      </c>
      <c r="H66" s="27"/>
    </row>
    <row r="67">
      <c r="A67" s="30"/>
      <c r="B67" s="22" t="s">
        <v>357</v>
      </c>
      <c r="C67" s="22" t="s">
        <v>805</v>
      </c>
      <c r="D67" s="22" t="s">
        <v>811</v>
      </c>
      <c r="E67" s="22" t="s">
        <v>246</v>
      </c>
      <c r="F67" s="22" t="s">
        <v>2175</v>
      </c>
      <c r="G67" s="22" t="s">
        <v>2406</v>
      </c>
      <c r="H67" s="27"/>
    </row>
    <row r="68">
      <c r="A68" s="25"/>
      <c r="B68" s="22" t="s">
        <v>793</v>
      </c>
      <c r="C68" s="22" t="s">
        <v>2397</v>
      </c>
      <c r="D68" s="22" t="s">
        <v>463</v>
      </c>
      <c r="E68" s="22" t="s">
        <v>1354</v>
      </c>
      <c r="F68" s="22" t="s">
        <v>1716</v>
      </c>
      <c r="G68" s="22" t="s">
        <v>2439</v>
      </c>
      <c r="H68" s="31"/>
      <c r="I68" s="32"/>
    </row>
    <row r="69">
      <c r="A69" s="8" t="s">
        <v>2458</v>
      </c>
      <c r="B69" s="9"/>
      <c r="C69" s="9"/>
      <c r="D69" s="9"/>
      <c r="E69" s="9"/>
      <c r="F69" s="9"/>
      <c r="G69" s="9"/>
      <c r="H69" s="9"/>
      <c r="I69" s="34"/>
    </row>
    <row r="70">
      <c r="A70" s="10" t="s">
        <v>5</v>
      </c>
      <c r="B70" s="11" t="s">
        <v>2459</v>
      </c>
      <c r="C70" s="9"/>
      <c r="D70" s="9"/>
      <c r="E70" s="9"/>
      <c r="F70" s="9"/>
      <c r="G70" s="9"/>
      <c r="H70" s="9"/>
      <c r="I70" s="10"/>
    </row>
    <row r="71" ht="60.0" customHeight="1">
      <c r="A71" s="15" t="s">
        <v>16</v>
      </c>
      <c r="B71" s="22" t="str">
        <f t="array" ref="B71">iferror(VLOOKUP(INDIRECT(ADDRESS(ROW()+1,COLUMN(), 4)),Dex!$A$2:$C449,3,false),"")</f>
        <v/>
      </c>
      <c r="C71" s="22" t="str">
        <f t="array" ref="C71">iferror(VLOOKUP(INDIRECT(ADDRESS(ROW()+1,COLUMN(), 4)),Dex!$A$2:$C449,3,false),"")</f>
        <v/>
      </c>
      <c r="D71" s="22" t="str">
        <f t="array" ref="D71">iferror(VLOOKUP(INDIRECT(ADDRESS(ROW()+1,COLUMN(), 4)),Dex!$A$2:$C449,3,false),"")</f>
        <v/>
      </c>
      <c r="E71" s="22" t="str">
        <f t="array" ref="E71">iferror(VLOOKUP(INDIRECT(ADDRESS(ROW()+1,COLUMN(), 4)),Dex!$A$2:$C449,3,false),"")</f>
        <v/>
      </c>
      <c r="F71" s="22" t="str">
        <f t="array" ref="F71">iferror(VLOOKUP(INDIRECT(ADDRESS(ROW()+1,COLUMN(), 4)),Dex!$A$2:$C449,3,false),"")</f>
        <v/>
      </c>
      <c r="G71" s="22" t="str">
        <f t="array" ref="G71">iferror(VLOOKUP(INDIRECT(ADDRESS(ROW()+1,COLUMN(), 4)),Dex!$A$2:$C449,3,false),"")</f>
        <v/>
      </c>
      <c r="H71" s="23" t="str">
        <f t="array" ref="H71">iferror(VLOOKUP("TRAINER_PIC_Psychic_F",Sprites!$A$1:$B449,2,false),"")</f>
        <v/>
      </c>
      <c r="I71" s="24"/>
    </row>
    <row r="72">
      <c r="A72" s="25"/>
      <c r="B72" s="26" t="s">
        <v>833</v>
      </c>
      <c r="C72" s="26" t="s">
        <v>508</v>
      </c>
      <c r="D72" s="26" t="s">
        <v>2102</v>
      </c>
      <c r="E72" s="26" t="s">
        <v>1088</v>
      </c>
      <c r="F72" s="26"/>
      <c r="G72" s="26"/>
      <c r="H72" s="27"/>
    </row>
    <row r="73">
      <c r="A73" s="10" t="s">
        <v>199</v>
      </c>
      <c r="B73" s="22">
        <v>63.0</v>
      </c>
      <c r="C73" s="22">
        <v>63.0</v>
      </c>
      <c r="D73" s="22">
        <v>64.0</v>
      </c>
      <c r="E73" s="22">
        <v>64.0</v>
      </c>
      <c r="F73" s="22"/>
      <c r="G73" s="22"/>
      <c r="H73" s="27"/>
    </row>
    <row r="74">
      <c r="A74" s="10" t="s">
        <v>201</v>
      </c>
      <c r="B74" s="29" t="s">
        <v>544</v>
      </c>
      <c r="C74" s="29" t="s">
        <v>2474</v>
      </c>
      <c r="D74" s="29" t="s">
        <v>1446</v>
      </c>
      <c r="E74" s="29" t="s">
        <v>455</v>
      </c>
      <c r="F74" s="29"/>
      <c r="G74" s="29"/>
      <c r="H74" s="27"/>
    </row>
    <row r="75">
      <c r="A75" s="10" t="s">
        <v>209</v>
      </c>
      <c r="B75" s="22" t="s">
        <v>413</v>
      </c>
      <c r="C75" s="22" t="s">
        <v>348</v>
      </c>
      <c r="D75" s="22" t="s">
        <v>2325</v>
      </c>
      <c r="E75" s="22" t="s">
        <v>681</v>
      </c>
      <c r="F75" s="22"/>
      <c r="G75" s="22"/>
      <c r="H75" s="27"/>
    </row>
    <row r="76">
      <c r="A76" s="10" t="s">
        <v>215</v>
      </c>
      <c r="B76" s="29" t="s">
        <v>1343</v>
      </c>
      <c r="C76" s="29" t="s">
        <v>419</v>
      </c>
      <c r="D76" s="29" t="s">
        <v>222</v>
      </c>
      <c r="E76" s="29" t="s">
        <v>231</v>
      </c>
      <c r="F76" s="29"/>
      <c r="G76" s="29"/>
      <c r="H76" s="27"/>
    </row>
    <row r="77">
      <c r="A77" s="15" t="s">
        <v>224</v>
      </c>
      <c r="B77" s="22" t="s">
        <v>361</v>
      </c>
      <c r="C77" s="22" t="s">
        <v>2115</v>
      </c>
      <c r="D77" s="22" t="s">
        <v>465</v>
      </c>
      <c r="E77" s="22" t="s">
        <v>695</v>
      </c>
      <c r="F77" s="22"/>
      <c r="G77" s="22"/>
      <c r="H77" s="27"/>
    </row>
    <row r="78">
      <c r="A78" s="30"/>
      <c r="B78" s="22" t="s">
        <v>2476</v>
      </c>
      <c r="C78" s="22"/>
      <c r="D78" s="22" t="s">
        <v>1442</v>
      </c>
      <c r="E78" s="22" t="s">
        <v>2450</v>
      </c>
      <c r="F78" s="22"/>
      <c r="G78" s="22"/>
      <c r="H78" s="27"/>
    </row>
    <row r="79">
      <c r="A79" s="30"/>
      <c r="B79" s="22" t="s">
        <v>356</v>
      </c>
      <c r="C79" s="22"/>
      <c r="D79" s="22" t="s">
        <v>1545</v>
      </c>
      <c r="E79" s="22" t="s">
        <v>1788</v>
      </c>
      <c r="F79" s="22"/>
      <c r="G79" s="22"/>
      <c r="H79" s="27"/>
    </row>
    <row r="80">
      <c r="A80" s="25"/>
      <c r="B80" s="22" t="s">
        <v>920</v>
      </c>
      <c r="C80" s="22"/>
      <c r="D80" s="22" t="s">
        <v>805</v>
      </c>
      <c r="E80" s="22" t="s">
        <v>1791</v>
      </c>
      <c r="F80" s="22"/>
      <c r="G80" s="22"/>
      <c r="H80" s="31"/>
      <c r="I80" s="32"/>
    </row>
    <row r="81">
      <c r="A81" s="10" t="s">
        <v>5</v>
      </c>
      <c r="B81" s="11" t="s">
        <v>2477</v>
      </c>
      <c r="C81" s="9"/>
      <c r="D81" s="9"/>
      <c r="E81" s="9"/>
      <c r="F81" s="9"/>
      <c r="G81" s="9"/>
      <c r="H81" s="9"/>
      <c r="I81" s="10"/>
    </row>
    <row r="82" ht="60.0" customHeight="1">
      <c r="A82" s="15" t="s">
        <v>16</v>
      </c>
      <c r="B82" s="22" t="str">
        <f t="array" ref="B82">iferror(VLOOKUP(INDIRECT(ADDRESS(ROW()+1,COLUMN(), 4)),Dex!$A$2:$C449,3,false),"")</f>
        <v/>
      </c>
      <c r="C82" s="22" t="str">
        <f t="array" ref="C82">iferror(VLOOKUP(INDIRECT(ADDRESS(ROW()+1,COLUMN(), 4)),Dex!$A$2:$C449,3,false),"")</f>
        <v/>
      </c>
      <c r="D82" s="22" t="str">
        <f t="array" ref="D82">iferror(VLOOKUP(INDIRECT(ADDRESS(ROW()+1,COLUMN(), 4)),Dex!$A$2:$C449,3,false),"")</f>
        <v/>
      </c>
      <c r="E82" s="22" t="str">
        <f t="array" ref="E82">iferror(VLOOKUP(INDIRECT(ADDRESS(ROW()+1,COLUMN(), 4)),Dex!$A$2:$C449,3,false),"")</f>
        <v/>
      </c>
      <c r="F82" s="22" t="str">
        <f t="array" ref="F82">iferror(VLOOKUP(INDIRECT(ADDRESS(ROW()+1,COLUMN(), 4)),Dex!$A$2:$C449,3,false),"")</f>
        <v/>
      </c>
      <c r="G82" s="22" t="str">
        <f t="array" ref="G82">iferror(VLOOKUP(INDIRECT(ADDRESS(ROW()+1,COLUMN(), 4)),Dex!$A$2:$C449,3,false),"")</f>
        <v/>
      </c>
      <c r="H82" s="23" t="str">
        <f t="array" ref="H82">iferror(VLOOKUP("TRAINER_PIC_Cycling_Triathlete_F",Sprites!$A$1:$B449,2,false),"")</f>
        <v/>
      </c>
      <c r="I82" s="24"/>
    </row>
    <row r="83">
      <c r="A83" s="25"/>
      <c r="B83" s="26" t="s">
        <v>1839</v>
      </c>
      <c r="C83" s="26" t="s">
        <v>200</v>
      </c>
      <c r="D83" s="26" t="s">
        <v>310</v>
      </c>
      <c r="E83" s="26" t="s">
        <v>637</v>
      </c>
      <c r="F83" s="26"/>
      <c r="G83" s="26"/>
      <c r="H83" s="27"/>
    </row>
    <row r="84">
      <c r="A84" s="10" t="s">
        <v>199</v>
      </c>
      <c r="B84" s="22">
        <v>63.0</v>
      </c>
      <c r="C84" s="22">
        <v>63.0</v>
      </c>
      <c r="D84" s="22">
        <v>64.0</v>
      </c>
      <c r="E84" s="22">
        <v>64.0</v>
      </c>
      <c r="F84" s="22"/>
      <c r="G84" s="22"/>
      <c r="H84" s="27"/>
    </row>
    <row r="85">
      <c r="A85" s="10" t="s">
        <v>201</v>
      </c>
      <c r="B85" s="29" t="s">
        <v>2493</v>
      </c>
      <c r="C85" s="29" t="s">
        <v>2099</v>
      </c>
      <c r="D85" s="29" t="s">
        <v>408</v>
      </c>
      <c r="E85" s="29" t="s">
        <v>451</v>
      </c>
      <c r="F85" s="29"/>
      <c r="G85" s="29"/>
      <c r="H85" s="27"/>
    </row>
    <row r="86">
      <c r="A86" s="10" t="s">
        <v>209</v>
      </c>
      <c r="B86" s="22" t="s">
        <v>1124</v>
      </c>
      <c r="C86" s="22" t="s">
        <v>219</v>
      </c>
      <c r="D86" s="22" t="s">
        <v>2497</v>
      </c>
      <c r="E86" s="22" t="s">
        <v>219</v>
      </c>
      <c r="F86" s="22"/>
      <c r="G86" s="22"/>
      <c r="H86" s="27"/>
    </row>
    <row r="87">
      <c r="A87" s="10" t="s">
        <v>215</v>
      </c>
      <c r="B87" s="29" t="s">
        <v>220</v>
      </c>
      <c r="C87" s="29" t="s">
        <v>222</v>
      </c>
      <c r="D87" s="29" t="s">
        <v>231</v>
      </c>
      <c r="E87" s="29" t="s">
        <v>220</v>
      </c>
      <c r="F87" s="29"/>
      <c r="G87" s="29"/>
      <c r="H87" s="27"/>
    </row>
    <row r="88">
      <c r="A88" s="15" t="s">
        <v>224</v>
      </c>
      <c r="B88" s="22" t="s">
        <v>356</v>
      </c>
      <c r="C88" s="22" t="s">
        <v>365</v>
      </c>
      <c r="D88" s="22" t="s">
        <v>2501</v>
      </c>
      <c r="E88" s="22" t="s">
        <v>917</v>
      </c>
      <c r="F88" s="22"/>
      <c r="G88" s="22"/>
      <c r="H88" s="27"/>
    </row>
    <row r="89">
      <c r="A89" s="30"/>
      <c r="B89" s="22" t="s">
        <v>803</v>
      </c>
      <c r="C89" s="22" t="s">
        <v>355</v>
      </c>
      <c r="D89" s="22" t="s">
        <v>2502</v>
      </c>
      <c r="E89" s="22" t="s">
        <v>1666</v>
      </c>
      <c r="F89" s="22"/>
      <c r="G89" s="22"/>
      <c r="H89" s="27"/>
    </row>
    <row r="90">
      <c r="A90" s="30"/>
      <c r="B90" s="22" t="s">
        <v>555</v>
      </c>
      <c r="C90" s="22" t="s">
        <v>805</v>
      </c>
      <c r="D90" s="22" t="s">
        <v>1798</v>
      </c>
      <c r="E90" s="22" t="s">
        <v>801</v>
      </c>
      <c r="F90" s="22"/>
      <c r="G90" s="22"/>
      <c r="H90" s="27"/>
    </row>
    <row r="91">
      <c r="A91" s="25"/>
      <c r="B91" s="22" t="s">
        <v>1666</v>
      </c>
      <c r="C91" s="22" t="s">
        <v>2318</v>
      </c>
      <c r="D91" s="22" t="s">
        <v>226</v>
      </c>
      <c r="E91" s="22" t="s">
        <v>1033</v>
      </c>
      <c r="F91" s="22"/>
      <c r="G91" s="22"/>
      <c r="H91" s="31"/>
      <c r="I91" s="32"/>
    </row>
    <row r="92">
      <c r="A92" s="10" t="s">
        <v>5</v>
      </c>
      <c r="B92" s="11" t="s">
        <v>2504</v>
      </c>
      <c r="C92" s="9"/>
      <c r="D92" s="9"/>
      <c r="E92" s="9"/>
      <c r="F92" s="9"/>
      <c r="G92" s="9"/>
      <c r="H92" s="9"/>
      <c r="I92" s="10"/>
    </row>
    <row r="93" ht="60.0" customHeight="1">
      <c r="A93" s="15" t="s">
        <v>16</v>
      </c>
      <c r="B93" s="22" t="str">
        <f t="array" ref="B93">iferror(VLOOKUP(INDIRECT(ADDRESS(ROW()+1,COLUMN(), 4)),Dex!$A$2:$C449,3,false),"")</f>
        <v/>
      </c>
      <c r="C93" s="22" t="str">
        <f t="array" ref="C93">iferror(VLOOKUP(INDIRECT(ADDRESS(ROW()+1,COLUMN(), 4)),Dex!$A$2:$C449,3,false),"")</f>
        <v/>
      </c>
      <c r="D93" s="22" t="str">
        <f t="array" ref="D93">iferror(VLOOKUP(INDIRECT(ADDRESS(ROW()+1,COLUMN(), 4)),Dex!$A$2:$C449,3,false),"")</f>
        <v/>
      </c>
      <c r="E93" s="22" t="str">
        <f t="array" ref="E93">iferror(VLOOKUP(INDIRECT(ADDRESS(ROW()+1,COLUMN(), 4)),Dex!$A$2:$C449,3,false),"")</f>
        <v/>
      </c>
      <c r="F93" s="22" t="str">
        <f t="array" ref="F93">iferror(VLOOKUP(INDIRECT(ADDRESS(ROW()+1,COLUMN(), 4)),Dex!$A$2:$C449,3,false),"")</f>
        <v/>
      </c>
      <c r="G93" s="22" t="str">
        <f t="array" ref="G93">iferror(VLOOKUP(INDIRECT(ADDRESS(ROW()+1,COLUMN(), 4)),Dex!$A$2:$C449,3,false),"")</f>
        <v/>
      </c>
      <c r="H93" s="23" t="str">
        <f t="array" ref="H93">iferror(VLOOKUP("TRAINER_PIC_Cycling_Triathlete_M",Sprites!$A$1:$B449,2,false),"")</f>
        <v/>
      </c>
      <c r="I93" s="24"/>
    </row>
    <row r="94">
      <c r="A94" s="25"/>
      <c r="B94" s="26" t="s">
        <v>1901</v>
      </c>
      <c r="C94" s="26" t="s">
        <v>625</v>
      </c>
      <c r="D94" s="26" t="s">
        <v>156</v>
      </c>
      <c r="E94" s="26" t="s">
        <v>188</v>
      </c>
      <c r="F94" s="26" t="s">
        <v>163</v>
      </c>
      <c r="G94" s="26"/>
      <c r="H94" s="27"/>
    </row>
    <row r="95">
      <c r="A95" s="10" t="s">
        <v>199</v>
      </c>
      <c r="B95" s="22">
        <v>63.0</v>
      </c>
      <c r="C95" s="22">
        <v>63.0</v>
      </c>
      <c r="D95" s="22">
        <v>64.0</v>
      </c>
      <c r="E95" s="22">
        <v>63.0</v>
      </c>
      <c r="F95" s="22">
        <v>64.0</v>
      </c>
      <c r="G95" s="22"/>
      <c r="H95" s="27"/>
    </row>
    <row r="96">
      <c r="A96" s="10" t="s">
        <v>201</v>
      </c>
      <c r="B96" s="29" t="s">
        <v>344</v>
      </c>
      <c r="C96" s="29" t="s">
        <v>1342</v>
      </c>
      <c r="D96" s="29" t="s">
        <v>2519</v>
      </c>
      <c r="E96" s="29" t="s">
        <v>2520</v>
      </c>
      <c r="F96" s="29" t="s">
        <v>2521</v>
      </c>
      <c r="G96" s="29"/>
      <c r="H96" s="27"/>
    </row>
    <row r="97">
      <c r="A97" s="10" t="s">
        <v>209</v>
      </c>
      <c r="B97" s="22" t="s">
        <v>2522</v>
      </c>
      <c r="C97" s="22" t="s">
        <v>1459</v>
      </c>
      <c r="D97" s="22" t="s">
        <v>2445</v>
      </c>
      <c r="E97" s="22" t="s">
        <v>2523</v>
      </c>
      <c r="F97" s="22" t="s">
        <v>1284</v>
      </c>
      <c r="G97" s="22"/>
      <c r="H97" s="27"/>
    </row>
    <row r="98">
      <c r="A98" s="10" t="s">
        <v>215</v>
      </c>
      <c r="B98" s="29" t="s">
        <v>904</v>
      </c>
      <c r="C98" s="29" t="s">
        <v>231</v>
      </c>
      <c r="D98" s="29" t="s">
        <v>542</v>
      </c>
      <c r="E98" s="29" t="s">
        <v>419</v>
      </c>
      <c r="F98" s="29" t="s">
        <v>419</v>
      </c>
      <c r="G98" s="29"/>
      <c r="H98" s="27"/>
    </row>
    <row r="99">
      <c r="A99" s="15" t="s">
        <v>224</v>
      </c>
      <c r="B99" s="22" t="s">
        <v>2406</v>
      </c>
      <c r="C99" s="22" t="s">
        <v>241</v>
      </c>
      <c r="D99" s="22" t="s">
        <v>241</v>
      </c>
      <c r="E99" s="22" t="s">
        <v>234</v>
      </c>
      <c r="F99" s="22" t="s">
        <v>238</v>
      </c>
      <c r="G99" s="22"/>
      <c r="H99" s="27"/>
    </row>
    <row r="100">
      <c r="A100" s="30"/>
      <c r="B100" s="22" t="s">
        <v>946</v>
      </c>
      <c r="C100" s="22" t="s">
        <v>2047</v>
      </c>
      <c r="D100" s="22" t="s">
        <v>573</v>
      </c>
      <c r="E100" s="22" t="s">
        <v>697</v>
      </c>
      <c r="F100" s="22" t="s">
        <v>654</v>
      </c>
      <c r="G100" s="22"/>
      <c r="H100" s="27"/>
    </row>
    <row r="101">
      <c r="A101" s="30"/>
      <c r="B101" s="22" t="s">
        <v>950</v>
      </c>
      <c r="C101" s="22" t="s">
        <v>700</v>
      </c>
      <c r="D101" s="22" t="s">
        <v>1771</v>
      </c>
      <c r="E101" s="22" t="s">
        <v>240</v>
      </c>
      <c r="F101" s="22" t="s">
        <v>253</v>
      </c>
      <c r="G101" s="22"/>
      <c r="H101" s="27"/>
    </row>
    <row r="102">
      <c r="A102" s="25"/>
      <c r="B102" s="22" t="s">
        <v>1043</v>
      </c>
      <c r="C102" s="22" t="s">
        <v>1356</v>
      </c>
      <c r="D102" s="22" t="s">
        <v>477</v>
      </c>
      <c r="E102" s="22" t="s">
        <v>465</v>
      </c>
      <c r="F102" s="22" t="s">
        <v>1291</v>
      </c>
      <c r="G102" s="22"/>
      <c r="H102" s="31"/>
      <c r="I102" s="32"/>
    </row>
    <row r="103">
      <c r="A103" s="10" t="s">
        <v>5</v>
      </c>
      <c r="B103" s="11" t="s">
        <v>2524</v>
      </c>
      <c r="C103" s="9"/>
      <c r="D103" s="9"/>
      <c r="E103" s="9"/>
      <c r="F103" s="9"/>
      <c r="G103" s="9"/>
      <c r="H103" s="9"/>
      <c r="I103" s="10"/>
    </row>
    <row r="104" ht="60.0" customHeight="1">
      <c r="A104" s="15" t="s">
        <v>16</v>
      </c>
      <c r="B104" s="22" t="str">
        <f t="array" ref="B104">iferror(VLOOKUP(INDIRECT(ADDRESS(ROW()+1,COLUMN(), 4)),Dex!$A$2:$C449,3,false),"")</f>
        <v/>
      </c>
      <c r="C104" s="22" t="str">
        <f t="array" ref="C104">iferror(VLOOKUP(INDIRECT(ADDRESS(ROW()+1,COLUMN(), 4)),Dex!$A$2:$C449,3,false),"")</f>
        <v/>
      </c>
      <c r="D104" s="22" t="str">
        <f t="array" ref="D104">iferror(VLOOKUP(INDIRECT(ADDRESS(ROW()+1,COLUMN(), 4)),Dex!$A$2:$C449,3,false),"")</f>
        <v/>
      </c>
      <c r="E104" s="22" t="str">
        <f t="array" ref="E104">iferror(VLOOKUP(INDIRECT(ADDRESS(ROW()+1,COLUMN(), 4)),Dex!$A$2:$C449,3,false),"")</f>
        <v/>
      </c>
      <c r="F104" s="22" t="str">
        <f t="array" ref="F104">iferror(VLOOKUP(INDIRECT(ADDRESS(ROW()+1,COLUMN(), 4)),Dex!$A$2:$C449,3,false),"")</f>
        <v/>
      </c>
      <c r="G104" s="22" t="str">
        <f t="array" ref="G104">iferror(VLOOKUP(INDIRECT(ADDRESS(ROW()+1,COLUMN(), 4)),Dex!$A$2:$C449,3,false),"")</f>
        <v/>
      </c>
      <c r="H104" s="23" t="str">
        <f t="array" ref="H104">iferror(VLOOKUP("TRAINER_PIC_Cycling_Triathlete_F",Sprites!$A$1:$B449,2,false),"")</f>
        <v/>
      </c>
      <c r="I104" s="24"/>
    </row>
    <row r="105">
      <c r="A105" s="25"/>
      <c r="B105" s="26" t="s">
        <v>1240</v>
      </c>
      <c r="C105" s="26" t="s">
        <v>2151</v>
      </c>
      <c r="D105" s="26"/>
      <c r="E105" s="26" t="s">
        <v>850</v>
      </c>
      <c r="F105" s="26" t="s">
        <v>265</v>
      </c>
      <c r="G105" s="26" t="s">
        <v>1269</v>
      </c>
      <c r="H105" s="27"/>
    </row>
    <row r="106">
      <c r="A106" s="10" t="s">
        <v>199</v>
      </c>
      <c r="B106" s="22">
        <v>63.0</v>
      </c>
      <c r="C106" s="22">
        <v>65.0</v>
      </c>
      <c r="D106" s="22"/>
      <c r="E106" s="22">
        <v>63.0</v>
      </c>
      <c r="F106" s="22">
        <v>64.0</v>
      </c>
      <c r="G106" s="22">
        <v>64.0</v>
      </c>
      <c r="H106" s="27"/>
    </row>
    <row r="107">
      <c r="A107" s="10" t="s">
        <v>201</v>
      </c>
      <c r="B107" s="29" t="s">
        <v>2032</v>
      </c>
      <c r="C107" s="29" t="s">
        <v>2493</v>
      </c>
      <c r="D107" s="29"/>
      <c r="E107" s="29" t="s">
        <v>2032</v>
      </c>
      <c r="F107" s="29" t="s">
        <v>206</v>
      </c>
      <c r="G107" s="29" t="s">
        <v>2541</v>
      </c>
      <c r="H107" s="27"/>
    </row>
    <row r="108">
      <c r="A108" s="10" t="s">
        <v>209</v>
      </c>
      <c r="B108" s="22" t="s">
        <v>221</v>
      </c>
      <c r="C108" s="22" t="s">
        <v>2542</v>
      </c>
      <c r="D108" s="22"/>
      <c r="E108" s="22" t="s">
        <v>2543</v>
      </c>
      <c r="F108" s="22" t="s">
        <v>2543</v>
      </c>
      <c r="G108" s="22" t="s">
        <v>2543</v>
      </c>
      <c r="H108" s="27"/>
    </row>
    <row r="109">
      <c r="A109" s="10" t="s">
        <v>215</v>
      </c>
      <c r="B109" s="29" t="s">
        <v>419</v>
      </c>
      <c r="C109" s="29" t="s">
        <v>231</v>
      </c>
      <c r="D109" s="29"/>
      <c r="E109" s="29" t="s">
        <v>231</v>
      </c>
      <c r="F109" s="29" t="s">
        <v>231</v>
      </c>
      <c r="G109" s="29" t="s">
        <v>231</v>
      </c>
      <c r="H109" s="27"/>
    </row>
    <row r="110">
      <c r="A110" s="15" t="s">
        <v>224</v>
      </c>
      <c r="B110" s="22" t="s">
        <v>2544</v>
      </c>
      <c r="C110" s="22" t="s">
        <v>951</v>
      </c>
      <c r="D110" s="22"/>
      <c r="E110" s="22" t="s">
        <v>366</v>
      </c>
      <c r="F110" s="22" t="s">
        <v>249</v>
      </c>
      <c r="G110" s="22" t="s">
        <v>1033</v>
      </c>
      <c r="H110" s="27"/>
    </row>
    <row r="111">
      <c r="A111" s="30"/>
      <c r="B111" s="22" t="s">
        <v>2328</v>
      </c>
      <c r="C111" s="22" t="s">
        <v>1454</v>
      </c>
      <c r="D111" s="22"/>
      <c r="E111" s="22" t="s">
        <v>477</v>
      </c>
      <c r="F111" s="22" t="s">
        <v>2327</v>
      </c>
      <c r="G111" s="22" t="s">
        <v>477</v>
      </c>
      <c r="H111" s="27"/>
    </row>
    <row r="112">
      <c r="A112" s="30"/>
      <c r="B112" s="22" t="s">
        <v>697</v>
      </c>
      <c r="C112" s="22" t="s">
        <v>938</v>
      </c>
      <c r="D112" s="22"/>
      <c r="E112" s="22" t="s">
        <v>799</v>
      </c>
      <c r="F112" s="22" t="s">
        <v>1035</v>
      </c>
      <c r="G112" s="22" t="s">
        <v>1043</v>
      </c>
      <c r="H112" s="27"/>
    </row>
    <row r="113">
      <c r="A113" s="25"/>
      <c r="B113" s="22" t="s">
        <v>938</v>
      </c>
      <c r="C113" s="22" t="s">
        <v>2544</v>
      </c>
      <c r="D113" s="22"/>
      <c r="E113" s="22" t="s">
        <v>1352</v>
      </c>
      <c r="F113" s="22" t="s">
        <v>233</v>
      </c>
      <c r="G113" s="22" t="s">
        <v>1224</v>
      </c>
      <c r="H113" s="31"/>
      <c r="I113" s="32"/>
    </row>
    <row r="114">
      <c r="A114" s="10" t="s">
        <v>5</v>
      </c>
      <c r="B114" s="11" t="s">
        <v>2545</v>
      </c>
      <c r="C114" s="9"/>
      <c r="D114" s="9"/>
      <c r="E114" s="9"/>
      <c r="F114" s="9"/>
      <c r="G114" s="9"/>
      <c r="H114" s="9"/>
      <c r="I114" s="10"/>
    </row>
    <row r="115" ht="60.0" customHeight="1">
      <c r="A115" s="15" t="s">
        <v>16</v>
      </c>
      <c r="B115" s="22" t="str">
        <f t="array" ref="B115">iferror(VLOOKUP(INDIRECT(ADDRESS(ROW()+1,COLUMN(), 4)),Dex!$A$2:$C449,3,false),"")</f>
        <v/>
      </c>
      <c r="C115" s="22" t="str">
        <f t="array" ref="C115">iferror(VLOOKUP(INDIRECT(ADDRESS(ROW()+1,COLUMN(), 4)),Dex!$A$2:$C449,3,false),"")</f>
        <v/>
      </c>
      <c r="D115" s="22" t="str">
        <f t="array" ref="D115">iferror(VLOOKUP(INDIRECT(ADDRESS(ROW()+1,COLUMN(), 4)),Dex!$A$2:$C449,3,false),"")</f>
        <v/>
      </c>
      <c r="E115" s="22" t="str">
        <f t="array" ref="E115">iferror(VLOOKUP(INDIRECT(ADDRESS(ROW()+1,COLUMN(), 4)),Dex!$A$2:$C449,3,false),"")</f>
        <v/>
      </c>
      <c r="F115" s="22" t="str">
        <f t="array" ref="F115">iferror(VLOOKUP(INDIRECT(ADDRESS(ROW()+1,COLUMN(), 4)),Dex!$A$2:$C449,3,false),"")</f>
        <v/>
      </c>
      <c r="G115" s="22" t="str">
        <f t="array" ref="G115">iferror(VLOOKUP(INDIRECT(ADDRESS(ROW()+1,COLUMN(), 4)),Dex!$A$2:$C449,3,false),"")</f>
        <v/>
      </c>
      <c r="H115" s="23" t="str">
        <f t="array" ref="H115">iferror(VLOOKUP("TRAINER_PIC_Brendan",Sprites!$A$1:$B449,2,false),"")</f>
        <v/>
      </c>
      <c r="I115" s="24"/>
    </row>
    <row r="116">
      <c r="A116" s="25"/>
      <c r="B116" s="26" t="s">
        <v>490</v>
      </c>
      <c r="C116" s="26" t="s">
        <v>889</v>
      </c>
      <c r="D116" s="26" t="s">
        <v>888</v>
      </c>
      <c r="E116" s="26" t="s">
        <v>270</v>
      </c>
      <c r="F116" s="26" t="s">
        <v>1098</v>
      </c>
      <c r="G116" s="26" t="s">
        <v>893</v>
      </c>
      <c r="H116" s="27"/>
    </row>
    <row r="117">
      <c r="A117" s="10" t="s">
        <v>199</v>
      </c>
      <c r="B117" s="22">
        <v>65.0</v>
      </c>
      <c r="C117" s="22">
        <v>64.0</v>
      </c>
      <c r="D117" s="22">
        <v>64.0</v>
      </c>
      <c r="E117" s="22">
        <v>63.0</v>
      </c>
      <c r="F117" s="22">
        <v>63.0</v>
      </c>
      <c r="G117" s="22">
        <v>65.0</v>
      </c>
      <c r="H117" s="27"/>
    </row>
    <row r="118">
      <c r="A118" s="10" t="s">
        <v>201</v>
      </c>
      <c r="B118" s="29" t="s">
        <v>644</v>
      </c>
      <c r="C118" s="29" t="s">
        <v>343</v>
      </c>
      <c r="D118" s="29" t="s">
        <v>776</v>
      </c>
      <c r="E118" s="29" t="s">
        <v>890</v>
      </c>
      <c r="F118" s="29" t="s">
        <v>455</v>
      </c>
      <c r="G118" s="29" t="s">
        <v>451</v>
      </c>
      <c r="H118" s="27"/>
    </row>
    <row r="119">
      <c r="A119" s="10" t="s">
        <v>209</v>
      </c>
      <c r="B119" s="22" t="s">
        <v>2373</v>
      </c>
      <c r="C119" s="22" t="s">
        <v>2533</v>
      </c>
      <c r="D119" s="22" t="s">
        <v>910</v>
      </c>
      <c r="E119" s="22" t="s">
        <v>901</v>
      </c>
      <c r="F119" s="22" t="s">
        <v>413</v>
      </c>
      <c r="G119" s="22" t="s">
        <v>680</v>
      </c>
      <c r="H119" s="27"/>
    </row>
    <row r="120">
      <c r="A120" s="10" t="s">
        <v>215</v>
      </c>
      <c r="B120" s="29" t="s">
        <v>419</v>
      </c>
      <c r="C120" s="29" t="s">
        <v>218</v>
      </c>
      <c r="D120" s="29" t="s">
        <v>231</v>
      </c>
      <c r="E120" s="29" t="s">
        <v>220</v>
      </c>
      <c r="F120" s="29" t="s">
        <v>419</v>
      </c>
      <c r="G120" s="29" t="s">
        <v>220</v>
      </c>
      <c r="H120" s="27"/>
    </row>
    <row r="121">
      <c r="A121" s="15" t="s">
        <v>224</v>
      </c>
      <c r="B121" s="22" t="s">
        <v>361</v>
      </c>
      <c r="C121" s="22" t="s">
        <v>589</v>
      </c>
      <c r="D121" s="22" t="s">
        <v>2565</v>
      </c>
      <c r="E121" s="22" t="s">
        <v>552</v>
      </c>
      <c r="F121" s="22" t="s">
        <v>577</v>
      </c>
      <c r="G121" s="22" t="s">
        <v>801</v>
      </c>
      <c r="H121" s="27"/>
    </row>
    <row r="122">
      <c r="A122" s="30"/>
      <c r="B122" s="22" t="s">
        <v>920</v>
      </c>
      <c r="C122" s="22" t="s">
        <v>2566</v>
      </c>
      <c r="D122" s="22" t="s">
        <v>951</v>
      </c>
      <c r="E122" s="22" t="s">
        <v>463</v>
      </c>
      <c r="F122" s="22" t="s">
        <v>238</v>
      </c>
      <c r="G122" s="22" t="s">
        <v>2327</v>
      </c>
      <c r="H122" s="27"/>
    </row>
    <row r="123">
      <c r="A123" s="30"/>
      <c r="B123" s="22" t="s">
        <v>582</v>
      </c>
      <c r="C123" s="22" t="s">
        <v>945</v>
      </c>
      <c r="D123" s="22" t="s">
        <v>796</v>
      </c>
      <c r="E123" s="22" t="s">
        <v>476</v>
      </c>
      <c r="F123" s="22" t="s">
        <v>694</v>
      </c>
      <c r="G123" s="22" t="s">
        <v>549</v>
      </c>
      <c r="H123" s="27"/>
    </row>
    <row r="124">
      <c r="A124" s="25"/>
      <c r="B124" s="22" t="s">
        <v>2380</v>
      </c>
      <c r="C124" s="22" t="s">
        <v>700</v>
      </c>
      <c r="D124" s="22" t="s">
        <v>2220</v>
      </c>
      <c r="E124" s="22" t="s">
        <v>2110</v>
      </c>
      <c r="F124" s="22" t="s">
        <v>815</v>
      </c>
      <c r="G124" s="22" t="s">
        <v>567</v>
      </c>
      <c r="H124" s="31"/>
      <c r="I124" s="32"/>
    </row>
    <row r="125">
      <c r="A125" s="10" t="s">
        <v>5</v>
      </c>
      <c r="B125" s="11" t="s">
        <v>2567</v>
      </c>
      <c r="C125" s="9"/>
      <c r="D125" s="9"/>
      <c r="E125" s="9"/>
      <c r="F125" s="9"/>
      <c r="G125" s="9"/>
      <c r="H125" s="9"/>
      <c r="I125" s="10"/>
    </row>
    <row r="126" ht="60.0" customHeight="1">
      <c r="A126" s="15" t="s">
        <v>16</v>
      </c>
      <c r="B126" s="22" t="str">
        <f t="array" ref="B126">iferror(VLOOKUP(INDIRECT(ADDRESS(ROW()+1,COLUMN(), 4)),Dex!$A$2:$C449,3,false),"")</f>
        <v/>
      </c>
      <c r="C126" s="22" t="str">
        <f t="array" ref="C126">iferror(VLOOKUP(INDIRECT(ADDRESS(ROW()+1,COLUMN(), 4)),Dex!$A$2:$C449,3,false),"")</f>
        <v/>
      </c>
      <c r="D126" s="22" t="str">
        <f t="array" ref="D126">iferror(VLOOKUP(INDIRECT(ADDRESS(ROW()+1,COLUMN(), 4)),Dex!$A$2:$C449,3,false),"")</f>
        <v/>
      </c>
      <c r="E126" s="22" t="str">
        <f t="array" ref="E126">iferror(VLOOKUP(INDIRECT(ADDRESS(ROW()+1,COLUMN(), 4)),Dex!$A$2:$C449,3,false),"")</f>
        <v/>
      </c>
      <c r="F126" s="22" t="str">
        <f t="array" ref="F126">iferror(VLOOKUP(INDIRECT(ADDRESS(ROW()+1,COLUMN(), 4)),Dex!$A$2:$C449,3,false),"")</f>
        <v/>
      </c>
      <c r="G126" s="22" t="str">
        <f t="array" ref="G126">iferror(VLOOKUP(INDIRECT(ADDRESS(ROW()+1,COLUMN(), 4)),Dex!$A$2:$C449,3,false),"")</f>
        <v/>
      </c>
      <c r="H126" s="23" t="str">
        <f t="array" ref="H126">iferror(VLOOKUP("TRAINER_PIC_Brendan",Sprites!$A$1:$B449,2,false),"")</f>
        <v/>
      </c>
      <c r="I126" s="24"/>
    </row>
    <row r="127">
      <c r="A127" s="25"/>
      <c r="B127" s="26" t="s">
        <v>490</v>
      </c>
      <c r="C127" s="26" t="s">
        <v>889</v>
      </c>
      <c r="D127" s="26" t="s">
        <v>1009</v>
      </c>
      <c r="E127" s="26" t="s">
        <v>1237</v>
      </c>
      <c r="F127" s="26" t="s">
        <v>1097</v>
      </c>
      <c r="G127" s="26" t="s">
        <v>893</v>
      </c>
      <c r="H127" s="27"/>
    </row>
    <row r="128">
      <c r="A128" s="10" t="s">
        <v>199</v>
      </c>
      <c r="B128" s="22">
        <v>65.0</v>
      </c>
      <c r="C128" s="22">
        <v>64.0</v>
      </c>
      <c r="D128" s="22">
        <v>64.0</v>
      </c>
      <c r="E128" s="22">
        <v>63.0</v>
      </c>
      <c r="F128" s="22">
        <v>63.0</v>
      </c>
      <c r="G128" s="22">
        <v>65.0</v>
      </c>
      <c r="H128" s="27"/>
    </row>
    <row r="129">
      <c r="A129" s="10" t="s">
        <v>201</v>
      </c>
      <c r="B129" s="29" t="s">
        <v>644</v>
      </c>
      <c r="C129" s="29" t="s">
        <v>343</v>
      </c>
      <c r="D129" s="29" t="s">
        <v>776</v>
      </c>
      <c r="E129" s="29" t="s">
        <v>2588</v>
      </c>
      <c r="F129" s="29" t="s">
        <v>455</v>
      </c>
      <c r="G129" s="29" t="s">
        <v>451</v>
      </c>
      <c r="H129" s="27"/>
    </row>
    <row r="130">
      <c r="A130" s="10" t="s">
        <v>209</v>
      </c>
      <c r="B130" s="22" t="s">
        <v>2373</v>
      </c>
      <c r="C130" s="22" t="s">
        <v>2533</v>
      </c>
      <c r="D130" s="22" t="s">
        <v>910</v>
      </c>
      <c r="E130" s="22" t="s">
        <v>1244</v>
      </c>
      <c r="F130" s="22" t="s">
        <v>413</v>
      </c>
      <c r="G130" s="22" t="s">
        <v>680</v>
      </c>
      <c r="H130" s="27"/>
    </row>
    <row r="131">
      <c r="A131" s="10" t="s">
        <v>215</v>
      </c>
      <c r="B131" s="29" t="s">
        <v>419</v>
      </c>
      <c r="C131" s="29" t="s">
        <v>218</v>
      </c>
      <c r="D131" s="29" t="s">
        <v>218</v>
      </c>
      <c r="E131" s="29" t="s">
        <v>222</v>
      </c>
      <c r="F131" s="29" t="s">
        <v>564</v>
      </c>
      <c r="G131" s="29" t="s">
        <v>220</v>
      </c>
      <c r="H131" s="27"/>
    </row>
    <row r="132">
      <c r="A132" s="15" t="s">
        <v>224</v>
      </c>
      <c r="B132" s="22" t="s">
        <v>361</v>
      </c>
      <c r="C132" s="22" t="s">
        <v>589</v>
      </c>
      <c r="D132" s="22" t="s">
        <v>2512</v>
      </c>
      <c r="E132" s="22" t="s">
        <v>1873</v>
      </c>
      <c r="F132" s="22" t="s">
        <v>2332</v>
      </c>
      <c r="G132" s="22" t="s">
        <v>801</v>
      </c>
      <c r="H132" s="27"/>
    </row>
    <row r="133">
      <c r="A133" s="30"/>
      <c r="B133" s="22" t="s">
        <v>920</v>
      </c>
      <c r="C133" s="22" t="s">
        <v>2566</v>
      </c>
      <c r="D133" s="22" t="s">
        <v>585</v>
      </c>
      <c r="E133" s="22" t="s">
        <v>357</v>
      </c>
      <c r="F133" s="22" t="s">
        <v>238</v>
      </c>
      <c r="G133" s="22" t="s">
        <v>1125</v>
      </c>
      <c r="H133" s="27"/>
    </row>
    <row r="134">
      <c r="A134" s="30"/>
      <c r="B134" s="22" t="s">
        <v>582</v>
      </c>
      <c r="C134" s="22" t="s">
        <v>945</v>
      </c>
      <c r="D134" s="22" t="s">
        <v>253</v>
      </c>
      <c r="E134" s="22" t="s">
        <v>926</v>
      </c>
      <c r="F134" s="22" t="s">
        <v>424</v>
      </c>
      <c r="G134" s="22" t="s">
        <v>549</v>
      </c>
      <c r="H134" s="27"/>
    </row>
    <row r="135">
      <c r="A135" s="25"/>
      <c r="B135" s="22" t="s">
        <v>2380</v>
      </c>
      <c r="C135" s="22" t="s">
        <v>555</v>
      </c>
      <c r="D135" s="22" t="s">
        <v>234</v>
      </c>
      <c r="E135" s="22" t="s">
        <v>2318</v>
      </c>
      <c r="F135" s="22" t="s">
        <v>428</v>
      </c>
      <c r="G135" s="22" t="s">
        <v>567</v>
      </c>
      <c r="H135" s="31"/>
      <c r="I135" s="32"/>
    </row>
    <row r="136">
      <c r="A136" s="10" t="s">
        <v>5</v>
      </c>
      <c r="B136" s="11" t="s">
        <v>2589</v>
      </c>
      <c r="C136" s="9"/>
      <c r="D136" s="9"/>
      <c r="E136" s="9"/>
      <c r="F136" s="9"/>
      <c r="G136" s="9"/>
      <c r="H136" s="9"/>
      <c r="I136" s="10"/>
    </row>
    <row r="137" ht="60.0" customHeight="1">
      <c r="A137" s="15" t="s">
        <v>16</v>
      </c>
      <c r="B137" s="22" t="str">
        <f t="array" ref="B137">iferror(VLOOKUP(INDIRECT(ADDRESS(ROW()+1,COLUMN(), 4)),Dex!$A$2:$C449,3,false),"")</f>
        <v/>
      </c>
      <c r="C137" s="22" t="str">
        <f t="array" ref="C137">iferror(VLOOKUP(INDIRECT(ADDRESS(ROW()+1,COLUMN(), 4)),Dex!$A$2:$C449,3,false),"")</f>
        <v/>
      </c>
      <c r="D137" s="22" t="str">
        <f t="array" ref="D137">iferror(VLOOKUP(INDIRECT(ADDRESS(ROW()+1,COLUMN(), 4)),Dex!$A$2:$C449,3,false),"")</f>
        <v/>
      </c>
      <c r="E137" s="22" t="str">
        <f t="array" ref="E137">iferror(VLOOKUP(INDIRECT(ADDRESS(ROW()+1,COLUMN(), 4)),Dex!$A$2:$C449,3,false),"")</f>
        <v/>
      </c>
      <c r="F137" s="22" t="str">
        <f t="array" ref="F137">iferror(VLOOKUP(INDIRECT(ADDRESS(ROW()+1,COLUMN(), 4)),Dex!$A$2:$C449,3,false),"")</f>
        <v/>
      </c>
      <c r="G137" s="22" t="str">
        <f t="array" ref="G137">iferror(VLOOKUP(INDIRECT(ADDRESS(ROW()+1,COLUMN(), 4)),Dex!$A$2:$C449,3,false),"")</f>
        <v/>
      </c>
      <c r="H137" s="23" t="str">
        <f t="array" ref="H137">iferror(VLOOKUP("TRAINER_PIC_Brendan",Sprites!$A$1:$B449,2,false),"")</f>
        <v/>
      </c>
      <c r="I137" s="24"/>
    </row>
    <row r="138">
      <c r="A138" s="25"/>
      <c r="B138" s="26" t="s">
        <v>490</v>
      </c>
      <c r="C138" s="26" t="s">
        <v>889</v>
      </c>
      <c r="D138" s="26" t="s">
        <v>1142</v>
      </c>
      <c r="E138" s="26" t="s">
        <v>1476</v>
      </c>
      <c r="F138" s="26" t="s">
        <v>1100</v>
      </c>
      <c r="G138" s="26" t="s">
        <v>893</v>
      </c>
      <c r="H138" s="27"/>
    </row>
    <row r="139">
      <c r="A139" s="10" t="s">
        <v>199</v>
      </c>
      <c r="B139" s="22">
        <v>65.0</v>
      </c>
      <c r="C139" s="22">
        <v>64.0</v>
      </c>
      <c r="D139" s="22">
        <v>64.0</v>
      </c>
      <c r="E139" s="22">
        <v>63.0</v>
      </c>
      <c r="F139" s="22">
        <v>63.0</v>
      </c>
      <c r="G139" s="22">
        <v>65.0</v>
      </c>
      <c r="H139" s="27"/>
    </row>
    <row r="140">
      <c r="A140" s="10" t="s">
        <v>201</v>
      </c>
      <c r="B140" s="29" t="s">
        <v>644</v>
      </c>
      <c r="C140" s="29" t="s">
        <v>343</v>
      </c>
      <c r="D140" s="29" t="s">
        <v>776</v>
      </c>
      <c r="E140" s="29" t="s">
        <v>1928</v>
      </c>
      <c r="F140" s="29" t="s">
        <v>455</v>
      </c>
      <c r="G140" s="29" t="s">
        <v>451</v>
      </c>
      <c r="H140" s="27"/>
    </row>
    <row r="141">
      <c r="A141" s="10" t="s">
        <v>209</v>
      </c>
      <c r="B141" s="22" t="s">
        <v>2373</v>
      </c>
      <c r="C141" s="22" t="s">
        <v>2533</v>
      </c>
      <c r="D141" s="22" t="s">
        <v>910</v>
      </c>
      <c r="E141" s="22" t="s">
        <v>1641</v>
      </c>
      <c r="F141" s="22" t="s">
        <v>413</v>
      </c>
      <c r="G141" s="22" t="s">
        <v>680</v>
      </c>
      <c r="H141" s="27"/>
    </row>
    <row r="142">
      <c r="A142" s="10" t="s">
        <v>215</v>
      </c>
      <c r="B142" s="29" t="s">
        <v>419</v>
      </c>
      <c r="C142" s="29" t="s">
        <v>218</v>
      </c>
      <c r="D142" s="29" t="s">
        <v>231</v>
      </c>
      <c r="E142" s="29" t="s">
        <v>419</v>
      </c>
      <c r="F142" s="29" t="s">
        <v>906</v>
      </c>
      <c r="G142" s="29" t="s">
        <v>220</v>
      </c>
      <c r="H142" s="27"/>
    </row>
    <row r="143">
      <c r="A143" s="15" t="s">
        <v>224</v>
      </c>
      <c r="B143" s="22" t="s">
        <v>361</v>
      </c>
      <c r="C143" s="22" t="s">
        <v>589</v>
      </c>
      <c r="D143" s="22" t="s">
        <v>2599</v>
      </c>
      <c r="E143" s="22" t="s">
        <v>1958</v>
      </c>
      <c r="F143" s="22" t="s">
        <v>814</v>
      </c>
      <c r="G143" s="22" t="s">
        <v>801</v>
      </c>
      <c r="H143" s="27"/>
    </row>
    <row r="144">
      <c r="A144" s="30"/>
      <c r="B144" s="22" t="s">
        <v>920</v>
      </c>
      <c r="C144" s="22" t="s">
        <v>2566</v>
      </c>
      <c r="D144" s="22" t="s">
        <v>799</v>
      </c>
      <c r="E144" s="22" t="s">
        <v>1759</v>
      </c>
      <c r="F144" s="22" t="s">
        <v>238</v>
      </c>
      <c r="G144" s="22" t="s">
        <v>1457</v>
      </c>
      <c r="H144" s="27"/>
    </row>
    <row r="145">
      <c r="A145" s="30"/>
      <c r="B145" s="22" t="s">
        <v>582</v>
      </c>
      <c r="C145" s="22" t="s">
        <v>945</v>
      </c>
      <c r="D145" s="22" t="s">
        <v>468</v>
      </c>
      <c r="E145" s="22" t="s">
        <v>2555</v>
      </c>
      <c r="F145" s="22" t="s">
        <v>924</v>
      </c>
      <c r="G145" s="22" t="s">
        <v>549</v>
      </c>
      <c r="H145" s="27"/>
    </row>
    <row r="146">
      <c r="A146" s="25"/>
      <c r="B146" s="22" t="s">
        <v>2380</v>
      </c>
      <c r="C146" s="22" t="s">
        <v>702</v>
      </c>
      <c r="D146" s="22" t="s">
        <v>2111</v>
      </c>
      <c r="E146" s="22" t="s">
        <v>1873</v>
      </c>
      <c r="F146" s="22" t="s">
        <v>234</v>
      </c>
      <c r="G146" s="22" t="s">
        <v>567</v>
      </c>
      <c r="H146" s="31"/>
      <c r="I146" s="32"/>
    </row>
    <row r="147">
      <c r="A147" s="10" t="s">
        <v>5</v>
      </c>
      <c r="B147" s="11" t="s">
        <v>2604</v>
      </c>
      <c r="C147" s="9"/>
      <c r="D147" s="9"/>
      <c r="E147" s="9"/>
      <c r="F147" s="9"/>
      <c r="G147" s="9"/>
      <c r="H147" s="9"/>
      <c r="I147" s="13"/>
    </row>
    <row r="148" ht="60.0" customHeight="1">
      <c r="A148" s="15" t="s">
        <v>16</v>
      </c>
      <c r="B148" s="22" t="str">
        <f t="array" ref="B148">iferror(VLOOKUP(INDIRECT(ADDRESS(ROW()+1,COLUMN(), 4)),Dex!$A$2:$C449,3,false),"")</f>
        <v/>
      </c>
      <c r="C148" s="22" t="str">
        <f t="array" ref="C148">iferror(VLOOKUP(INDIRECT(ADDRESS(ROW()+1,COLUMN(), 4)),Dex!$A$2:$C449,3,false),"")</f>
        <v/>
      </c>
      <c r="D148" s="22" t="str">
        <f t="array" ref="D148">iferror(VLOOKUP(INDIRECT(ADDRESS(ROW()+1,COLUMN(), 4)),Dex!$A$2:$C449,3,false),"")</f>
        <v/>
      </c>
      <c r="E148" s="22" t="str">
        <f t="array" ref="E148">iferror(VLOOKUP(INDIRECT(ADDRESS(ROW()+1,COLUMN(), 4)),Dex!$A$2:$C449,3,false),"")</f>
        <v/>
      </c>
      <c r="F148" s="22" t="str">
        <f t="array" ref="F148">iferror(VLOOKUP(INDIRECT(ADDRESS(ROW()+1,COLUMN(), 4)),Dex!$A$2:$C449,3,false),"")</f>
        <v/>
      </c>
      <c r="G148" s="22" t="str">
        <f t="array" ref="G148">iferror(VLOOKUP(INDIRECT(ADDRESS(ROW()+1,COLUMN(), 4)),Dex!$A$2:$C449,3,false),"")</f>
        <v/>
      </c>
      <c r="H148" s="23" t="str">
        <f t="array" ref="H148">iferror(VLOOKUP("TRAINER_PIC_Pokefan_F",Sprites!$A$1:$B449,2,false),"")</f>
        <v/>
      </c>
      <c r="I148" s="24"/>
    </row>
    <row r="149">
      <c r="A149" s="25"/>
      <c r="B149" s="26" t="s">
        <v>1225</v>
      </c>
      <c r="C149" s="26" t="s">
        <v>863</v>
      </c>
      <c r="D149" s="26" t="s">
        <v>1011</v>
      </c>
      <c r="E149" s="26"/>
      <c r="F149" s="26"/>
      <c r="G149" s="26"/>
      <c r="H149" s="27"/>
    </row>
    <row r="150">
      <c r="A150" s="10" t="s">
        <v>199</v>
      </c>
      <c r="B150" s="22">
        <v>63.0</v>
      </c>
      <c r="C150" s="22">
        <v>64.0</v>
      </c>
      <c r="D150" s="22">
        <v>63.0</v>
      </c>
      <c r="E150" s="22"/>
      <c r="F150" s="22"/>
      <c r="G150" s="22"/>
      <c r="H150" s="27"/>
    </row>
    <row r="151">
      <c r="A151" s="10" t="s">
        <v>201</v>
      </c>
      <c r="B151" s="29" t="s">
        <v>408</v>
      </c>
      <c r="C151" s="29" t="s">
        <v>203</v>
      </c>
      <c r="D151" s="29" t="s">
        <v>1546</v>
      </c>
      <c r="E151" s="29"/>
      <c r="F151" s="29"/>
      <c r="G151" s="29"/>
      <c r="H151" s="27"/>
    </row>
    <row r="152">
      <c r="A152" s="10" t="s">
        <v>209</v>
      </c>
      <c r="B152" s="22" t="s">
        <v>681</v>
      </c>
      <c r="C152" s="22" t="s">
        <v>1152</v>
      </c>
      <c r="D152" s="22" t="s">
        <v>1018</v>
      </c>
      <c r="E152" s="22"/>
      <c r="F152" s="22"/>
      <c r="G152" s="22"/>
      <c r="H152" s="27"/>
    </row>
    <row r="153">
      <c r="A153" s="10" t="s">
        <v>215</v>
      </c>
      <c r="B153" s="29" t="s">
        <v>231</v>
      </c>
      <c r="C153" s="29" t="s">
        <v>419</v>
      </c>
      <c r="D153" s="29" t="s">
        <v>419</v>
      </c>
      <c r="E153" s="29"/>
      <c r="F153" s="29"/>
      <c r="G153" s="29"/>
      <c r="H153" s="27"/>
    </row>
    <row r="154">
      <c r="A154" s="15" t="s">
        <v>224</v>
      </c>
      <c r="B154" s="22" t="s">
        <v>1791</v>
      </c>
      <c r="C154" s="22" t="s">
        <v>2020</v>
      </c>
      <c r="D154" s="22" t="s">
        <v>694</v>
      </c>
      <c r="E154" s="22"/>
      <c r="F154" s="22"/>
      <c r="G154" s="22"/>
      <c r="H154" s="27"/>
    </row>
    <row r="155">
      <c r="A155" s="30"/>
      <c r="B155" s="22" t="s">
        <v>1166</v>
      </c>
      <c r="C155" s="22" t="s">
        <v>814</v>
      </c>
      <c r="D155" s="22" t="s">
        <v>2555</v>
      </c>
      <c r="E155" s="22"/>
      <c r="F155" s="22"/>
      <c r="G155" s="22"/>
      <c r="H155" s="27"/>
    </row>
    <row r="156">
      <c r="A156" s="30"/>
      <c r="B156" s="22" t="s">
        <v>2450</v>
      </c>
      <c r="C156" s="22" t="s">
        <v>234</v>
      </c>
      <c r="D156" s="22" t="s">
        <v>2040</v>
      </c>
      <c r="E156" s="22"/>
      <c r="F156" s="22"/>
      <c r="G156" s="22"/>
      <c r="H156" s="27"/>
    </row>
    <row r="157">
      <c r="A157" s="25"/>
      <c r="B157" s="22" t="s">
        <v>549</v>
      </c>
      <c r="C157" s="22" t="s">
        <v>920</v>
      </c>
      <c r="D157" s="22" t="s">
        <v>474</v>
      </c>
      <c r="E157" s="22"/>
      <c r="F157" s="22"/>
      <c r="G157" s="22"/>
      <c r="H157" s="31"/>
      <c r="I157" s="32"/>
    </row>
    <row r="158">
      <c r="A158" s="10" t="s">
        <v>5</v>
      </c>
      <c r="B158" s="11" t="s">
        <v>2611</v>
      </c>
      <c r="C158" s="9"/>
      <c r="D158" s="9"/>
      <c r="E158" s="9"/>
      <c r="F158" s="9"/>
      <c r="G158" s="9"/>
      <c r="H158" s="9"/>
      <c r="I158" s="10"/>
    </row>
    <row r="159" ht="60.0" customHeight="1">
      <c r="A159" s="15" t="s">
        <v>16</v>
      </c>
      <c r="B159" s="22" t="str">
        <f t="array" ref="B159">iferror(VLOOKUP(INDIRECT(ADDRESS(ROW()+1,COLUMN(), 4)),Dex!$A$2:$C449,3,false),"")</f>
        <v/>
      </c>
      <c r="C159" s="22" t="str">
        <f t="array" ref="C159">iferror(VLOOKUP(INDIRECT(ADDRESS(ROW()+1,COLUMN(), 4)),Dex!$A$2:$C449,3,false),"")</f>
        <v/>
      </c>
      <c r="D159" s="22" t="str">
        <f t="array" ref="D159">iferror(VLOOKUP(INDIRECT(ADDRESS(ROW()+1,COLUMN(), 4)),Dex!$A$2:$C449,3,false),"")</f>
        <v/>
      </c>
      <c r="E159" s="22" t="str">
        <f t="array" ref="E159">iferror(VLOOKUP(INDIRECT(ADDRESS(ROW()+1,COLUMN(), 4)),Dex!$A$2:$C449,3,false),"")</f>
        <v/>
      </c>
      <c r="F159" s="22" t="str">
        <f t="array" ref="F159">iferror(VLOOKUP(INDIRECT(ADDRESS(ROW()+1,COLUMN(), 4)),Dex!$A$2:$C449,3,false),"")</f>
        <v/>
      </c>
      <c r="G159" s="22" t="str">
        <f t="array" ref="G159">iferror(VLOOKUP(INDIRECT(ADDRESS(ROW()+1,COLUMN(), 4)),Dex!$A$2:$C449,3,false),"")</f>
        <v/>
      </c>
      <c r="H159" s="23" t="str">
        <f t="array" ref="H159">iferror(VLOOKUP("TRAINER_PIC_Pokefan_M",Sprites!$A$1:$B449,2,false),"")</f>
        <v/>
      </c>
      <c r="I159" s="24"/>
    </row>
    <row r="160">
      <c r="A160" s="25"/>
      <c r="B160" s="26" t="s">
        <v>635</v>
      </c>
      <c r="C160" s="26" t="s">
        <v>862</v>
      </c>
      <c r="D160" s="26" t="s">
        <v>387</v>
      </c>
      <c r="E160" s="26"/>
      <c r="F160" s="26"/>
      <c r="G160" s="26"/>
      <c r="H160" s="27"/>
    </row>
    <row r="161">
      <c r="A161" s="10" t="s">
        <v>199</v>
      </c>
      <c r="B161" s="22">
        <v>63.0</v>
      </c>
      <c r="C161" s="22">
        <v>64.0</v>
      </c>
      <c r="D161" s="22">
        <v>63.0</v>
      </c>
      <c r="E161" s="22"/>
      <c r="F161" s="22"/>
      <c r="G161" s="22"/>
      <c r="H161" s="27"/>
    </row>
    <row r="162">
      <c r="A162" s="10" t="s">
        <v>201</v>
      </c>
      <c r="B162" s="29" t="s">
        <v>205</v>
      </c>
      <c r="C162" s="29" t="s">
        <v>345</v>
      </c>
      <c r="D162" s="29" t="s">
        <v>1429</v>
      </c>
      <c r="E162" s="29"/>
      <c r="F162" s="29"/>
      <c r="G162" s="29"/>
      <c r="H162" s="27"/>
    </row>
    <row r="163">
      <c r="A163" s="10" t="s">
        <v>209</v>
      </c>
      <c r="B163" s="22" t="s">
        <v>538</v>
      </c>
      <c r="C163" s="22" t="s">
        <v>1152</v>
      </c>
      <c r="D163" s="22" t="s">
        <v>2508</v>
      </c>
      <c r="E163" s="22"/>
      <c r="F163" s="22"/>
      <c r="G163" s="22"/>
      <c r="H163" s="27"/>
    </row>
    <row r="164">
      <c r="A164" s="10" t="s">
        <v>215</v>
      </c>
      <c r="B164" s="29" t="s">
        <v>904</v>
      </c>
      <c r="C164" s="29" t="s">
        <v>231</v>
      </c>
      <c r="D164" s="29" t="s">
        <v>419</v>
      </c>
      <c r="E164" s="29"/>
      <c r="F164" s="29"/>
      <c r="G164" s="29"/>
      <c r="H164" s="27"/>
    </row>
    <row r="165">
      <c r="A165" s="15" t="s">
        <v>224</v>
      </c>
      <c r="B165" s="22" t="s">
        <v>1554</v>
      </c>
      <c r="C165" s="22" t="s">
        <v>2020</v>
      </c>
      <c r="D165" s="22" t="s">
        <v>552</v>
      </c>
      <c r="E165" s="22"/>
      <c r="F165" s="22"/>
      <c r="G165" s="22"/>
      <c r="H165" s="27"/>
    </row>
    <row r="166">
      <c r="A166" s="30"/>
      <c r="B166" s="22" t="s">
        <v>356</v>
      </c>
      <c r="C166" s="22" t="s">
        <v>927</v>
      </c>
      <c r="D166" s="22" t="s">
        <v>920</v>
      </c>
      <c r="E166" s="22"/>
      <c r="F166" s="22"/>
      <c r="G166" s="22"/>
      <c r="H166" s="27"/>
    </row>
    <row r="167">
      <c r="A167" s="30"/>
      <c r="B167" s="22" t="s">
        <v>2629</v>
      </c>
      <c r="C167" s="22" t="s">
        <v>1127</v>
      </c>
      <c r="D167" s="22" t="s">
        <v>697</v>
      </c>
      <c r="E167" s="22"/>
      <c r="F167" s="22"/>
      <c r="G167" s="22"/>
      <c r="H167" s="27"/>
    </row>
    <row r="168">
      <c r="A168" s="25"/>
      <c r="B168" s="22" t="s">
        <v>1547</v>
      </c>
      <c r="C168" s="22" t="s">
        <v>366</v>
      </c>
      <c r="D168" s="22" t="s">
        <v>701</v>
      </c>
      <c r="E168" s="22"/>
      <c r="F168" s="22"/>
      <c r="G168" s="22"/>
      <c r="H168" s="31"/>
      <c r="I168" s="32"/>
    </row>
    <row r="169">
      <c r="A169" s="8" t="s">
        <v>2</v>
      </c>
      <c r="B169" s="9"/>
      <c r="C169" s="9"/>
      <c r="D169" s="9"/>
      <c r="E169" s="9"/>
      <c r="F169" s="9"/>
      <c r="G169" s="9"/>
      <c r="H169" s="9"/>
      <c r="I169" s="34"/>
    </row>
    <row r="170">
      <c r="A170" s="10" t="s">
        <v>5</v>
      </c>
      <c r="B170" s="11" t="s">
        <v>2630</v>
      </c>
      <c r="C170" s="9"/>
      <c r="D170" s="9"/>
      <c r="E170" s="9"/>
      <c r="F170" s="9"/>
      <c r="G170" s="9"/>
      <c r="H170" s="9"/>
      <c r="I170" s="10"/>
    </row>
    <row r="171" ht="60.0" customHeight="1">
      <c r="A171" s="15" t="s">
        <v>16</v>
      </c>
      <c r="B171" s="22" t="str">
        <f t="array" ref="B171">iferror(VLOOKUP(INDIRECT(ADDRESS(ROW()+1,COLUMN(), 4)),Dex!$A$2:$C449,3,false),"")</f>
        <v/>
      </c>
      <c r="C171" s="22" t="str">
        <f t="array" ref="C171">iferror(VLOOKUP(INDIRECT(ADDRESS(ROW()+1,COLUMN(), 4)),Dex!$A$2:$C449,3,false),"")</f>
        <v/>
      </c>
      <c r="D171" s="22" t="str">
        <f t="array" ref="D171">iferror(VLOOKUP(INDIRECT(ADDRESS(ROW()+1,COLUMN(), 4)),Dex!$A$2:$C449,3,false),"")</f>
        <v/>
      </c>
      <c r="E171" s="22" t="str">
        <f t="array" ref="E171">iferror(VLOOKUP(INDIRECT(ADDRESS(ROW()+1,COLUMN(), 4)),Dex!$A$2:$C449,3,false),"")</f>
        <v/>
      </c>
      <c r="F171" s="22" t="str">
        <f t="array" ref="F171">iferror(VLOOKUP(INDIRECT(ADDRESS(ROW()+1,COLUMN(), 4)),Dex!$A$2:$C449,3,false),"")</f>
        <v/>
      </c>
      <c r="G171" s="22" t="str">
        <f t="array" ref="G171">iferror(VLOOKUP(INDIRECT(ADDRESS(ROW()+1,COLUMN(), 4)),Dex!$A$2:$C449,3,false),"")</f>
        <v/>
      </c>
      <c r="H171" s="23" t="str">
        <f t="array" ref="H171">iferror(VLOOKUP("TRAINER_PIC_Black_Belt",Sprites!$A$1:$B449,2,false),"")</f>
        <v/>
      </c>
      <c r="I171" s="24"/>
    </row>
    <row r="172">
      <c r="A172" s="25"/>
      <c r="B172" s="26" t="s">
        <v>510</v>
      </c>
      <c r="C172" s="26" t="s">
        <v>1425</v>
      </c>
      <c r="D172" s="26" t="s">
        <v>1912</v>
      </c>
      <c r="E172" s="26" t="s">
        <v>1883</v>
      </c>
      <c r="F172" s="26"/>
      <c r="G172" s="26"/>
      <c r="H172" s="27"/>
    </row>
    <row r="173">
      <c r="A173" s="10" t="s">
        <v>199</v>
      </c>
      <c r="B173" s="22">
        <v>64.0</v>
      </c>
      <c r="C173" s="22">
        <v>63.0</v>
      </c>
      <c r="D173" s="22">
        <v>63.0</v>
      </c>
      <c r="E173" s="22">
        <v>64.0</v>
      </c>
      <c r="F173" s="22"/>
      <c r="G173" s="22"/>
      <c r="H173" s="27"/>
    </row>
    <row r="174">
      <c r="A174" s="10" t="s">
        <v>201</v>
      </c>
      <c r="B174" s="29" t="s">
        <v>408</v>
      </c>
      <c r="C174" s="29" t="s">
        <v>645</v>
      </c>
      <c r="D174" s="29" t="s">
        <v>451</v>
      </c>
      <c r="E174" s="29" t="s">
        <v>2324</v>
      </c>
      <c r="F174" s="29"/>
      <c r="G174" s="29"/>
      <c r="H174" s="27"/>
    </row>
    <row r="175">
      <c r="A175" s="10" t="s">
        <v>209</v>
      </c>
      <c r="B175" s="22" t="s">
        <v>415</v>
      </c>
      <c r="C175" s="22" t="s">
        <v>2636</v>
      </c>
      <c r="D175" s="22" t="s">
        <v>2637</v>
      </c>
      <c r="E175" s="22" t="s">
        <v>2638</v>
      </c>
      <c r="F175" s="22"/>
      <c r="G175" s="22"/>
      <c r="H175" s="27"/>
    </row>
    <row r="176">
      <c r="A176" s="10" t="s">
        <v>215</v>
      </c>
      <c r="B176" s="29" t="s">
        <v>231</v>
      </c>
      <c r="C176" s="29" t="s">
        <v>542</v>
      </c>
      <c r="D176" s="29" t="s">
        <v>419</v>
      </c>
      <c r="E176" s="29" t="s">
        <v>220</v>
      </c>
      <c r="F176" s="29"/>
      <c r="G176" s="29"/>
      <c r="H176" s="27"/>
    </row>
    <row r="177">
      <c r="A177" s="15" t="s">
        <v>224</v>
      </c>
      <c r="B177" s="22" t="s">
        <v>1048</v>
      </c>
      <c r="C177" s="22" t="s">
        <v>952</v>
      </c>
      <c r="D177" s="22" t="s">
        <v>469</v>
      </c>
      <c r="E177" s="22" t="s">
        <v>2639</v>
      </c>
      <c r="F177" s="22"/>
      <c r="G177" s="22"/>
      <c r="H177" s="27"/>
    </row>
    <row r="178">
      <c r="A178" s="30"/>
      <c r="B178" s="22" t="s">
        <v>1169</v>
      </c>
      <c r="C178" s="22" t="s">
        <v>570</v>
      </c>
      <c r="D178" s="22" t="s">
        <v>2578</v>
      </c>
      <c r="E178" s="22" t="s">
        <v>1159</v>
      </c>
      <c r="F178" s="22"/>
      <c r="G178" s="22"/>
      <c r="H178" s="27"/>
    </row>
    <row r="179">
      <c r="A179" s="30"/>
      <c r="B179" s="22" t="s">
        <v>1162</v>
      </c>
      <c r="C179" s="22" t="s">
        <v>565</v>
      </c>
      <c r="D179" s="22" t="s">
        <v>565</v>
      </c>
      <c r="E179" s="22" t="s">
        <v>1224</v>
      </c>
      <c r="F179" s="22"/>
      <c r="G179" s="22"/>
      <c r="H179" s="27"/>
    </row>
    <row r="180">
      <c r="A180" s="25"/>
      <c r="B180" s="22" t="s">
        <v>477</v>
      </c>
      <c r="C180" s="22" t="s">
        <v>237</v>
      </c>
      <c r="D180" s="22" t="s">
        <v>424</v>
      </c>
      <c r="E180" s="22" t="s">
        <v>372</v>
      </c>
      <c r="F180" s="22"/>
      <c r="G180" s="22"/>
      <c r="H180" s="31"/>
      <c r="I180" s="32"/>
    </row>
    <row r="181">
      <c r="A181" s="10" t="s">
        <v>5</v>
      </c>
      <c r="B181" s="11" t="s">
        <v>2643</v>
      </c>
      <c r="C181" s="9"/>
      <c r="D181" s="9"/>
      <c r="E181" s="9"/>
      <c r="F181" s="9"/>
      <c r="G181" s="9"/>
      <c r="H181" s="9"/>
      <c r="I181" s="10"/>
    </row>
    <row r="182" ht="60.0" customHeight="1">
      <c r="A182" s="15" t="s">
        <v>16</v>
      </c>
      <c r="B182" s="22" t="str">
        <f t="array" ref="B182">iferror(VLOOKUP(INDIRECT(ADDRESS(ROW()+1,COLUMN(), 4)),Dex!$A$2:$C449,3,false),"")</f>
        <v/>
      </c>
      <c r="C182" s="22" t="str">
        <f t="array" ref="C182">iferror(VLOOKUP(INDIRECT(ADDRESS(ROW()+1,COLUMN(), 4)),Dex!$A$2:$C449,3,false),"")</f>
        <v/>
      </c>
      <c r="D182" s="22" t="str">
        <f t="array" ref="D182">iferror(VLOOKUP(INDIRECT(ADDRESS(ROW()+1,COLUMN(), 4)),Dex!$A$2:$C449,3,false),"")</f>
        <v/>
      </c>
      <c r="E182" s="22" t="str">
        <f t="array" ref="E182">iferror(VLOOKUP(INDIRECT(ADDRESS(ROW()+1,COLUMN(), 4)),Dex!$A$2:$C449,3,false),"")</f>
        <v/>
      </c>
      <c r="F182" s="22" t="str">
        <f t="array" ref="F182">iferror(VLOOKUP(INDIRECT(ADDRESS(ROW()+1,COLUMN(), 4)),Dex!$A$2:$C449,3,false),"")</f>
        <v/>
      </c>
      <c r="G182" s="22" t="str">
        <f t="array" ref="G182">iferror(VLOOKUP(INDIRECT(ADDRESS(ROW()+1,COLUMN(), 4)),Dex!$A$2:$C449,3,false),"")</f>
        <v/>
      </c>
      <c r="H182" s="23" t="str">
        <f t="array" ref="H182">iferror(VLOOKUP("TRAINER_PIC_Twins",Sprites!$A$1:$B449,2,false),"")</f>
        <v/>
      </c>
      <c r="I182" s="24"/>
    </row>
    <row r="183">
      <c r="A183" s="25"/>
      <c r="B183" s="26" t="s">
        <v>1111</v>
      </c>
      <c r="C183" s="26" t="s">
        <v>638</v>
      </c>
      <c r="D183" s="26" t="s">
        <v>986</v>
      </c>
      <c r="E183" s="26" t="s">
        <v>1209</v>
      </c>
      <c r="F183" s="26"/>
      <c r="G183" s="26"/>
      <c r="H183" s="27"/>
    </row>
    <row r="184">
      <c r="A184" s="10" t="s">
        <v>199</v>
      </c>
      <c r="B184" s="22">
        <v>65.0</v>
      </c>
      <c r="C184" s="22">
        <v>63.0</v>
      </c>
      <c r="D184" s="22">
        <v>64.0</v>
      </c>
      <c r="E184" s="22">
        <v>63.0</v>
      </c>
      <c r="F184" s="22"/>
      <c r="G184" s="22"/>
      <c r="H184" s="27"/>
    </row>
    <row r="185">
      <c r="A185" s="10" t="s">
        <v>201</v>
      </c>
      <c r="B185" s="29" t="s">
        <v>645</v>
      </c>
      <c r="C185" s="29" t="s">
        <v>408</v>
      </c>
      <c r="D185" s="29" t="s">
        <v>2365</v>
      </c>
      <c r="E185" s="29" t="s">
        <v>2650</v>
      </c>
      <c r="F185" s="29"/>
      <c r="G185" s="29"/>
      <c r="H185" s="27"/>
    </row>
    <row r="186">
      <c r="A186" s="10" t="s">
        <v>209</v>
      </c>
      <c r="B186" s="22" t="s">
        <v>2652</v>
      </c>
      <c r="C186" s="22" t="s">
        <v>2360</v>
      </c>
      <c r="D186" s="22" t="s">
        <v>2203</v>
      </c>
      <c r="E186" s="22" t="s">
        <v>1430</v>
      </c>
      <c r="F186" s="22"/>
      <c r="G186" s="22"/>
      <c r="H186" s="27"/>
    </row>
    <row r="187">
      <c r="A187" s="10" t="s">
        <v>215</v>
      </c>
      <c r="B187" s="29" t="s">
        <v>231</v>
      </c>
      <c r="C187" s="29" t="s">
        <v>231</v>
      </c>
      <c r="D187" s="29" t="s">
        <v>231</v>
      </c>
      <c r="E187" s="29" t="s">
        <v>906</v>
      </c>
      <c r="F187" s="29"/>
      <c r="G187" s="29"/>
      <c r="H187" s="27"/>
    </row>
    <row r="188">
      <c r="A188" s="15" t="s">
        <v>224</v>
      </c>
      <c r="B188" s="22" t="s">
        <v>2656</v>
      </c>
      <c r="C188" s="22" t="s">
        <v>2616</v>
      </c>
      <c r="D188" s="22" t="s">
        <v>241</v>
      </c>
      <c r="E188" s="22" t="s">
        <v>2041</v>
      </c>
      <c r="F188" s="22"/>
      <c r="G188" s="22"/>
      <c r="H188" s="27"/>
    </row>
    <row r="189">
      <c r="A189" s="30"/>
      <c r="B189" s="22" t="s">
        <v>465</v>
      </c>
      <c r="C189" s="22" t="s">
        <v>2659</v>
      </c>
      <c r="D189" s="22" t="s">
        <v>2660</v>
      </c>
      <c r="E189" s="22" t="s">
        <v>1039</v>
      </c>
      <c r="F189" s="22"/>
      <c r="G189" s="22"/>
      <c r="H189" s="27"/>
    </row>
    <row r="190">
      <c r="A190" s="30"/>
      <c r="B190" s="22" t="s">
        <v>467</v>
      </c>
      <c r="C190" s="22" t="s">
        <v>2485</v>
      </c>
      <c r="D190" s="22" t="s">
        <v>1436</v>
      </c>
      <c r="E190" s="22" t="s">
        <v>229</v>
      </c>
      <c r="F190" s="22"/>
      <c r="G190" s="22"/>
      <c r="H190" s="27"/>
    </row>
    <row r="191">
      <c r="A191" s="25"/>
      <c r="B191" s="22" t="s">
        <v>463</v>
      </c>
      <c r="C191" s="22" t="s">
        <v>1662</v>
      </c>
      <c r="D191" s="22" t="s">
        <v>2449</v>
      </c>
      <c r="E191" s="22" t="s">
        <v>1873</v>
      </c>
      <c r="F191" s="22"/>
      <c r="G191" s="22"/>
      <c r="H191" s="31"/>
      <c r="I191" s="32"/>
    </row>
    <row r="192">
      <c r="A192" s="10" t="s">
        <v>5</v>
      </c>
      <c r="B192" s="11" t="s">
        <v>2661</v>
      </c>
      <c r="C192" s="9"/>
      <c r="D192" s="9"/>
      <c r="E192" s="9"/>
      <c r="F192" s="9"/>
      <c r="G192" s="9"/>
      <c r="H192" s="9"/>
      <c r="I192" s="10"/>
    </row>
    <row r="193" ht="60.0" customHeight="1">
      <c r="A193" s="15" t="s">
        <v>16</v>
      </c>
      <c r="B193" s="22" t="str">
        <f t="array" ref="B193">iferror(VLOOKUP(INDIRECT(ADDRESS(ROW()+1,COLUMN(), 4)),Dex!$A$2:$C449,3,false),"")</f>
        <v/>
      </c>
      <c r="C193" s="22" t="str">
        <f t="array" ref="C193">iferror(VLOOKUP(INDIRECT(ADDRESS(ROW()+1,COLUMN(), 4)),Dex!$A$2:$C449,3,false),"")</f>
        <v/>
      </c>
      <c r="D193" s="22" t="str">
        <f t="array" ref="D193">iferror(VLOOKUP(INDIRECT(ADDRESS(ROW()+1,COLUMN(), 4)),Dex!$A$2:$C449,3,false),"")</f>
        <v/>
      </c>
      <c r="E193" s="22" t="str">
        <f t="array" ref="E193">iferror(VLOOKUP(INDIRECT(ADDRESS(ROW()+1,COLUMN(), 4)),Dex!$A$2:$C449,3,false),"")</f>
        <v/>
      </c>
      <c r="F193" s="22" t="str">
        <f t="array" ref="F193">iferror(VLOOKUP(INDIRECT(ADDRESS(ROW()+1,COLUMN(), 4)),Dex!$A$2:$C449,3,false),"")</f>
        <v/>
      </c>
      <c r="G193" s="22" t="str">
        <f t="array" ref="G193">iferror(VLOOKUP(INDIRECT(ADDRESS(ROW()+1,COLUMN(), 4)),Dex!$A$2:$C449,3,false),"")</f>
        <v/>
      </c>
      <c r="H193" s="23" t="str">
        <f t="array" ref="H193">iferror(VLOOKUP("TRAINER_PIC_Fisherman",Sprites!$A$1:$B449,2,false),"")</f>
        <v/>
      </c>
      <c r="I193" s="24"/>
    </row>
    <row r="194">
      <c r="A194" s="25"/>
      <c r="B194" s="26" t="s">
        <v>1009</v>
      </c>
      <c r="C194" s="26" t="s">
        <v>1654</v>
      </c>
      <c r="D194" s="26" t="s">
        <v>1191</v>
      </c>
      <c r="E194" s="26" t="s">
        <v>1338</v>
      </c>
      <c r="F194" s="26"/>
      <c r="G194" s="26"/>
      <c r="H194" s="27"/>
    </row>
    <row r="195">
      <c r="A195" s="10" t="s">
        <v>199</v>
      </c>
      <c r="B195" s="22">
        <v>63.0</v>
      </c>
      <c r="C195" s="22">
        <v>63.0</v>
      </c>
      <c r="D195" s="22">
        <v>64.0</v>
      </c>
      <c r="E195" s="22">
        <v>64.0</v>
      </c>
      <c r="F195" s="22"/>
      <c r="G195" s="22"/>
      <c r="H195" s="27"/>
    </row>
    <row r="196">
      <c r="A196" s="10" t="s">
        <v>201</v>
      </c>
      <c r="B196" s="29" t="s">
        <v>890</v>
      </c>
      <c r="C196" s="29" t="s">
        <v>206</v>
      </c>
      <c r="D196" s="29" t="s">
        <v>1518</v>
      </c>
      <c r="E196" s="29" t="s">
        <v>2672</v>
      </c>
      <c r="F196" s="29"/>
      <c r="G196" s="29"/>
      <c r="H196" s="27"/>
    </row>
    <row r="197">
      <c r="A197" s="10" t="s">
        <v>209</v>
      </c>
      <c r="B197" s="22" t="s">
        <v>2473</v>
      </c>
      <c r="C197" s="22" t="s">
        <v>2316</v>
      </c>
      <c r="D197" s="22" t="s">
        <v>212</v>
      </c>
      <c r="E197" s="22" t="s">
        <v>413</v>
      </c>
      <c r="F197" s="22"/>
      <c r="G197" s="22"/>
      <c r="H197" s="27"/>
    </row>
    <row r="198">
      <c r="A198" s="10" t="s">
        <v>215</v>
      </c>
      <c r="B198" s="29" t="s">
        <v>419</v>
      </c>
      <c r="C198" s="29" t="s">
        <v>222</v>
      </c>
      <c r="D198" s="29" t="s">
        <v>419</v>
      </c>
      <c r="E198" s="29" t="s">
        <v>419</v>
      </c>
      <c r="F198" s="29"/>
      <c r="G198" s="29"/>
      <c r="H198" s="27"/>
    </row>
    <row r="199">
      <c r="A199" s="15" t="s">
        <v>224</v>
      </c>
      <c r="B199" s="22" t="s">
        <v>585</v>
      </c>
      <c r="C199" s="22" t="s">
        <v>814</v>
      </c>
      <c r="D199" s="22" t="s">
        <v>1363</v>
      </c>
      <c r="E199" s="22" t="s">
        <v>2673</v>
      </c>
      <c r="F199" s="22"/>
      <c r="G199" s="22"/>
      <c r="H199" s="27"/>
    </row>
    <row r="200">
      <c r="A200" s="30"/>
      <c r="B200" s="22" t="s">
        <v>2512</v>
      </c>
      <c r="C200" s="22" t="s">
        <v>1030</v>
      </c>
      <c r="D200" s="22" t="s">
        <v>694</v>
      </c>
      <c r="E200" s="22" t="s">
        <v>700</v>
      </c>
      <c r="F200" s="22"/>
      <c r="G200" s="22"/>
      <c r="H200" s="27"/>
    </row>
    <row r="201">
      <c r="A201" s="30"/>
      <c r="B201" s="22" t="s">
        <v>2674</v>
      </c>
      <c r="C201" s="22" t="s">
        <v>1537</v>
      </c>
      <c r="D201" s="22" t="s">
        <v>362</v>
      </c>
      <c r="E201" s="22" t="s">
        <v>1662</v>
      </c>
      <c r="F201" s="22"/>
      <c r="G201" s="22"/>
      <c r="H201" s="27"/>
    </row>
    <row r="202">
      <c r="A202" s="25"/>
      <c r="B202" s="22" t="s">
        <v>576</v>
      </c>
      <c r="C202" s="22" t="s">
        <v>367</v>
      </c>
      <c r="D202" s="22" t="s">
        <v>253</v>
      </c>
      <c r="E202" s="22" t="s">
        <v>1162</v>
      </c>
      <c r="F202" s="22"/>
      <c r="G202" s="22"/>
      <c r="H202" s="31"/>
      <c r="I202" s="32"/>
    </row>
    <row r="203">
      <c r="A203" s="8" t="s">
        <v>2675</v>
      </c>
      <c r="B203" s="9"/>
      <c r="C203" s="9"/>
      <c r="D203" s="9"/>
      <c r="E203" s="9"/>
      <c r="F203" s="9"/>
      <c r="G203" s="9"/>
      <c r="H203" s="9"/>
      <c r="I203" s="34"/>
    </row>
    <row r="204">
      <c r="A204" s="10" t="s">
        <v>5</v>
      </c>
      <c r="B204" s="11" t="s">
        <v>2676</v>
      </c>
      <c r="C204" s="9"/>
      <c r="D204" s="9"/>
      <c r="E204" s="9"/>
      <c r="F204" s="9"/>
      <c r="G204" s="9"/>
      <c r="H204" s="9"/>
      <c r="I204" s="10"/>
    </row>
    <row r="205" ht="60.0" customHeight="1">
      <c r="A205" s="15" t="s">
        <v>16</v>
      </c>
      <c r="B205" s="22" t="str">
        <f t="array" ref="B205">iferror(VLOOKUP(INDIRECT(ADDRESS(ROW()+1,COLUMN(), 4)),Dex!$A$2:$C449,3,false),"")</f>
        <v/>
      </c>
      <c r="C205" s="22" t="str">
        <f t="array" ref="C205">iferror(VLOOKUP(INDIRECT(ADDRESS(ROW()+1,COLUMN(), 4)),Dex!$A$2:$C449,3,false),"")</f>
        <v/>
      </c>
      <c r="D205" s="22" t="str">
        <f t="array" ref="D205">iferror(VLOOKUP(INDIRECT(ADDRESS(ROW()+1,COLUMN(), 4)),Dex!$A$2:$C449,3,false),"")</f>
        <v/>
      </c>
      <c r="E205" s="22" t="str">
        <f t="array" ref="E205">iferror(VLOOKUP(INDIRECT(ADDRESS(ROW()+1,COLUMN(), 4)),Dex!$A$2:$C449,3,false),"")</f>
        <v/>
      </c>
      <c r="F205" s="22" t="str">
        <f t="array" ref="F205">iferror(VLOOKUP(INDIRECT(ADDRESS(ROW()+1,COLUMN(), 4)),Dex!$A$2:$C449,3,false),"")</f>
        <v/>
      </c>
      <c r="G205" s="22" t="str">
        <f t="array" ref="G205">iferror(VLOOKUP(INDIRECT(ADDRESS(ROW()+1,COLUMN(), 4)),Dex!$A$2:$C449,3,false),"")</f>
        <v/>
      </c>
      <c r="H205" s="23" t="str">
        <f t="array" ref="H205">iferror(VLOOKUP("TRAINER_PIC_Lady",Sprites!$A$1:$B449,2,false),"")</f>
        <v/>
      </c>
      <c r="I205" s="24"/>
    </row>
    <row r="206">
      <c r="A206" s="25"/>
      <c r="B206" s="26" t="s">
        <v>1821</v>
      </c>
      <c r="C206" s="26" t="s">
        <v>1679</v>
      </c>
      <c r="D206" s="26" t="s">
        <v>1484</v>
      </c>
      <c r="E206" s="26" t="s">
        <v>1514</v>
      </c>
      <c r="F206" s="26"/>
      <c r="G206" s="26"/>
      <c r="H206" s="27"/>
    </row>
    <row r="207">
      <c r="A207" s="10" t="s">
        <v>199</v>
      </c>
      <c r="B207" s="22">
        <v>63.0</v>
      </c>
      <c r="C207" s="22">
        <v>64.0</v>
      </c>
      <c r="D207" s="22">
        <v>63.0</v>
      </c>
      <c r="E207" s="22">
        <v>65.0</v>
      </c>
      <c r="F207" s="22"/>
      <c r="G207" s="22"/>
      <c r="H207" s="27"/>
    </row>
    <row r="208">
      <c r="A208" s="10" t="s">
        <v>201</v>
      </c>
      <c r="B208" s="29" t="s">
        <v>2090</v>
      </c>
      <c r="C208" s="29" t="s">
        <v>409</v>
      </c>
      <c r="D208" s="29" t="s">
        <v>645</v>
      </c>
      <c r="E208" s="29" t="s">
        <v>1213</v>
      </c>
      <c r="F208" s="29"/>
      <c r="G208" s="29"/>
      <c r="H208" s="27"/>
    </row>
    <row r="209">
      <c r="A209" s="10" t="s">
        <v>209</v>
      </c>
      <c r="B209" s="22" t="s">
        <v>2686</v>
      </c>
      <c r="C209" s="22" t="s">
        <v>2687</v>
      </c>
      <c r="D209" s="22" t="s">
        <v>1027</v>
      </c>
      <c r="E209" s="22" t="s">
        <v>2317</v>
      </c>
      <c r="F209" s="22"/>
      <c r="G209" s="22"/>
      <c r="H209" s="27"/>
    </row>
    <row r="210">
      <c r="A210" s="10" t="s">
        <v>215</v>
      </c>
      <c r="B210" s="29" t="s">
        <v>906</v>
      </c>
      <c r="C210" s="29" t="s">
        <v>231</v>
      </c>
      <c r="D210" s="29" t="s">
        <v>906</v>
      </c>
      <c r="E210" s="29" t="s">
        <v>222</v>
      </c>
      <c r="F210" s="29"/>
      <c r="G210" s="29"/>
      <c r="H210" s="27"/>
    </row>
    <row r="211">
      <c r="A211" s="15" t="s">
        <v>224</v>
      </c>
      <c r="B211" s="22" t="s">
        <v>365</v>
      </c>
      <c r="C211" s="22" t="s">
        <v>2688</v>
      </c>
      <c r="D211" s="22" t="s">
        <v>697</v>
      </c>
      <c r="E211" s="22" t="s">
        <v>815</v>
      </c>
      <c r="F211" s="22"/>
      <c r="G211" s="22"/>
      <c r="H211" s="27"/>
    </row>
    <row r="212">
      <c r="A212" s="30"/>
      <c r="B212" s="22" t="s">
        <v>805</v>
      </c>
      <c r="C212" s="22" t="s">
        <v>1033</v>
      </c>
      <c r="D212" s="22" t="s">
        <v>1442</v>
      </c>
      <c r="E212" s="22" t="s">
        <v>2020</v>
      </c>
      <c r="F212" s="22"/>
      <c r="G212" s="22"/>
      <c r="H212" s="27"/>
    </row>
    <row r="213">
      <c r="A213" s="30"/>
      <c r="B213" s="22" t="s">
        <v>1031</v>
      </c>
      <c r="C213" s="22" t="s">
        <v>2111</v>
      </c>
      <c r="D213" s="22" t="s">
        <v>920</v>
      </c>
      <c r="E213" s="22" t="s">
        <v>926</v>
      </c>
      <c r="F213" s="22"/>
      <c r="G213" s="22"/>
      <c r="H213" s="27"/>
    </row>
    <row r="214">
      <c r="A214" s="25"/>
      <c r="B214" s="22" t="s">
        <v>2689</v>
      </c>
      <c r="C214" s="22" t="s">
        <v>2047</v>
      </c>
      <c r="D214" s="22" t="s">
        <v>1251</v>
      </c>
      <c r="E214" s="22" t="s">
        <v>924</v>
      </c>
      <c r="F214" s="22"/>
      <c r="G214" s="22"/>
      <c r="H214" s="31"/>
      <c r="I214" s="32"/>
    </row>
    <row r="215">
      <c r="A215" s="8" t="s">
        <v>2690</v>
      </c>
      <c r="B215" s="9"/>
      <c r="C215" s="9"/>
      <c r="D215" s="9"/>
      <c r="E215" s="9"/>
      <c r="F215" s="9"/>
      <c r="G215" s="9"/>
      <c r="H215" s="9"/>
      <c r="I215" s="34"/>
    </row>
    <row r="216">
      <c r="A216" s="10" t="s">
        <v>5</v>
      </c>
      <c r="B216" s="11" t="s">
        <v>2693</v>
      </c>
      <c r="C216" s="9"/>
      <c r="D216" s="9"/>
      <c r="E216" s="9"/>
      <c r="F216" s="9"/>
      <c r="G216" s="9"/>
      <c r="H216" s="9"/>
      <c r="I216" s="13"/>
    </row>
    <row r="217" ht="60.0" customHeight="1">
      <c r="A217" s="15" t="s">
        <v>16</v>
      </c>
      <c r="B217" s="22" t="str">
        <f t="array" ref="B217">iferror(VLOOKUP(INDIRECT(ADDRESS(ROW()+1,COLUMN(), 4)),Dex!$A$2:$C449,3,false),"")</f>
        <v/>
      </c>
      <c r="C217" s="22" t="str">
        <f t="array" ref="C217">iferror(VLOOKUP(INDIRECT(ADDRESS(ROW()+1,COLUMN(), 4)),Dex!$A$2:$C449,3,false),"")</f>
        <v/>
      </c>
      <c r="D217" s="22" t="str">
        <f t="array" ref="D217">iferror(VLOOKUP(INDIRECT(ADDRESS(ROW()+1,COLUMN(), 4)),Dex!$A$2:$C449,3,false),"")</f>
        <v/>
      </c>
      <c r="E217" s="22" t="str">
        <f t="array" ref="E217">iferror(VLOOKUP(INDIRECT(ADDRESS(ROW()+1,COLUMN(), 4)),Dex!$A$2:$C449,3,false),"")</f>
        <v/>
      </c>
      <c r="F217" s="22" t="str">
        <f t="array" ref="F217">iferror(VLOOKUP(INDIRECT(ADDRESS(ROW()+1,COLUMN(), 4)),Dex!$A$2:$C449,3,false),"")</f>
        <v/>
      </c>
      <c r="G217" s="22" t="str">
        <f t="array" ref="G217">iferror(VLOOKUP(INDIRECT(ADDRESS(ROW()+1,COLUMN(), 4)),Dex!$A$2:$C449,3,false),"")</f>
        <v/>
      </c>
      <c r="H217" s="23" t="str">
        <f t="array" ref="H217">iferror(VLOOKUP("TRAINER_PIC_Lass",Sprites!$A$1:$B449,2,false),"")</f>
        <v/>
      </c>
      <c r="I217" s="24"/>
    </row>
    <row r="218">
      <c r="A218" s="25"/>
      <c r="B218" s="26" t="s">
        <v>980</v>
      </c>
      <c r="C218" s="26" t="s">
        <v>1121</v>
      </c>
      <c r="D218" s="26" t="s">
        <v>2160</v>
      </c>
      <c r="E218" s="26"/>
      <c r="F218" s="26"/>
      <c r="G218" s="26"/>
      <c r="H218" s="27"/>
    </row>
    <row r="219">
      <c r="A219" s="10" t="s">
        <v>199</v>
      </c>
      <c r="B219" s="22">
        <v>63.0</v>
      </c>
      <c r="C219" s="22">
        <v>63.0</v>
      </c>
      <c r="D219" s="22">
        <v>64.0</v>
      </c>
      <c r="E219" s="22"/>
      <c r="F219" s="22"/>
      <c r="G219" s="22"/>
      <c r="H219" s="27"/>
    </row>
    <row r="220">
      <c r="A220" s="10" t="s">
        <v>201</v>
      </c>
      <c r="B220" s="29" t="s">
        <v>1342</v>
      </c>
      <c r="C220" s="29" t="s">
        <v>645</v>
      </c>
      <c r="D220" s="29" t="s">
        <v>1456</v>
      </c>
      <c r="E220" s="29"/>
      <c r="F220" s="29"/>
      <c r="G220" s="29"/>
      <c r="H220" s="27"/>
    </row>
    <row r="221">
      <c r="A221" s="10" t="s">
        <v>209</v>
      </c>
      <c r="B221" s="22" t="s">
        <v>1284</v>
      </c>
      <c r="C221" s="22" t="s">
        <v>1785</v>
      </c>
      <c r="D221" s="22" t="s">
        <v>1152</v>
      </c>
      <c r="E221" s="22"/>
      <c r="F221" s="22"/>
      <c r="G221" s="22"/>
      <c r="H221" s="27"/>
    </row>
    <row r="222">
      <c r="A222" s="10" t="s">
        <v>215</v>
      </c>
      <c r="B222" s="29" t="s">
        <v>231</v>
      </c>
      <c r="C222" s="29" t="s">
        <v>419</v>
      </c>
      <c r="D222" s="29" t="s">
        <v>419</v>
      </c>
      <c r="E222" s="29"/>
      <c r="F222" s="29"/>
      <c r="G222" s="29"/>
      <c r="H222" s="27"/>
    </row>
    <row r="223">
      <c r="A223" s="15" t="s">
        <v>224</v>
      </c>
      <c r="B223" s="22" t="s">
        <v>1037</v>
      </c>
      <c r="C223" s="22" t="s">
        <v>2705</v>
      </c>
      <c r="D223" s="22" t="s">
        <v>694</v>
      </c>
      <c r="E223" s="22"/>
      <c r="F223" s="22"/>
      <c r="G223" s="22"/>
      <c r="H223" s="27"/>
    </row>
    <row r="224">
      <c r="A224" s="30"/>
      <c r="B224" s="22" t="s">
        <v>1040</v>
      </c>
      <c r="C224" s="22" t="s">
        <v>357</v>
      </c>
      <c r="D224" s="22" t="s">
        <v>584</v>
      </c>
      <c r="E224" s="22"/>
      <c r="F224" s="22"/>
      <c r="G224" s="22"/>
      <c r="H224" s="27"/>
    </row>
    <row r="225">
      <c r="A225" s="30"/>
      <c r="B225" s="22" t="s">
        <v>1162</v>
      </c>
      <c r="C225" s="22" t="s">
        <v>1036</v>
      </c>
      <c r="D225" s="22" t="s">
        <v>2397</v>
      </c>
      <c r="E225" s="22"/>
      <c r="F225" s="22"/>
      <c r="G225" s="22"/>
      <c r="H225" s="27"/>
    </row>
    <row r="226">
      <c r="A226" s="25"/>
      <c r="B226" s="22" t="s">
        <v>1771</v>
      </c>
      <c r="C226" s="22" t="s">
        <v>1031</v>
      </c>
      <c r="D226" s="22" t="s">
        <v>1158</v>
      </c>
      <c r="E226" s="22"/>
      <c r="F226" s="22"/>
      <c r="G226" s="22"/>
      <c r="H226" s="31"/>
      <c r="I226" s="32"/>
    </row>
    <row r="227">
      <c r="A227" s="10" t="s">
        <v>5</v>
      </c>
      <c r="B227" s="11" t="s">
        <v>2707</v>
      </c>
      <c r="C227" s="9"/>
      <c r="D227" s="9"/>
      <c r="E227" s="9"/>
      <c r="F227" s="9"/>
      <c r="G227" s="9"/>
      <c r="H227" s="9"/>
      <c r="I227" s="10"/>
    </row>
    <row r="228" ht="60.0" customHeight="1">
      <c r="A228" s="15" t="s">
        <v>16</v>
      </c>
      <c r="B228" s="22" t="str">
        <f t="array" ref="B228">iferror(VLOOKUP(INDIRECT(ADDRESS(ROW()+1,COLUMN(), 4)),Dex!$A$2:$C449,3,false),"")</f>
        <v/>
      </c>
      <c r="C228" s="22" t="str">
        <f t="array" ref="C228">iferror(VLOOKUP(INDIRECT(ADDRESS(ROW()+1,COLUMN(), 4)),Dex!$A$2:$C449,3,false),"")</f>
        <v/>
      </c>
      <c r="D228" s="22" t="str">
        <f t="array" ref="D228">iferror(VLOOKUP(INDIRECT(ADDRESS(ROW()+1,COLUMN(), 4)),Dex!$A$2:$C449,3,false),"")</f>
        <v/>
      </c>
      <c r="E228" s="22" t="str">
        <f t="array" ref="E228">iferror(VLOOKUP(INDIRECT(ADDRESS(ROW()+1,COLUMN(), 4)),Dex!$A$2:$C449,3,false),"")</f>
        <v/>
      </c>
      <c r="F228" s="22" t="str">
        <f t="array" ref="F228">iferror(VLOOKUP(INDIRECT(ADDRESS(ROW()+1,COLUMN(), 4)),Dex!$A$2:$C449,3,false),"")</f>
        <v/>
      </c>
      <c r="G228" s="22" t="str">
        <f t="array" ref="G228">iferror(VLOOKUP(INDIRECT(ADDRESS(ROW()+1,COLUMN(), 4)),Dex!$A$2:$C449,3,false),"")</f>
        <v/>
      </c>
      <c r="H228" s="23" t="str">
        <f t="array" ref="H228">iferror(VLOOKUP("TRAINER_PIC_School_Kid_M",Sprites!$A$1:$B449,2,false),"")</f>
        <v/>
      </c>
      <c r="I228" s="24"/>
    </row>
    <row r="229">
      <c r="A229" s="25"/>
      <c r="B229" s="26" t="s">
        <v>1377</v>
      </c>
      <c r="C229" s="26" t="s">
        <v>1491</v>
      </c>
      <c r="D229" s="26" t="s">
        <v>1570</v>
      </c>
      <c r="E229" s="26"/>
      <c r="F229" s="26"/>
      <c r="G229" s="26"/>
      <c r="H229" s="27"/>
    </row>
    <row r="230">
      <c r="A230" s="10" t="s">
        <v>199</v>
      </c>
      <c r="B230" s="22">
        <v>63.0</v>
      </c>
      <c r="C230" s="22">
        <v>64.0</v>
      </c>
      <c r="D230" s="22" t="s">
        <v>2727</v>
      </c>
      <c r="E230" s="22"/>
      <c r="F230" s="22"/>
      <c r="G230" s="22"/>
      <c r="H230" s="27"/>
    </row>
    <row r="231">
      <c r="A231" s="10" t="s">
        <v>201</v>
      </c>
      <c r="B231" s="29" t="s">
        <v>1242</v>
      </c>
      <c r="C231" s="29" t="s">
        <v>2474</v>
      </c>
      <c r="D231" s="29" t="s">
        <v>645</v>
      </c>
      <c r="E231" s="29"/>
      <c r="F231" s="29"/>
      <c r="G231" s="29"/>
      <c r="H231" s="27"/>
    </row>
    <row r="232">
      <c r="A232" s="10" t="s">
        <v>209</v>
      </c>
      <c r="B232" s="22" t="s">
        <v>1763</v>
      </c>
      <c r="C232" s="22" t="s">
        <v>210</v>
      </c>
      <c r="D232" s="22" t="s">
        <v>2405</v>
      </c>
      <c r="E232" s="22"/>
      <c r="F232" s="22"/>
      <c r="G232" s="22"/>
      <c r="H232" s="27"/>
    </row>
    <row r="233">
      <c r="A233" s="10" t="s">
        <v>215</v>
      </c>
      <c r="B233" s="29" t="s">
        <v>419</v>
      </c>
      <c r="C233" s="29" t="s">
        <v>419</v>
      </c>
      <c r="D233" s="29" t="s">
        <v>906</v>
      </c>
      <c r="E233" s="29"/>
      <c r="F233" s="29"/>
      <c r="G233" s="29"/>
      <c r="H233" s="27"/>
    </row>
    <row r="234">
      <c r="A234" s="15" t="s">
        <v>224</v>
      </c>
      <c r="B234" s="22" t="s">
        <v>570</v>
      </c>
      <c r="C234" s="22" t="s">
        <v>920</v>
      </c>
      <c r="D234" s="22" t="s">
        <v>2397</v>
      </c>
      <c r="E234" s="22"/>
      <c r="F234" s="22"/>
      <c r="G234" s="22"/>
      <c r="H234" s="27"/>
    </row>
    <row r="235">
      <c r="A235" s="30"/>
      <c r="B235" s="22" t="s">
        <v>576</v>
      </c>
      <c r="C235" s="22" t="s">
        <v>805</v>
      </c>
      <c r="D235" s="22" t="s">
        <v>246</v>
      </c>
      <c r="E235" s="22"/>
      <c r="F235" s="22"/>
      <c r="G235" s="22"/>
      <c r="H235" s="27"/>
    </row>
    <row r="236">
      <c r="A236" s="30"/>
      <c r="B236" s="22" t="s">
        <v>360</v>
      </c>
      <c r="C236" s="22" t="s">
        <v>1551</v>
      </c>
      <c r="D236" s="22" t="s">
        <v>238</v>
      </c>
      <c r="E236" s="22"/>
      <c r="F236" s="22"/>
      <c r="G236" s="22"/>
      <c r="H236" s="27"/>
    </row>
    <row r="237">
      <c r="A237" s="25"/>
      <c r="B237" s="22" t="s">
        <v>2512</v>
      </c>
      <c r="C237" s="22" t="s">
        <v>1891</v>
      </c>
      <c r="D237" s="22" t="s">
        <v>467</v>
      </c>
      <c r="E237" s="22"/>
      <c r="F237" s="22"/>
      <c r="G237" s="22"/>
      <c r="H237" s="31"/>
      <c r="I237" s="32"/>
    </row>
    <row r="238">
      <c r="A238" s="10" t="s">
        <v>5</v>
      </c>
      <c r="B238" s="11" t="s">
        <v>2728</v>
      </c>
      <c r="C238" s="9"/>
      <c r="D238" s="9"/>
      <c r="E238" s="9"/>
      <c r="F238" s="9"/>
      <c r="G238" s="9"/>
      <c r="H238" s="9"/>
      <c r="I238" s="52"/>
    </row>
    <row r="239" ht="60.0" customHeight="1">
      <c r="A239" s="15" t="s">
        <v>16</v>
      </c>
      <c r="B239" s="22" t="str">
        <f t="array" ref="B239">iferror(VLOOKUP(INDIRECT(ADDRESS(ROW()+1,COLUMN(), 4)),Dex!$A$2:$C449,3,false),"")</f>
        <v/>
      </c>
      <c r="C239" s="22" t="str">
        <f t="array" ref="C239">iferror(VLOOKUP(INDIRECT(ADDRESS(ROW()+1,COLUMN(), 4)),Dex!$A$2:$C449,3,false),"")</f>
        <v/>
      </c>
      <c r="D239" s="22" t="str">
        <f t="array" ref="D239">iferror(VLOOKUP(INDIRECT(ADDRESS(ROW()+1,COLUMN(), 4)),Dex!$A$2:$C449,3,false),"")</f>
        <v/>
      </c>
      <c r="E239" s="22" t="str">
        <f t="array" ref="E239">iferror(VLOOKUP(INDIRECT(ADDRESS(ROW()+1,COLUMN(), 4)),Dex!$A$2:$C449,3,false),"")</f>
        <v/>
      </c>
      <c r="F239" s="22" t="str">
        <f t="array" ref="F239">iferror(VLOOKUP(INDIRECT(ADDRESS(ROW()+1,COLUMN(), 4)),Dex!$A$2:$C449,3,false),"")</f>
        <v/>
      </c>
      <c r="G239" s="22" t="str">
        <f t="array" ref="G239">iferror(VLOOKUP(INDIRECT(ADDRESS(ROW()+1,COLUMN(), 4)),Dex!$A$2:$C449,3,false),"")</f>
        <v/>
      </c>
      <c r="H239" s="23" t="str">
        <f t="array" ref="H239">iferror(VLOOKUP("TRAINER_PIC_Rich_Boy",Sprites!$A$1:$B449,2,false),"")</f>
        <v/>
      </c>
      <c r="I239" s="24"/>
    </row>
    <row r="240">
      <c r="A240" s="25"/>
      <c r="B240" s="26" t="s">
        <v>187</v>
      </c>
      <c r="C240" s="26" t="s">
        <v>1486</v>
      </c>
      <c r="D240" s="26" t="s">
        <v>1044</v>
      </c>
      <c r="E240" s="26" t="s">
        <v>586</v>
      </c>
      <c r="F240" s="26"/>
      <c r="G240" s="26"/>
      <c r="H240" s="27"/>
    </row>
    <row r="241">
      <c r="A241" s="10" t="s">
        <v>199</v>
      </c>
      <c r="B241" s="22">
        <v>63.0</v>
      </c>
      <c r="C241" s="22">
        <v>64.0</v>
      </c>
      <c r="D241" s="22">
        <v>64.0</v>
      </c>
      <c r="E241" s="22">
        <v>64.0</v>
      </c>
      <c r="F241" s="22"/>
      <c r="G241" s="22"/>
      <c r="H241" s="27"/>
    </row>
    <row r="242">
      <c r="A242" s="10" t="s">
        <v>201</v>
      </c>
      <c r="B242" s="29" t="s">
        <v>455</v>
      </c>
      <c r="C242" s="29" t="s">
        <v>645</v>
      </c>
      <c r="D242" s="29" t="s">
        <v>2744</v>
      </c>
      <c r="E242" s="29" t="s">
        <v>645</v>
      </c>
      <c r="F242" s="29"/>
      <c r="G242" s="29"/>
      <c r="H242" s="27"/>
    </row>
    <row r="243">
      <c r="A243" s="10" t="s">
        <v>209</v>
      </c>
      <c r="B243" s="22" t="s">
        <v>1747</v>
      </c>
      <c r="C243" s="22" t="s">
        <v>1025</v>
      </c>
      <c r="D243" s="22" t="s">
        <v>2593</v>
      </c>
      <c r="E243" s="22" t="s">
        <v>911</v>
      </c>
      <c r="F243" s="22"/>
      <c r="G243" s="22"/>
      <c r="H243" s="27"/>
    </row>
    <row r="244">
      <c r="A244" s="10" t="s">
        <v>215</v>
      </c>
      <c r="B244" s="29" t="s">
        <v>419</v>
      </c>
      <c r="C244" s="29" t="s">
        <v>220</v>
      </c>
      <c r="D244" s="29" t="s">
        <v>220</v>
      </c>
      <c r="E244" s="29" t="s">
        <v>906</v>
      </c>
      <c r="F244" s="29"/>
      <c r="G244" s="29"/>
      <c r="H244" s="27"/>
    </row>
    <row r="245">
      <c r="A245" s="15" t="s">
        <v>224</v>
      </c>
      <c r="B245" s="22" t="s">
        <v>246</v>
      </c>
      <c r="C245" s="22" t="s">
        <v>1031</v>
      </c>
      <c r="D245" s="22" t="s">
        <v>1466</v>
      </c>
      <c r="E245" s="22" t="s">
        <v>940</v>
      </c>
      <c r="F245" s="22"/>
      <c r="G245" s="22"/>
      <c r="H245" s="27"/>
    </row>
    <row r="246">
      <c r="A246" s="30"/>
      <c r="B246" s="22" t="s">
        <v>805</v>
      </c>
      <c r="C246" s="22" t="s">
        <v>925</v>
      </c>
      <c r="D246" s="22" t="s">
        <v>1941</v>
      </c>
      <c r="E246" s="22" t="s">
        <v>2321</v>
      </c>
      <c r="F246" s="22"/>
      <c r="G246" s="22"/>
      <c r="H246" s="27"/>
    </row>
    <row r="247">
      <c r="A247" s="30"/>
      <c r="B247" s="22" t="s">
        <v>924</v>
      </c>
      <c r="C247" s="22" t="s">
        <v>555</v>
      </c>
      <c r="D247" s="22" t="s">
        <v>356</v>
      </c>
      <c r="E247" s="22" t="s">
        <v>1551</v>
      </c>
      <c r="F247" s="22"/>
      <c r="G247" s="22"/>
      <c r="H247" s="27"/>
    </row>
    <row r="248">
      <c r="A248" s="25"/>
      <c r="B248" s="22" t="s">
        <v>581</v>
      </c>
      <c r="C248" s="22" t="s">
        <v>2745</v>
      </c>
      <c r="D248" s="22" t="s">
        <v>937</v>
      </c>
      <c r="E248" s="22" t="s">
        <v>428</v>
      </c>
      <c r="F248" s="22"/>
      <c r="G248" s="22"/>
      <c r="H248" s="31"/>
      <c r="I248" s="32"/>
    </row>
    <row r="249">
      <c r="A249" s="10" t="s">
        <v>5</v>
      </c>
      <c r="B249" s="11" t="s">
        <v>2746</v>
      </c>
      <c r="C249" s="9"/>
      <c r="D249" s="9"/>
      <c r="E249" s="9"/>
      <c r="F249" s="9"/>
      <c r="G249" s="9"/>
      <c r="H249" s="9"/>
      <c r="I249" s="10"/>
    </row>
    <row r="250" ht="60.0" customHeight="1">
      <c r="A250" s="15" t="s">
        <v>16</v>
      </c>
      <c r="B250" s="22" t="str">
        <f t="array" ref="B250">iferror(VLOOKUP(INDIRECT(ADDRESS(ROW()+1,COLUMN(), 4)),Dex!$A$2:$C449,3,false),"")</f>
        <v/>
      </c>
      <c r="C250" s="22" t="str">
        <f t="array" ref="C250">iferror(VLOOKUP(INDIRECT(ADDRESS(ROW()+1,COLUMN(), 4)),Dex!$A$2:$C449,3,false),"")</f>
        <v/>
      </c>
      <c r="D250" s="22" t="str">
        <f t="array" ref="D250">iferror(VLOOKUP(INDIRECT(ADDRESS(ROW()+1,COLUMN(), 4)),Dex!$A$2:$C449,3,false),"")</f>
        <v/>
      </c>
      <c r="E250" s="22" t="str">
        <f t="array" ref="E250">iferror(VLOOKUP(INDIRECT(ADDRESS(ROW()+1,COLUMN(), 4)),Dex!$A$2:$C449,3,false),"")</f>
        <v/>
      </c>
      <c r="F250" s="22" t="str">
        <f t="array" ref="F250">iferror(VLOOKUP(INDIRECT(ADDRESS(ROW()+1,COLUMN(), 4)),Dex!$A$2:$C449,3,false),"")</f>
        <v/>
      </c>
      <c r="G250" s="22" t="str">
        <f t="array" ref="G250">iferror(VLOOKUP(INDIRECT(ADDRESS(ROW()+1,COLUMN(), 4)),Dex!$A$2:$C449,3,false),"")</f>
        <v/>
      </c>
      <c r="H250" s="23" t="str">
        <f t="array" ref="H250">iferror(VLOOKUP("TRAINER_PIC_Lady",Sprites!$A$1:$B449,2,false),"")</f>
        <v/>
      </c>
      <c r="I250" s="24"/>
    </row>
    <row r="251">
      <c r="A251" s="25"/>
      <c r="B251" s="26" t="s">
        <v>1816</v>
      </c>
      <c r="C251" s="26" t="s">
        <v>1179</v>
      </c>
      <c r="D251" s="26" t="s">
        <v>132</v>
      </c>
      <c r="E251" s="26" t="s">
        <v>583</v>
      </c>
      <c r="F251" s="26"/>
      <c r="G251" s="26"/>
      <c r="H251" s="27"/>
    </row>
    <row r="252">
      <c r="A252" s="10" t="s">
        <v>199</v>
      </c>
      <c r="B252" s="22">
        <v>63.0</v>
      </c>
      <c r="C252" s="22">
        <v>64.0</v>
      </c>
      <c r="D252" s="22">
        <v>64.0</v>
      </c>
      <c r="E252" s="22">
        <v>64.0</v>
      </c>
      <c r="F252" s="22"/>
      <c r="G252" s="22"/>
      <c r="H252" s="27"/>
    </row>
    <row r="253">
      <c r="A253" s="10" t="s">
        <v>201</v>
      </c>
      <c r="B253" s="29" t="s">
        <v>1926</v>
      </c>
      <c r="C253" s="29" t="s">
        <v>1518</v>
      </c>
      <c r="D253" s="29" t="s">
        <v>2434</v>
      </c>
      <c r="E253" s="29" t="s">
        <v>453</v>
      </c>
      <c r="F253" s="29"/>
      <c r="G253" s="29"/>
      <c r="H253" s="27"/>
    </row>
    <row r="254">
      <c r="A254" s="10" t="s">
        <v>209</v>
      </c>
      <c r="B254" s="22" t="s">
        <v>415</v>
      </c>
      <c r="C254" s="22" t="s">
        <v>217</v>
      </c>
      <c r="D254" s="22" t="s">
        <v>1459</v>
      </c>
      <c r="E254" s="22" t="s">
        <v>1840</v>
      </c>
      <c r="F254" s="22"/>
      <c r="G254" s="22"/>
      <c r="H254" s="27"/>
    </row>
    <row r="255">
      <c r="A255" s="10" t="s">
        <v>215</v>
      </c>
      <c r="B255" s="29" t="s">
        <v>906</v>
      </c>
      <c r="C255" s="29" t="s">
        <v>1346</v>
      </c>
      <c r="D255" s="29" t="s">
        <v>231</v>
      </c>
      <c r="E255" s="29" t="s">
        <v>419</v>
      </c>
      <c r="F255" s="29"/>
      <c r="G255" s="29"/>
      <c r="H255" s="27"/>
    </row>
    <row r="256">
      <c r="A256" s="15" t="s">
        <v>224</v>
      </c>
      <c r="B256" s="22" t="s">
        <v>360</v>
      </c>
      <c r="C256" s="22" t="s">
        <v>432</v>
      </c>
      <c r="D256" s="22" t="s">
        <v>936</v>
      </c>
      <c r="E256" s="22" t="s">
        <v>2619</v>
      </c>
      <c r="F256" s="22"/>
      <c r="G256" s="22"/>
      <c r="H256" s="27"/>
    </row>
    <row r="257">
      <c r="A257" s="30"/>
      <c r="B257" s="22" t="s">
        <v>565</v>
      </c>
      <c r="C257" s="22" t="s">
        <v>362</v>
      </c>
      <c r="D257" s="22" t="s">
        <v>477</v>
      </c>
      <c r="E257" s="22" t="s">
        <v>920</v>
      </c>
      <c r="F257" s="22"/>
      <c r="G257" s="22"/>
      <c r="H257" s="27"/>
    </row>
    <row r="258">
      <c r="A258" s="30"/>
      <c r="B258" s="22" t="s">
        <v>2319</v>
      </c>
      <c r="C258" s="22" t="s">
        <v>2450</v>
      </c>
      <c r="D258" s="22" t="s">
        <v>809</v>
      </c>
      <c r="E258" s="22" t="s">
        <v>701</v>
      </c>
      <c r="F258" s="22"/>
      <c r="G258" s="22"/>
      <c r="H258" s="27"/>
    </row>
    <row r="259">
      <c r="A259" s="25"/>
      <c r="B259" s="22" t="s">
        <v>1716</v>
      </c>
      <c r="C259" s="22" t="s">
        <v>253</v>
      </c>
      <c r="D259" s="22" t="s">
        <v>937</v>
      </c>
      <c r="E259" s="22" t="s">
        <v>358</v>
      </c>
      <c r="F259" s="22"/>
      <c r="G259" s="22"/>
      <c r="H259" s="31"/>
      <c r="I259" s="32"/>
    </row>
    <row r="260">
      <c r="A260" s="10" t="s">
        <v>5</v>
      </c>
      <c r="B260" s="11" t="s">
        <v>2754</v>
      </c>
      <c r="C260" s="9"/>
      <c r="D260" s="9"/>
      <c r="E260" s="9"/>
      <c r="F260" s="9"/>
      <c r="G260" s="9"/>
      <c r="H260" s="9"/>
      <c r="I260" s="10"/>
    </row>
    <row r="261" ht="60.0" customHeight="1">
      <c r="A261" s="15" t="s">
        <v>16</v>
      </c>
      <c r="B261" s="22" t="str">
        <f t="array" ref="B261">iferror(VLOOKUP(INDIRECT(ADDRESS(ROW()+1,COLUMN(), 4)),Dex!$A$2:$C449,3,false),"")</f>
        <v/>
      </c>
      <c r="C261" s="22" t="str">
        <f t="array" ref="C261">iferror(VLOOKUP(INDIRECT(ADDRESS(ROW()+1,COLUMN(), 4)),Dex!$A$2:$C449,3,false),"")</f>
        <v/>
      </c>
      <c r="D261" s="22" t="str">
        <f t="array" ref="D261">iferror(VLOOKUP(INDIRECT(ADDRESS(ROW()+1,COLUMN(), 4)),Dex!$A$2:$C449,3,false),"")</f>
        <v/>
      </c>
      <c r="E261" s="22" t="str">
        <f t="array" ref="E261">iferror(VLOOKUP(INDIRECT(ADDRESS(ROW()+1,COLUMN(), 4)),Dex!$A$2:$C449,3,false),"")</f>
        <v/>
      </c>
      <c r="F261" s="22" t="str">
        <f t="array" ref="F261">iferror(VLOOKUP(INDIRECT(ADDRESS(ROW()+1,COLUMN(), 4)),Dex!$A$2:$C449,3,false),"")</f>
        <v/>
      </c>
      <c r="G261" s="22" t="str">
        <f t="array" ref="G261">iferror(VLOOKUP(INDIRECT(ADDRESS(ROW()+1,COLUMN(), 4)),Dex!$A$2:$C449,3,false),"")</f>
        <v/>
      </c>
      <c r="H261" s="23" t="str">
        <f t="array" ref="H261">iferror(VLOOKUP("TRAINER_PIC_Youngster",Sprites!$A$1:$B449,2,false),"")</f>
        <v/>
      </c>
      <c r="I261" s="24"/>
    </row>
    <row r="262">
      <c r="A262" s="25"/>
      <c r="B262" s="26" t="s">
        <v>1322</v>
      </c>
      <c r="C262" s="26" t="s">
        <v>1506</v>
      </c>
      <c r="D262" s="26" t="s">
        <v>445</v>
      </c>
      <c r="E262" s="26" t="s">
        <v>2046</v>
      </c>
      <c r="F262" s="26"/>
      <c r="G262" s="26"/>
      <c r="H262" s="27"/>
    </row>
    <row r="263">
      <c r="A263" s="10" t="s">
        <v>199</v>
      </c>
      <c r="B263" s="22">
        <v>63.0</v>
      </c>
      <c r="C263" s="22">
        <v>64.0</v>
      </c>
      <c r="D263" s="22">
        <v>64.0</v>
      </c>
      <c r="E263" s="22">
        <v>64.0</v>
      </c>
      <c r="F263" s="22"/>
      <c r="G263" s="22"/>
      <c r="H263" s="27"/>
    </row>
    <row r="264">
      <c r="A264" s="10" t="s">
        <v>201</v>
      </c>
      <c r="B264" s="29" t="s">
        <v>455</v>
      </c>
      <c r="C264" s="29" t="s">
        <v>1213</v>
      </c>
      <c r="D264" s="29" t="s">
        <v>1928</v>
      </c>
      <c r="E264" s="29" t="s">
        <v>645</v>
      </c>
      <c r="F264" s="29"/>
      <c r="G264" s="29"/>
      <c r="H264" s="27"/>
    </row>
    <row r="265">
      <c r="A265" s="10" t="s">
        <v>209</v>
      </c>
      <c r="B265" s="22" t="s">
        <v>1337</v>
      </c>
      <c r="C265" s="22" t="s">
        <v>1339</v>
      </c>
      <c r="D265" s="22" t="s">
        <v>1641</v>
      </c>
      <c r="E265" s="22" t="s">
        <v>2723</v>
      </c>
      <c r="F265" s="22"/>
      <c r="G265" s="22"/>
      <c r="H265" s="27"/>
    </row>
    <row r="266">
      <c r="A266" s="10" t="s">
        <v>215</v>
      </c>
      <c r="B266" s="29" t="s">
        <v>904</v>
      </c>
      <c r="C266" s="29" t="s">
        <v>231</v>
      </c>
      <c r="D266" s="29" t="s">
        <v>419</v>
      </c>
      <c r="E266" s="29" t="s">
        <v>542</v>
      </c>
      <c r="F266" s="29"/>
      <c r="G266" s="29"/>
      <c r="H266" s="27"/>
    </row>
    <row r="267">
      <c r="A267" s="15" t="s">
        <v>224</v>
      </c>
      <c r="B267" s="22" t="s">
        <v>2387</v>
      </c>
      <c r="C267" s="22" t="s">
        <v>2020</v>
      </c>
      <c r="D267" s="22" t="s">
        <v>1354</v>
      </c>
      <c r="E267" s="22" t="s">
        <v>565</v>
      </c>
      <c r="F267" s="22"/>
      <c r="G267" s="22"/>
      <c r="H267" s="27"/>
    </row>
    <row r="268">
      <c r="A268" s="30"/>
      <c r="B268" s="22" t="s">
        <v>2386</v>
      </c>
      <c r="C268" s="22" t="s">
        <v>363</v>
      </c>
      <c r="D268" s="22" t="s">
        <v>1937</v>
      </c>
      <c r="E268" s="22" t="s">
        <v>367</v>
      </c>
      <c r="F268" s="22"/>
      <c r="G268" s="22"/>
      <c r="H268" s="27"/>
    </row>
    <row r="269">
      <c r="A269" s="30"/>
      <c r="B269" s="22" t="s">
        <v>361</v>
      </c>
      <c r="C269" s="22" t="s">
        <v>2002</v>
      </c>
      <c r="D269" s="22" t="s">
        <v>2115</v>
      </c>
      <c r="E269" s="22" t="s">
        <v>2725</v>
      </c>
      <c r="F269" s="22"/>
      <c r="G269" s="22"/>
      <c r="H269" s="27"/>
    </row>
    <row r="270">
      <c r="A270" s="25"/>
      <c r="B270" s="22" t="s">
        <v>356</v>
      </c>
      <c r="C270" s="22" t="s">
        <v>247</v>
      </c>
      <c r="D270" s="22" t="s">
        <v>246</v>
      </c>
      <c r="E270" s="22" t="s">
        <v>555</v>
      </c>
      <c r="F270" s="22"/>
      <c r="G270" s="22"/>
      <c r="H270" s="31"/>
      <c r="I270" s="32"/>
    </row>
    <row r="271">
      <c r="A271" s="10" t="s">
        <v>5</v>
      </c>
      <c r="B271" s="11" t="s">
        <v>2760</v>
      </c>
      <c r="C271" s="9"/>
      <c r="D271" s="9"/>
      <c r="E271" s="9"/>
      <c r="F271" s="9"/>
      <c r="G271" s="9"/>
      <c r="H271" s="9"/>
      <c r="I271" s="13"/>
    </row>
    <row r="272" ht="60.0" customHeight="1">
      <c r="A272" s="15" t="s">
        <v>16</v>
      </c>
      <c r="B272" s="22" t="str">
        <f t="array" ref="B272">iferror(VLOOKUP(INDIRECT(ADDRESS(ROW()+1,COLUMN(), 4)),Dex!$A$2:$C449,3,false),"")</f>
        <v/>
      </c>
      <c r="C272" s="22" t="str">
        <f t="array" ref="C272">iferror(VLOOKUP(INDIRECT(ADDRESS(ROW()+1,COLUMN(), 4)),Dex!$A$2:$C449,3,false),"")</f>
        <v/>
      </c>
      <c r="D272" s="22" t="str">
        <f t="array" ref="D272">iferror(VLOOKUP(INDIRECT(ADDRESS(ROW()+1,COLUMN(), 4)),Dex!$A$2:$C449,3,false),"")</f>
        <v/>
      </c>
      <c r="E272" s="22" t="str">
        <f t="array" ref="E272">iferror(VLOOKUP(INDIRECT(ADDRESS(ROW()+1,COLUMN(), 4)),Dex!$A$2:$C449,3,false),"")</f>
        <v/>
      </c>
      <c r="F272" s="22" t="str">
        <f t="array" ref="F272">iferror(VLOOKUP(INDIRECT(ADDRESS(ROW()+1,COLUMN(), 4)),Dex!$A$2:$C449,3,false),"")</f>
        <v/>
      </c>
      <c r="G272" s="22" t="str">
        <f t="array" ref="G272">iferror(VLOOKUP(INDIRECT(ADDRESS(ROW()+1,COLUMN(), 4)),Dex!$A$2:$C449,3,false),"")</f>
        <v/>
      </c>
      <c r="H272" s="23" t="str">
        <f t="array" ref="H272">iferror(VLOOKUP("TRAINER_PIC_Magma_Grunt_M",Sprites!$A$1:$B449,2,false),"")</f>
        <v/>
      </c>
      <c r="I272" s="24"/>
    </row>
    <row r="273">
      <c r="A273" s="25"/>
      <c r="B273" s="26" t="s">
        <v>499</v>
      </c>
      <c r="C273" s="26" t="s">
        <v>1600</v>
      </c>
      <c r="D273" s="26" t="s">
        <v>1174</v>
      </c>
      <c r="E273" s="26" t="s">
        <v>1606</v>
      </c>
      <c r="F273" s="26" t="s">
        <v>1987</v>
      </c>
      <c r="G273" s="26"/>
      <c r="H273" s="27"/>
    </row>
    <row r="274">
      <c r="A274" s="10" t="s">
        <v>199</v>
      </c>
      <c r="B274" s="22">
        <v>64.0</v>
      </c>
      <c r="C274" s="22">
        <v>64.0</v>
      </c>
      <c r="D274" s="22">
        <v>65.0</v>
      </c>
      <c r="E274" s="22">
        <v>64.0</v>
      </c>
      <c r="F274" s="22">
        <v>65.0</v>
      </c>
      <c r="G274" s="22"/>
      <c r="H274" s="27"/>
    </row>
    <row r="275">
      <c r="A275" s="10" t="s">
        <v>201</v>
      </c>
      <c r="B275" s="29" t="s">
        <v>1928</v>
      </c>
      <c r="C275" s="29" t="s">
        <v>544</v>
      </c>
      <c r="D275" s="29" t="s">
        <v>2766</v>
      </c>
      <c r="E275" s="29" t="s">
        <v>1616</v>
      </c>
      <c r="F275" s="29" t="s">
        <v>1147</v>
      </c>
      <c r="G275" s="29"/>
      <c r="H275" s="27"/>
    </row>
    <row r="276">
      <c r="A276" s="10" t="s">
        <v>209</v>
      </c>
      <c r="B276" s="22" t="s">
        <v>2369</v>
      </c>
      <c r="C276" s="22" t="s">
        <v>553</v>
      </c>
      <c r="D276" s="22" t="s">
        <v>2527</v>
      </c>
      <c r="E276" s="22" t="s">
        <v>2767</v>
      </c>
      <c r="F276" s="22" t="s">
        <v>2625</v>
      </c>
      <c r="G276" s="22"/>
      <c r="H276" s="27"/>
    </row>
    <row r="277">
      <c r="A277" s="10" t="s">
        <v>215</v>
      </c>
      <c r="B277" s="29" t="s">
        <v>419</v>
      </c>
      <c r="C277" s="29" t="s">
        <v>220</v>
      </c>
      <c r="D277" s="29" t="s">
        <v>1346</v>
      </c>
      <c r="E277" s="29" t="s">
        <v>220</v>
      </c>
      <c r="F277" s="29" t="s">
        <v>220</v>
      </c>
      <c r="G277" s="29"/>
      <c r="H277" s="27"/>
    </row>
    <row r="278">
      <c r="A278" s="15" t="s">
        <v>224</v>
      </c>
      <c r="B278" s="22" t="s">
        <v>236</v>
      </c>
      <c r="C278" s="22" t="s">
        <v>2484</v>
      </c>
      <c r="D278" s="22" t="s">
        <v>2769</v>
      </c>
      <c r="E278" s="22" t="s">
        <v>2770</v>
      </c>
      <c r="F278" s="22" t="s">
        <v>951</v>
      </c>
      <c r="G278" s="22"/>
      <c r="H278" s="27"/>
    </row>
    <row r="279">
      <c r="A279" s="30"/>
      <c r="B279" s="22" t="s">
        <v>2771</v>
      </c>
      <c r="C279" s="22" t="s">
        <v>1791</v>
      </c>
      <c r="D279" s="22" t="s">
        <v>473</v>
      </c>
      <c r="E279" s="22" t="s">
        <v>946</v>
      </c>
      <c r="F279" s="22" t="s">
        <v>2772</v>
      </c>
      <c r="G279" s="22"/>
      <c r="H279" s="27"/>
    </row>
    <row r="280">
      <c r="A280" s="30"/>
      <c r="B280" s="22" t="s">
        <v>465</v>
      </c>
      <c r="C280" s="22" t="s">
        <v>938</v>
      </c>
      <c r="D280" s="22" t="s">
        <v>253</v>
      </c>
      <c r="E280" s="22" t="s">
        <v>1039</v>
      </c>
      <c r="F280" s="22" t="s">
        <v>1043</v>
      </c>
      <c r="G280" s="22"/>
      <c r="H280" s="27"/>
    </row>
    <row r="281">
      <c r="A281" s="25"/>
      <c r="B281" s="22" t="s">
        <v>1958</v>
      </c>
      <c r="C281" s="22" t="s">
        <v>1251</v>
      </c>
      <c r="D281" s="22" t="s">
        <v>2773</v>
      </c>
      <c r="E281" s="22" t="s">
        <v>465</v>
      </c>
      <c r="F281" s="22" t="s">
        <v>1069</v>
      </c>
      <c r="G281" s="22"/>
      <c r="H281" s="31"/>
      <c r="I281" s="32"/>
    </row>
    <row r="282">
      <c r="A282" s="10" t="s">
        <v>5</v>
      </c>
      <c r="B282" s="11" t="s">
        <v>2774</v>
      </c>
      <c r="C282" s="9"/>
      <c r="D282" s="9"/>
      <c r="E282" s="9"/>
      <c r="F282" s="9"/>
      <c r="G282" s="9"/>
      <c r="H282" s="9"/>
      <c r="I282" s="10"/>
    </row>
    <row r="283" ht="60.0" customHeight="1">
      <c r="A283" s="15" t="s">
        <v>16</v>
      </c>
      <c r="B283" s="22" t="str">
        <f t="array" ref="B283">iferror(VLOOKUP(INDIRECT(ADDRESS(ROW()+1,COLUMN(), 4)),Dex!$A$2:$C449,3,false),"")</f>
        <v/>
      </c>
      <c r="C283" s="22" t="str">
        <f t="array" ref="C283">iferror(VLOOKUP(INDIRECT(ADDRESS(ROW()+1,COLUMN(), 4)),Dex!$A$2:$C449,3,false),"")</f>
        <v/>
      </c>
      <c r="D283" s="22" t="str">
        <f t="array" ref="D283">iferror(VLOOKUP(INDIRECT(ADDRESS(ROW()+1,COLUMN(), 4)),Dex!$A$2:$C449,3,false),"")</f>
        <v/>
      </c>
      <c r="E283" s="22" t="str">
        <f t="array" ref="E283">iferror(VLOOKUP(INDIRECT(ADDRESS(ROW()+1,COLUMN(), 4)),Dex!$A$2:$C449,3,false),"")</f>
        <v/>
      </c>
      <c r="F283" s="22" t="str">
        <f t="array" ref="F283">iferror(VLOOKUP(INDIRECT(ADDRESS(ROW()+1,COLUMN(), 4)),Dex!$A$2:$C449,3,false),"")</f>
        <v/>
      </c>
      <c r="G283" s="22" t="str">
        <f t="array" ref="G283">iferror(VLOOKUP(INDIRECT(ADDRESS(ROW()+1,COLUMN(), 4)),Dex!$A$2:$C449,3,false),"")</f>
        <v/>
      </c>
      <c r="H283" s="23" t="str">
        <f t="array" ref="H283">iferror(VLOOKUP("TRAINER_PIC_Psychic_M",Sprites!$A$1:$B449,2,false),"")</f>
        <v/>
      </c>
      <c r="I283" s="24"/>
    </row>
    <row r="284">
      <c r="A284" s="25"/>
      <c r="B284" s="26" t="s">
        <v>522</v>
      </c>
      <c r="C284" s="26" t="s">
        <v>593</v>
      </c>
      <c r="D284" s="26"/>
      <c r="E284" s="26" t="s">
        <v>2130</v>
      </c>
      <c r="F284" s="26" t="s">
        <v>829</v>
      </c>
      <c r="G284" s="26" t="s">
        <v>300</v>
      </c>
      <c r="H284" s="27"/>
    </row>
    <row r="285">
      <c r="A285" s="10" t="s">
        <v>199</v>
      </c>
      <c r="B285" s="22">
        <v>64.0</v>
      </c>
      <c r="C285" s="22">
        <v>64.0</v>
      </c>
      <c r="D285" s="22"/>
      <c r="E285" s="22">
        <v>65.0</v>
      </c>
      <c r="F285" s="22">
        <v>64.0</v>
      </c>
      <c r="G285" s="22">
        <v>64.0</v>
      </c>
      <c r="H285" s="27"/>
    </row>
    <row r="286">
      <c r="A286" s="10" t="s">
        <v>201</v>
      </c>
      <c r="B286" s="29" t="s">
        <v>2032</v>
      </c>
      <c r="C286" s="29" t="s">
        <v>2784</v>
      </c>
      <c r="D286" s="29"/>
      <c r="E286" s="29" t="s">
        <v>1521</v>
      </c>
      <c r="F286" s="29" t="s">
        <v>2430</v>
      </c>
      <c r="G286" s="29" t="s">
        <v>203</v>
      </c>
      <c r="H286" s="27"/>
    </row>
    <row r="287">
      <c r="A287" s="10" t="s">
        <v>209</v>
      </c>
      <c r="B287" s="22" t="s">
        <v>2373</v>
      </c>
      <c r="C287" s="22" t="s">
        <v>2785</v>
      </c>
      <c r="D287" s="22"/>
      <c r="E287" s="22" t="s">
        <v>2762</v>
      </c>
      <c r="F287" s="22" t="s">
        <v>2423</v>
      </c>
      <c r="G287" s="22" t="s">
        <v>2423</v>
      </c>
      <c r="H287" s="27"/>
    </row>
    <row r="288">
      <c r="A288" s="10" t="s">
        <v>215</v>
      </c>
      <c r="B288" s="29" t="s">
        <v>419</v>
      </c>
      <c r="C288" s="29" t="s">
        <v>222</v>
      </c>
      <c r="D288" s="29"/>
      <c r="E288" s="29" t="s">
        <v>231</v>
      </c>
      <c r="F288" s="29" t="s">
        <v>220</v>
      </c>
      <c r="G288" s="29" t="s">
        <v>417</v>
      </c>
      <c r="H288" s="27"/>
    </row>
    <row r="289">
      <c r="A289" s="15" t="s">
        <v>224</v>
      </c>
      <c r="B289" s="22" t="s">
        <v>938</v>
      </c>
      <c r="C289" s="22" t="s">
        <v>2786</v>
      </c>
      <c r="D289" s="22"/>
      <c r="E289" s="22" t="s">
        <v>587</v>
      </c>
      <c r="F289" s="22" t="s">
        <v>2469</v>
      </c>
      <c r="G289" s="22" t="s">
        <v>920</v>
      </c>
      <c r="H289" s="27"/>
    </row>
    <row r="290">
      <c r="A290" s="30"/>
      <c r="B290" s="22" t="s">
        <v>1458</v>
      </c>
      <c r="C290" s="22" t="s">
        <v>355</v>
      </c>
      <c r="D290" s="22"/>
      <c r="E290" s="22" t="s">
        <v>1352</v>
      </c>
      <c r="F290" s="22" t="s">
        <v>473</v>
      </c>
      <c r="G290" s="22" t="s">
        <v>814</v>
      </c>
      <c r="H290" s="27"/>
    </row>
    <row r="291">
      <c r="A291" s="30"/>
      <c r="B291" s="22" t="s">
        <v>2115</v>
      </c>
      <c r="C291" s="22" t="s">
        <v>246</v>
      </c>
      <c r="D291" s="22"/>
      <c r="E291" s="22" t="s">
        <v>2110</v>
      </c>
      <c r="F291" s="22" t="s">
        <v>1125</v>
      </c>
      <c r="G291" s="22" t="s">
        <v>253</v>
      </c>
      <c r="H291" s="27"/>
    </row>
    <row r="292">
      <c r="A292" s="25"/>
      <c r="B292" s="22" t="s">
        <v>1661</v>
      </c>
      <c r="C292" s="22" t="s">
        <v>689</v>
      </c>
      <c r="D292" s="22"/>
      <c r="E292" s="22" t="s">
        <v>946</v>
      </c>
      <c r="F292" s="22" t="s">
        <v>361</v>
      </c>
      <c r="G292" s="22" t="s">
        <v>694</v>
      </c>
      <c r="H292" s="31"/>
      <c r="I292" s="32"/>
    </row>
    <row r="293">
      <c r="A293" s="8" t="s">
        <v>2787</v>
      </c>
      <c r="B293" s="9"/>
      <c r="C293" s="9"/>
      <c r="D293" s="9"/>
      <c r="E293" s="9"/>
      <c r="F293" s="9"/>
      <c r="G293" s="9"/>
      <c r="H293" s="9"/>
      <c r="I293" s="34"/>
    </row>
    <row r="294">
      <c r="A294" s="10" t="s">
        <v>5</v>
      </c>
      <c r="B294" s="11" t="s">
        <v>2790</v>
      </c>
      <c r="C294" s="9"/>
      <c r="D294" s="9"/>
      <c r="E294" s="9"/>
      <c r="F294" s="9"/>
      <c r="G294" s="9"/>
      <c r="H294" s="9"/>
      <c r="I294" s="10"/>
    </row>
    <row r="295" ht="60.0" customHeight="1">
      <c r="A295" s="15" t="s">
        <v>16</v>
      </c>
      <c r="B295" s="22" t="str">
        <f t="array" ref="B295">iferror(VLOOKUP(INDIRECT(ADDRESS(ROW()+1,COLUMN(), 4)),Dex!$A$2:$C449,3,false),"")</f>
        <v/>
      </c>
      <c r="C295" s="22" t="str">
        <f t="array" ref="C295">iferror(VLOOKUP(INDIRECT(ADDRESS(ROW()+1,COLUMN(), 4)),Dex!$A$2:$C449,3,false),"")</f>
        <v/>
      </c>
      <c r="D295" s="22" t="str">
        <f t="array" ref="D295">iferror(VLOOKUP(INDIRECT(ADDRESS(ROW()+1,COLUMN(), 4)),Dex!$A$2:$C449,3,false),"")</f>
        <v/>
      </c>
      <c r="E295" s="22" t="str">
        <f t="array" ref="E295">iferror(VLOOKUP(INDIRECT(ADDRESS(ROW()+1,COLUMN(), 4)),Dex!$A$2:$C449,3,false),"")</f>
        <v/>
      </c>
      <c r="F295" s="22" t="str">
        <f t="array" ref="F295">iferror(VLOOKUP(INDIRECT(ADDRESS(ROW()+1,COLUMN(), 4)),Dex!$A$2:$C449,3,false),"")</f>
        <v/>
      </c>
      <c r="G295" s="22" t="str">
        <f t="array" ref="G295">iferror(VLOOKUP(INDIRECT(ADDRESS(ROW()+1,COLUMN(), 4)),Dex!$A$2:$C449,3,false),"")</f>
        <v/>
      </c>
      <c r="H295" s="23" t="str">
        <f t="array" ref="H295">iferror(VLOOKUP("TRAINER_PIC_Aroma_Lady",Sprites!$A$1:$B449,2,false),"")</f>
        <v/>
      </c>
      <c r="I295" s="24"/>
    </row>
    <row r="296">
      <c r="A296" s="25"/>
      <c r="B296" s="26" t="s">
        <v>548</v>
      </c>
      <c r="C296" s="26" t="s">
        <v>1553</v>
      </c>
      <c r="D296" s="26" t="s">
        <v>1142</v>
      </c>
      <c r="E296" s="26" t="s">
        <v>1532</v>
      </c>
      <c r="F296" s="26"/>
      <c r="G296" s="26"/>
      <c r="H296" s="28"/>
    </row>
    <row r="297">
      <c r="A297" s="10" t="s">
        <v>199</v>
      </c>
      <c r="B297" s="22">
        <v>65.0</v>
      </c>
      <c r="C297" s="22">
        <v>64.0</v>
      </c>
      <c r="D297" s="22">
        <v>66.0</v>
      </c>
      <c r="E297" s="22">
        <v>64.0</v>
      </c>
      <c r="F297" s="22"/>
      <c r="G297" s="22"/>
      <c r="H297" s="27"/>
    </row>
    <row r="298">
      <c r="A298" s="10" t="s">
        <v>201</v>
      </c>
      <c r="B298" s="29" t="s">
        <v>645</v>
      </c>
      <c r="C298" s="29" t="s">
        <v>2324</v>
      </c>
      <c r="D298" s="29" t="s">
        <v>1122</v>
      </c>
      <c r="E298" s="29" t="s">
        <v>645</v>
      </c>
      <c r="F298" s="29"/>
      <c r="G298" s="29"/>
      <c r="H298" s="27"/>
    </row>
    <row r="299">
      <c r="A299" s="10" t="s">
        <v>209</v>
      </c>
      <c r="B299" s="22" t="s">
        <v>2801</v>
      </c>
      <c r="C299" s="22" t="s">
        <v>1763</v>
      </c>
      <c r="D299" s="22" t="s">
        <v>2473</v>
      </c>
      <c r="E299" s="22" t="s">
        <v>2596</v>
      </c>
      <c r="F299" s="22"/>
      <c r="G299" s="22"/>
      <c r="H299" s="27"/>
    </row>
    <row r="300">
      <c r="A300" s="10" t="s">
        <v>215</v>
      </c>
      <c r="B300" s="29" t="s">
        <v>231</v>
      </c>
      <c r="C300" s="29" t="s">
        <v>220</v>
      </c>
      <c r="D300" s="29" t="s">
        <v>231</v>
      </c>
      <c r="E300" s="29" t="s">
        <v>222</v>
      </c>
      <c r="F300" s="29"/>
      <c r="G300" s="29"/>
      <c r="H300" s="27"/>
    </row>
    <row r="301">
      <c r="A301" s="15" t="s">
        <v>224</v>
      </c>
      <c r="B301" s="22" t="s">
        <v>365</v>
      </c>
      <c r="C301" s="22" t="s">
        <v>698</v>
      </c>
      <c r="D301" s="22" t="s">
        <v>2599</v>
      </c>
      <c r="E301" s="22" t="s">
        <v>1873</v>
      </c>
      <c r="F301" s="22"/>
      <c r="G301" s="22"/>
      <c r="H301" s="27"/>
    </row>
    <row r="302">
      <c r="A302" s="30"/>
      <c r="B302" s="22" t="s">
        <v>467</v>
      </c>
      <c r="C302" s="22" t="s">
        <v>1069</v>
      </c>
      <c r="D302" s="22" t="s">
        <v>477</v>
      </c>
      <c r="E302" s="22" t="s">
        <v>1442</v>
      </c>
      <c r="F302" s="22"/>
      <c r="G302" s="22"/>
      <c r="H302" s="27"/>
    </row>
    <row r="303">
      <c r="A303" s="30"/>
      <c r="B303" s="22" t="s">
        <v>1031</v>
      </c>
      <c r="C303" s="22" t="s">
        <v>1072</v>
      </c>
      <c r="D303" s="22" t="s">
        <v>1162</v>
      </c>
      <c r="E303" s="22" t="s">
        <v>701</v>
      </c>
      <c r="F303" s="22"/>
      <c r="G303" s="22"/>
      <c r="H303" s="27"/>
    </row>
    <row r="304">
      <c r="A304" s="25"/>
      <c r="B304" s="22" t="s">
        <v>2805</v>
      </c>
      <c r="C304" s="22" t="s">
        <v>258</v>
      </c>
      <c r="D304" s="22"/>
      <c r="E304" s="22" t="s">
        <v>1935</v>
      </c>
      <c r="F304" s="22"/>
      <c r="G304" s="22"/>
      <c r="H304" s="31"/>
      <c r="I304" s="32"/>
    </row>
    <row r="305">
      <c r="A305" s="10" t="s">
        <v>5</v>
      </c>
      <c r="B305" s="11" t="s">
        <v>2806</v>
      </c>
      <c r="C305" s="9"/>
      <c r="D305" s="9"/>
      <c r="E305" s="9"/>
      <c r="F305" s="9"/>
      <c r="G305" s="9"/>
      <c r="H305" s="9"/>
      <c r="I305" s="10"/>
    </row>
    <row r="306" ht="60.0" customHeight="1">
      <c r="A306" s="15" t="s">
        <v>16</v>
      </c>
      <c r="B306" s="22" t="str">
        <f t="array" ref="B306">iferror(VLOOKUP(INDIRECT(ADDRESS(ROW()+1,COLUMN(), 4)),Dex!$A$2:$C449,3,false),"")</f>
        <v/>
      </c>
      <c r="C306" s="22" t="str">
        <f t="array" ref="C306">iferror(VLOOKUP(INDIRECT(ADDRESS(ROW()+1,COLUMN(), 4)),Dex!$A$2:$C449,3,false),"")</f>
        <v/>
      </c>
      <c r="D306" s="22" t="str">
        <f t="array" ref="D306">iferror(VLOOKUP(INDIRECT(ADDRESS(ROW()+1,COLUMN(), 4)),Dex!$A$2:$C449,3,false),"")</f>
        <v/>
      </c>
      <c r="E306" s="22" t="str">
        <f t="array" ref="E306">iferror(VLOOKUP(INDIRECT(ADDRESS(ROW()+1,COLUMN(), 4)),Dex!$A$2:$C449,3,false),"")</f>
        <v/>
      </c>
      <c r="F306" s="22" t="str">
        <f t="array" ref="F306">iferror(VLOOKUP(INDIRECT(ADDRESS(ROW()+1,COLUMN(), 4)),Dex!$A$2:$C449,3,false),"")</f>
        <v/>
      </c>
      <c r="G306" s="22" t="str">
        <f t="array" ref="G306">iferror(VLOOKUP(INDIRECT(ADDRESS(ROW()+1,COLUMN(), 4)),Dex!$A$2:$C449,3,false),"")</f>
        <v/>
      </c>
      <c r="H306" s="23" t="str">
        <f t="array" ref="H306">iferror(VLOOKUP("TRAINER_PIC_Camper",Sprites!$A$1:$B449,2,false),"")</f>
        <v/>
      </c>
      <c r="I306" s="24"/>
    </row>
    <row r="307">
      <c r="A307" s="25"/>
      <c r="B307" s="26" t="s">
        <v>182</v>
      </c>
      <c r="C307" s="26" t="s">
        <v>1481</v>
      </c>
      <c r="D307" s="26" t="s">
        <v>1355</v>
      </c>
      <c r="E307" s="26" t="s">
        <v>1708</v>
      </c>
      <c r="F307" s="26"/>
      <c r="G307" s="26"/>
      <c r="H307" s="28"/>
    </row>
    <row r="308">
      <c r="A308" s="10" t="s">
        <v>199</v>
      </c>
      <c r="B308" s="22">
        <v>65.0</v>
      </c>
      <c r="C308" s="22">
        <v>66.0</v>
      </c>
      <c r="D308" s="22">
        <v>64.0</v>
      </c>
      <c r="E308" s="22">
        <v>65.0</v>
      </c>
      <c r="F308" s="22"/>
      <c r="G308" s="22"/>
      <c r="H308" s="27"/>
    </row>
    <row r="309">
      <c r="A309" s="10" t="s">
        <v>201</v>
      </c>
      <c r="B309" s="29" t="s">
        <v>645</v>
      </c>
      <c r="C309" s="29" t="s">
        <v>205</v>
      </c>
      <c r="D309" s="29" t="s">
        <v>206</v>
      </c>
      <c r="E309" s="29" t="s">
        <v>1928</v>
      </c>
      <c r="F309" s="29"/>
      <c r="G309" s="29"/>
      <c r="H309" s="27"/>
    </row>
    <row r="310">
      <c r="A310" s="10" t="s">
        <v>209</v>
      </c>
      <c r="B310" s="22" t="s">
        <v>1449</v>
      </c>
      <c r="C310" s="22" t="s">
        <v>1027</v>
      </c>
      <c r="D310" s="22" t="s">
        <v>459</v>
      </c>
      <c r="E310" s="22" t="s">
        <v>2315</v>
      </c>
      <c r="F310" s="22"/>
      <c r="G310" s="22"/>
      <c r="H310" s="27"/>
    </row>
    <row r="311">
      <c r="A311" s="10" t="s">
        <v>215</v>
      </c>
      <c r="B311" s="29" t="s">
        <v>906</v>
      </c>
      <c r="C311" s="29" t="s">
        <v>906</v>
      </c>
      <c r="D311" s="29" t="s">
        <v>222</v>
      </c>
      <c r="E311" s="29" t="s">
        <v>419</v>
      </c>
      <c r="F311" s="29"/>
      <c r="G311" s="29"/>
      <c r="H311" s="27"/>
    </row>
    <row r="312">
      <c r="A312" s="15" t="s">
        <v>224</v>
      </c>
      <c r="B312" s="22" t="s">
        <v>1942</v>
      </c>
      <c r="C312" s="22" t="s">
        <v>2814</v>
      </c>
      <c r="D312" s="22" t="s">
        <v>920</v>
      </c>
      <c r="E312" s="22" t="s">
        <v>1937</v>
      </c>
      <c r="F312" s="22"/>
      <c r="G312" s="22"/>
      <c r="H312" s="27"/>
    </row>
    <row r="313">
      <c r="A313" s="30"/>
      <c r="B313" s="22" t="s">
        <v>697</v>
      </c>
      <c r="C313" s="22" t="s">
        <v>920</v>
      </c>
      <c r="D313" s="22" t="s">
        <v>1291</v>
      </c>
      <c r="E313" s="22" t="s">
        <v>2815</v>
      </c>
      <c r="F313" s="22"/>
      <c r="G313" s="22"/>
      <c r="H313" s="27"/>
    </row>
    <row r="314">
      <c r="A314" s="30"/>
      <c r="B314" s="22" t="s">
        <v>2321</v>
      </c>
      <c r="C314" s="22" t="s">
        <v>1251</v>
      </c>
      <c r="D314" s="22" t="s">
        <v>238</v>
      </c>
      <c r="E314" s="22" t="s">
        <v>1441</v>
      </c>
      <c r="F314" s="22"/>
      <c r="G314" s="22"/>
      <c r="H314" s="27"/>
    </row>
    <row r="315">
      <c r="A315" s="25"/>
      <c r="B315" s="22" t="s">
        <v>1545</v>
      </c>
      <c r="C315" s="22" t="s">
        <v>701</v>
      </c>
      <c r="D315" s="22" t="s">
        <v>805</v>
      </c>
      <c r="E315" s="22" t="s">
        <v>357</v>
      </c>
      <c r="F315" s="22"/>
      <c r="G315" s="22"/>
      <c r="H315" s="31"/>
      <c r="I315" s="32"/>
    </row>
    <row r="316">
      <c r="A316" s="53" t="s">
        <v>2690</v>
      </c>
      <c r="B316" s="9"/>
      <c r="C316" s="9"/>
      <c r="D316" s="9"/>
      <c r="E316" s="9"/>
      <c r="F316" s="9"/>
      <c r="G316" s="9"/>
      <c r="H316" s="9"/>
      <c r="I316" s="34"/>
    </row>
    <row r="317">
      <c r="A317" s="10" t="s">
        <v>5</v>
      </c>
      <c r="B317" s="11" t="s">
        <v>2817</v>
      </c>
      <c r="C317" s="9"/>
      <c r="D317" s="9"/>
      <c r="E317" s="9"/>
      <c r="F317" s="9"/>
      <c r="G317" s="9"/>
      <c r="H317" s="9"/>
      <c r="I317" s="13"/>
    </row>
    <row r="318" ht="60.0" customHeight="1">
      <c r="A318" s="15" t="s">
        <v>16</v>
      </c>
      <c r="B318" s="22" t="str">
        <f t="array" ref="B318">iferror(VLOOKUP(INDIRECT(ADDRESS(ROW()+1,COLUMN(), 4)),Dex!$A$2:$C449,3,false),"")</f>
        <v/>
      </c>
      <c r="C318" s="22" t="str">
        <f t="array" ref="C318">iferror(VLOOKUP(INDIRECT(ADDRESS(ROW()+1,COLUMN(), 4)),Dex!$A$2:$C449,3,false),"")</f>
        <v/>
      </c>
      <c r="D318" s="22" t="str">
        <f t="array" ref="D318">iferror(VLOOKUP(INDIRECT(ADDRESS(ROW()+1,COLUMN(), 4)),Dex!$A$2:$C449,3,false),"")</f>
        <v/>
      </c>
      <c r="E318" s="22" t="str">
        <f t="array" ref="E318">iferror(VLOOKUP(INDIRECT(ADDRESS(ROW()+1,COLUMN(), 4)),Dex!$A$2:$C449,3,false),"")</f>
        <v/>
      </c>
      <c r="F318" s="54" t="str">
        <f t="array" ref="F318">iferror(VLOOKUP(INDIRECT(ADDRESS(ROW()+1,COLUMN(), 4)),Dex!$A$2:$C449,3,false),"")</f>
        <v/>
      </c>
      <c r="G318" s="22" t="str">
        <f t="array" ref="G318">iferror(VLOOKUP(INDIRECT(ADDRESS(ROW()+1,COLUMN(), 4)),Dex!$A$2:$C449,3,false),"")</f>
        <v/>
      </c>
      <c r="H318" s="23" t="str">
        <f t="array" ref="H318">iferror(VLOOKUP("TRAINER_PIC_Parasol_Lady",Sprites!$A$1:$B449,2,false),"")</f>
        <v/>
      </c>
      <c r="I318" s="24"/>
    </row>
    <row r="319">
      <c r="A319" s="25"/>
      <c r="B319" s="26" t="s">
        <v>359</v>
      </c>
      <c r="C319" s="26" t="s">
        <v>1887</v>
      </c>
      <c r="D319" s="26" t="s">
        <v>2071</v>
      </c>
      <c r="E319" s="26" t="s">
        <v>1683</v>
      </c>
      <c r="F319" s="26" t="s">
        <v>1280</v>
      </c>
      <c r="G319" s="26"/>
      <c r="H319" s="28"/>
    </row>
    <row r="320">
      <c r="A320" s="10" t="s">
        <v>199</v>
      </c>
      <c r="B320" s="22">
        <v>64.0</v>
      </c>
      <c r="C320" s="22">
        <v>66.0</v>
      </c>
      <c r="D320" s="22">
        <v>64.0</v>
      </c>
      <c r="E320" s="22">
        <v>65.0</v>
      </c>
      <c r="F320" s="22">
        <v>64.0</v>
      </c>
      <c r="G320" s="22"/>
      <c r="H320" s="28"/>
    </row>
    <row r="321">
      <c r="A321" s="10" t="s">
        <v>201</v>
      </c>
      <c r="B321" s="29" t="s">
        <v>2099</v>
      </c>
      <c r="C321" s="29" t="s">
        <v>1926</v>
      </c>
      <c r="D321" s="29" t="s">
        <v>544</v>
      </c>
      <c r="E321" s="29" t="s">
        <v>1054</v>
      </c>
      <c r="F321" s="29" t="s">
        <v>409</v>
      </c>
      <c r="G321" s="29"/>
      <c r="H321" s="27"/>
    </row>
    <row r="322">
      <c r="A322" s="10" t="s">
        <v>209</v>
      </c>
      <c r="B322" s="22" t="s">
        <v>2826</v>
      </c>
      <c r="C322" s="22" t="s">
        <v>2732</v>
      </c>
      <c r="D322" s="22" t="s">
        <v>221</v>
      </c>
      <c r="E322" s="22" t="s">
        <v>2828</v>
      </c>
      <c r="F322" s="22" t="s">
        <v>2507</v>
      </c>
      <c r="G322" s="22"/>
      <c r="H322" s="27"/>
    </row>
    <row r="323">
      <c r="A323" s="10" t="s">
        <v>215</v>
      </c>
      <c r="B323" s="29" t="s">
        <v>564</v>
      </c>
      <c r="C323" s="29" t="s">
        <v>904</v>
      </c>
      <c r="D323" s="29" t="s">
        <v>542</v>
      </c>
      <c r="E323" s="29" t="s">
        <v>220</v>
      </c>
      <c r="F323" s="29" t="s">
        <v>231</v>
      </c>
      <c r="G323" s="29"/>
      <c r="H323" s="27"/>
    </row>
    <row r="324">
      <c r="A324" s="15" t="s">
        <v>224</v>
      </c>
      <c r="B324" s="22" t="s">
        <v>924</v>
      </c>
      <c r="C324" s="22" t="s">
        <v>565</v>
      </c>
      <c r="D324" s="22" t="s">
        <v>2829</v>
      </c>
      <c r="E324" s="22" t="s">
        <v>1163</v>
      </c>
      <c r="F324" s="22" t="s">
        <v>2268</v>
      </c>
      <c r="G324" s="22"/>
      <c r="H324" s="27"/>
    </row>
    <row r="325">
      <c r="A325" s="30"/>
      <c r="B325" s="22" t="s">
        <v>238</v>
      </c>
      <c r="C325" s="22" t="s">
        <v>2830</v>
      </c>
      <c r="D325" s="22" t="s">
        <v>258</v>
      </c>
      <c r="E325" s="22" t="s">
        <v>587</v>
      </c>
      <c r="F325" s="22" t="s">
        <v>1454</v>
      </c>
      <c r="G325" s="22"/>
      <c r="H325" s="27"/>
    </row>
    <row r="326">
      <c r="A326" s="30"/>
      <c r="B326" s="22" t="s">
        <v>246</v>
      </c>
      <c r="C326" s="22" t="s">
        <v>2319</v>
      </c>
      <c r="D326" s="22" t="s">
        <v>2579</v>
      </c>
      <c r="E326" s="22" t="s">
        <v>555</v>
      </c>
      <c r="F326" s="22" t="s">
        <v>477</v>
      </c>
      <c r="G326" s="22"/>
      <c r="H326" s="27"/>
    </row>
    <row r="327">
      <c r="A327" s="25"/>
      <c r="B327" s="22" t="s">
        <v>576</v>
      </c>
      <c r="C327" s="22" t="s">
        <v>934</v>
      </c>
      <c r="D327" s="22" t="s">
        <v>1662</v>
      </c>
      <c r="E327" s="22" t="s">
        <v>2334</v>
      </c>
      <c r="F327" s="22" t="s">
        <v>927</v>
      </c>
      <c r="G327" s="22"/>
      <c r="H327" s="31"/>
      <c r="I327" s="32"/>
    </row>
    <row r="328">
      <c r="A328" s="10" t="s">
        <v>5</v>
      </c>
      <c r="B328" s="11" t="s">
        <v>2832</v>
      </c>
      <c r="C328" s="9"/>
      <c r="D328" s="9"/>
      <c r="E328" s="9"/>
      <c r="F328" s="9"/>
      <c r="G328" s="9"/>
      <c r="H328" s="9"/>
      <c r="I328" s="10"/>
    </row>
    <row r="329" ht="60.0" customHeight="1">
      <c r="A329" s="15" t="s">
        <v>16</v>
      </c>
      <c r="B329" s="22" t="str">
        <f t="array" ref="B329">iferror(VLOOKUP(INDIRECT(ADDRESS(ROW()+1,COLUMN(), 4)),Dex!$A$2:$C449,3,false),"")</f>
        <v/>
      </c>
      <c r="C329" s="22" t="str">
        <f t="array" ref="C329">iferror(VLOOKUP(INDIRECT(ADDRESS(ROW()+1,COLUMN(), 4)),Dex!$A$2:$C449,3,false),"")</f>
        <v/>
      </c>
      <c r="D329" s="22" t="str">
        <f t="array" ref="D329">iferror(VLOOKUP(INDIRECT(ADDRESS(ROW()+1,COLUMN(), 4)),Dex!$A$2:$C449,3,false),"")</f>
        <v/>
      </c>
      <c r="E329" s="22" t="str">
        <f t="array" ref="E329">iferror(VLOOKUP(INDIRECT(ADDRESS(ROW()+1,COLUMN(), 4)),Dex!$A$2:$C449,3,false),"")</f>
        <v/>
      </c>
      <c r="F329" s="22" t="str">
        <f t="array" ref="F329">iferror(VLOOKUP(INDIRECT(ADDRESS(ROW()+1,COLUMN(), 4)),Dex!$A$2:$C449,3,false),"")</f>
        <v/>
      </c>
      <c r="G329" s="22" t="str">
        <f t="array" ref="G329">iferror(VLOOKUP(INDIRECT(ADDRESS(ROW()+1,COLUMN(), 4)),Dex!$A$2:$C449,3,false),"")</f>
        <v/>
      </c>
      <c r="H329" s="23" t="str">
        <f t="array" ref="H329">iferror(VLOOKUP("TRAINER_PIC_Battle_Girl",Sprites!$A$1:$B449,2,false),"")</f>
        <v/>
      </c>
      <c r="I329" s="24"/>
    </row>
    <row r="330">
      <c r="A330" s="25"/>
      <c r="B330" s="26" t="s">
        <v>1393</v>
      </c>
      <c r="C330" s="26" t="s">
        <v>973</v>
      </c>
      <c r="D330" s="26"/>
      <c r="E330" s="26"/>
      <c r="F330" s="26"/>
      <c r="G330" s="26"/>
      <c r="H330" s="28"/>
    </row>
    <row r="331">
      <c r="A331" s="10" t="s">
        <v>199</v>
      </c>
      <c r="B331" s="22">
        <v>64.0</v>
      </c>
      <c r="C331" s="22">
        <v>65.0</v>
      </c>
      <c r="D331" s="22"/>
      <c r="E331" s="22"/>
      <c r="F331" s="22"/>
      <c r="G331" s="22"/>
      <c r="H331" s="28"/>
    </row>
    <row r="332">
      <c r="A332" s="10" t="s">
        <v>201</v>
      </c>
      <c r="B332" s="29" t="s">
        <v>408</v>
      </c>
      <c r="C332" s="29" t="s">
        <v>1052</v>
      </c>
      <c r="D332" s="29"/>
      <c r="E332" s="29"/>
      <c r="F332" s="29"/>
      <c r="G332" s="29"/>
      <c r="H332" s="27"/>
    </row>
    <row r="333">
      <c r="A333" s="10" t="s">
        <v>209</v>
      </c>
      <c r="B333" s="22" t="s">
        <v>2733</v>
      </c>
      <c r="C333" s="22" t="s">
        <v>2840</v>
      </c>
      <c r="D333" s="22"/>
      <c r="E333" s="22"/>
      <c r="F333" s="22"/>
      <c r="G333" s="22"/>
      <c r="H333" s="27"/>
    </row>
    <row r="334">
      <c r="A334" s="10" t="s">
        <v>215</v>
      </c>
      <c r="B334" s="29" t="s">
        <v>231</v>
      </c>
      <c r="C334" s="29" t="s">
        <v>220</v>
      </c>
      <c r="D334" s="29"/>
      <c r="E334" s="29"/>
      <c r="F334" s="29"/>
      <c r="G334" s="29"/>
      <c r="H334" s="27"/>
    </row>
    <row r="335">
      <c r="A335" s="15" t="s">
        <v>224</v>
      </c>
      <c r="B335" s="22" t="s">
        <v>2842</v>
      </c>
      <c r="C335" s="22" t="s">
        <v>465</v>
      </c>
      <c r="D335" s="22"/>
      <c r="E335" s="22"/>
      <c r="F335" s="22"/>
      <c r="G335" s="22"/>
      <c r="H335" s="27"/>
    </row>
    <row r="336">
      <c r="A336" s="30"/>
      <c r="B336" s="22" t="s">
        <v>465</v>
      </c>
      <c r="C336" s="22" t="s">
        <v>363</v>
      </c>
      <c r="D336" s="22"/>
      <c r="E336" s="22"/>
      <c r="F336" s="22"/>
      <c r="G336" s="22"/>
      <c r="H336" s="27"/>
    </row>
    <row r="337">
      <c r="A337" s="30"/>
      <c r="B337" s="22" t="s">
        <v>652</v>
      </c>
      <c r="C337" s="22" t="s">
        <v>254</v>
      </c>
      <c r="D337" s="22"/>
      <c r="E337" s="22"/>
      <c r="F337" s="22"/>
      <c r="G337" s="22"/>
      <c r="H337" s="27"/>
    </row>
    <row r="338">
      <c r="A338" s="25"/>
      <c r="B338" s="22" t="s">
        <v>1163</v>
      </c>
      <c r="C338" s="22" t="s">
        <v>356</v>
      </c>
      <c r="D338" s="22"/>
      <c r="E338" s="22"/>
      <c r="F338" s="22"/>
      <c r="G338" s="22"/>
      <c r="H338" s="31"/>
      <c r="I338" s="32"/>
    </row>
    <row r="339">
      <c r="A339" s="10" t="s">
        <v>5</v>
      </c>
      <c r="B339" s="11" t="s">
        <v>2843</v>
      </c>
      <c r="C339" s="9"/>
      <c r="D339" s="9"/>
      <c r="E339" s="9"/>
      <c r="F339" s="9"/>
      <c r="G339" s="9"/>
      <c r="H339" s="9"/>
      <c r="I339" s="10"/>
    </row>
    <row r="340" ht="60.0" customHeight="1">
      <c r="A340" s="15" t="s">
        <v>16</v>
      </c>
      <c r="B340" s="22" t="str">
        <f t="array" ref="B340">iferror(VLOOKUP(INDIRECT(ADDRESS(ROW()+1,COLUMN(), 4)),Dex!$A$2:$C449,3,false),"")</f>
        <v/>
      </c>
      <c r="C340" s="22" t="str">
        <f t="array" ref="C340">iferror(VLOOKUP(INDIRECT(ADDRESS(ROW()+1,COLUMN(), 4)),Dex!$A$2:$C449,3,false),"")</f>
        <v/>
      </c>
      <c r="D340" s="22" t="str">
        <f t="array" ref="D340">iferror(VLOOKUP(INDIRECT(ADDRESS(ROW()+1,COLUMN(), 4)),Dex!$A$2:$C449,3,false),"")</f>
        <v/>
      </c>
      <c r="E340" s="22" t="str">
        <f t="array" ref="E340">iferror(VLOOKUP(INDIRECT(ADDRESS(ROW()+1,COLUMN(), 4)),Dex!$A$2:$C449,3,false),"")</f>
        <v/>
      </c>
      <c r="F340" s="22" t="str">
        <f t="array" ref="F340">iferror(VLOOKUP(INDIRECT(ADDRESS(ROW()+1,COLUMN(), 4)),Dex!$A$2:$C449,3,false),"")</f>
        <v/>
      </c>
      <c r="G340" s="22" t="str">
        <f t="array" ref="G340">iferror(VLOOKUP(INDIRECT(ADDRESS(ROW()+1,COLUMN(), 4)),Dex!$A$2:$C449,3,false),"")</f>
        <v/>
      </c>
      <c r="H340" s="23" t="str">
        <f t="array" ref="H340">iferror(VLOOKUP("TRAINER_PIC_Pokefan_M",Sprites!$A$1:$B449,2,false),"")</f>
        <v/>
      </c>
      <c r="I340" s="24"/>
    </row>
    <row r="341">
      <c r="A341" s="25"/>
      <c r="B341" s="26" t="s">
        <v>1593</v>
      </c>
      <c r="C341" s="26" t="s">
        <v>1566</v>
      </c>
      <c r="D341" s="26" t="s">
        <v>2054</v>
      </c>
      <c r="E341" s="26" t="s">
        <v>1316</v>
      </c>
      <c r="F341" s="26" t="s">
        <v>526</v>
      </c>
      <c r="G341" s="26"/>
      <c r="H341" s="28"/>
    </row>
    <row r="342">
      <c r="A342" s="10" t="s">
        <v>199</v>
      </c>
      <c r="B342" s="22">
        <v>64.0</v>
      </c>
      <c r="C342" s="22">
        <v>66.0</v>
      </c>
      <c r="D342" s="22">
        <v>64.0</v>
      </c>
      <c r="E342" s="22">
        <v>65.0</v>
      </c>
      <c r="F342" s="22">
        <v>65.0</v>
      </c>
      <c r="G342" s="22"/>
      <c r="H342" s="28"/>
    </row>
    <row r="343">
      <c r="A343" s="10" t="s">
        <v>201</v>
      </c>
      <c r="B343" s="29" t="s">
        <v>2714</v>
      </c>
      <c r="C343" s="29" t="s">
        <v>645</v>
      </c>
      <c r="D343" s="29" t="s">
        <v>1213</v>
      </c>
      <c r="E343" s="29" t="s">
        <v>546</v>
      </c>
      <c r="F343" s="29" t="s">
        <v>2851</v>
      </c>
      <c r="G343" s="29"/>
      <c r="H343" s="27"/>
    </row>
    <row r="344">
      <c r="A344" s="10" t="s">
        <v>209</v>
      </c>
      <c r="B344" s="22" t="s">
        <v>1216</v>
      </c>
      <c r="C344" s="22" t="s">
        <v>538</v>
      </c>
      <c r="D344" s="22" t="s">
        <v>1060</v>
      </c>
      <c r="E344" s="22" t="s">
        <v>2317</v>
      </c>
      <c r="F344" s="22" t="s">
        <v>2840</v>
      </c>
      <c r="G344" s="22"/>
      <c r="H344" s="27"/>
    </row>
    <row r="345">
      <c r="A345" s="10" t="s">
        <v>215</v>
      </c>
      <c r="B345" s="29" t="s">
        <v>1343</v>
      </c>
      <c r="C345" s="29" t="s">
        <v>1343</v>
      </c>
      <c r="D345" s="29" t="s">
        <v>419</v>
      </c>
      <c r="E345" s="29" t="s">
        <v>685</v>
      </c>
      <c r="F345" s="29" t="s">
        <v>685</v>
      </c>
      <c r="G345" s="29"/>
      <c r="H345" s="27"/>
    </row>
    <row r="346">
      <c r="A346" s="15" t="s">
        <v>224</v>
      </c>
      <c r="B346" s="22" t="s">
        <v>361</v>
      </c>
      <c r="C346" s="22" t="s">
        <v>2319</v>
      </c>
      <c r="D346" s="22" t="s">
        <v>2852</v>
      </c>
      <c r="E346" s="22" t="s">
        <v>689</v>
      </c>
      <c r="F346" s="22" t="s">
        <v>238</v>
      </c>
      <c r="G346" s="22"/>
      <c r="H346" s="27"/>
    </row>
    <row r="347">
      <c r="A347" s="30"/>
      <c r="B347" s="22" t="s">
        <v>2370</v>
      </c>
      <c r="C347" s="22" t="s">
        <v>565</v>
      </c>
      <c r="D347" s="22" t="s">
        <v>1357</v>
      </c>
      <c r="E347" s="22" t="s">
        <v>2703</v>
      </c>
      <c r="F347" s="22" t="s">
        <v>2397</v>
      </c>
      <c r="G347" s="22"/>
      <c r="H347" s="27"/>
    </row>
    <row r="348">
      <c r="A348" s="30"/>
      <c r="B348" s="22" t="s">
        <v>2853</v>
      </c>
      <c r="C348" s="22" t="s">
        <v>1664</v>
      </c>
      <c r="D348" s="22" t="s">
        <v>1541</v>
      </c>
      <c r="E348" s="22" t="s">
        <v>815</v>
      </c>
      <c r="F348" s="22" t="s">
        <v>588</v>
      </c>
      <c r="G348" s="22"/>
      <c r="H348" s="27"/>
    </row>
    <row r="349">
      <c r="A349" s="25"/>
      <c r="B349" s="22" t="s">
        <v>357</v>
      </c>
      <c r="C349" s="22" t="s">
        <v>689</v>
      </c>
      <c r="D349" s="22" t="s">
        <v>815</v>
      </c>
      <c r="E349" s="22" t="s">
        <v>2318</v>
      </c>
      <c r="F349" s="22" t="s">
        <v>582</v>
      </c>
      <c r="G349" s="22"/>
      <c r="H349" s="31"/>
      <c r="I349" s="32"/>
    </row>
    <row r="350">
      <c r="A350" s="8" t="s">
        <v>2854</v>
      </c>
      <c r="B350" s="9"/>
      <c r="C350" s="9"/>
      <c r="D350" s="9"/>
      <c r="E350" s="9"/>
      <c r="F350" s="9"/>
      <c r="G350" s="9"/>
      <c r="H350" s="9"/>
      <c r="I350" s="34"/>
    </row>
    <row r="351">
      <c r="A351" s="10" t="s">
        <v>5</v>
      </c>
      <c r="B351" s="11" t="s">
        <v>2855</v>
      </c>
      <c r="C351" s="9"/>
      <c r="D351" s="9"/>
      <c r="E351" s="9"/>
      <c r="F351" s="9"/>
      <c r="G351" s="9"/>
      <c r="H351" s="9"/>
      <c r="I351" s="13"/>
    </row>
    <row r="352" ht="60.0" customHeight="1">
      <c r="A352" s="15" t="s">
        <v>16</v>
      </c>
      <c r="B352" s="22" t="str">
        <f t="array" ref="B352">iferror(VLOOKUP(INDIRECT(ADDRESS(ROW()+1,COLUMN(), 4)),Dex!$A$2:$C449,3,false),"")</f>
        <v/>
      </c>
      <c r="C352" s="22" t="str">
        <f t="array" ref="C352">iferror(VLOOKUP(INDIRECT(ADDRESS(ROW()+1,COLUMN(), 4)),Dex!$A$2:$C449,3,false),"")</f>
        <v/>
      </c>
      <c r="D352" s="22" t="str">
        <f t="array" ref="D352">iferror(VLOOKUP(INDIRECT(ADDRESS(ROW()+1,COLUMN(), 4)),Dex!$A$2:$C449,3,false),"")</f>
        <v/>
      </c>
      <c r="E352" s="22" t="str">
        <f t="array" ref="E352">iferror(VLOOKUP(INDIRECT(ADDRESS(ROW()+1,COLUMN(), 4)),Dex!$A$2:$C449,3,false),"")</f>
        <v/>
      </c>
      <c r="F352" s="22" t="str">
        <f t="array" ref="F352">iferror(VLOOKUP(INDIRECT(ADDRESS(ROW()+1,COLUMN(), 4)),Dex!$A$2:$C449,3,false),"")</f>
        <v/>
      </c>
      <c r="G352" s="22" t="str">
        <f t="array" ref="G352">iferror(VLOOKUP(INDIRECT(ADDRESS(ROW()+1,COLUMN(), 4)),Dex!$A$2:$C449,3,false),"")</f>
        <v/>
      </c>
      <c r="H352" s="23" t="str">
        <f t="array" ref="H352">iferror(VLOOKUP("TRAINER_PIC_Cooltrainer_F",Sprites!$A$1:$B449,2,false),"")</f>
        <v/>
      </c>
      <c r="I352" s="24"/>
    </row>
    <row r="353">
      <c r="A353" s="25"/>
      <c r="B353" s="26" t="s">
        <v>2138</v>
      </c>
      <c r="C353" s="26" t="s">
        <v>612</v>
      </c>
      <c r="D353" s="26" t="s">
        <v>1676</v>
      </c>
      <c r="E353" s="26" t="s">
        <v>961</v>
      </c>
      <c r="F353" s="26"/>
      <c r="G353" s="26"/>
      <c r="H353" s="28"/>
    </row>
    <row r="354">
      <c r="A354" s="10" t="s">
        <v>199</v>
      </c>
      <c r="B354" s="22">
        <v>64.0</v>
      </c>
      <c r="C354" s="22">
        <v>64.0</v>
      </c>
      <c r="D354" s="22">
        <v>64.0</v>
      </c>
      <c r="E354" s="22">
        <v>65.0</v>
      </c>
      <c r="F354" s="22"/>
      <c r="G354" s="22"/>
      <c r="H354" s="28"/>
    </row>
    <row r="355">
      <c r="A355" s="10" t="s">
        <v>201</v>
      </c>
      <c r="B355" s="29" t="s">
        <v>2571</v>
      </c>
      <c r="C355" s="29" t="s">
        <v>1052</v>
      </c>
      <c r="D355" s="29" t="s">
        <v>776</v>
      </c>
      <c r="E355" s="29" t="s">
        <v>206</v>
      </c>
      <c r="F355" s="29"/>
      <c r="G355" s="29"/>
      <c r="H355" s="27"/>
    </row>
    <row r="356">
      <c r="A356" s="10" t="s">
        <v>209</v>
      </c>
      <c r="B356" s="22" t="s">
        <v>912</v>
      </c>
      <c r="C356" s="22" t="s">
        <v>2625</v>
      </c>
      <c r="D356" s="22" t="s">
        <v>1641</v>
      </c>
      <c r="E356" s="22" t="s">
        <v>1123</v>
      </c>
      <c r="F356" s="22"/>
      <c r="G356" s="22"/>
      <c r="H356" s="27"/>
    </row>
    <row r="357">
      <c r="A357" s="10" t="s">
        <v>215</v>
      </c>
      <c r="B357" s="29" t="s">
        <v>419</v>
      </c>
      <c r="C357" s="29" t="s">
        <v>231</v>
      </c>
      <c r="D357" s="29" t="s">
        <v>220</v>
      </c>
      <c r="E357" s="29" t="s">
        <v>231</v>
      </c>
      <c r="F357" s="29"/>
      <c r="G357" s="29"/>
      <c r="H357" s="27"/>
    </row>
    <row r="358">
      <c r="A358" s="15" t="s">
        <v>224</v>
      </c>
      <c r="B358" s="22" t="s">
        <v>2386</v>
      </c>
      <c r="C358" s="22" t="s">
        <v>2470</v>
      </c>
      <c r="D358" s="22" t="s">
        <v>922</v>
      </c>
      <c r="E358" s="22" t="s">
        <v>2491</v>
      </c>
      <c r="F358" s="22"/>
      <c r="G358" s="22"/>
      <c r="H358" s="27"/>
    </row>
    <row r="359">
      <c r="A359" s="30"/>
      <c r="B359" s="22" t="s">
        <v>2578</v>
      </c>
      <c r="C359" s="22" t="s">
        <v>1352</v>
      </c>
      <c r="D359" s="22" t="s">
        <v>555</v>
      </c>
      <c r="E359" s="22" t="s">
        <v>1127</v>
      </c>
      <c r="F359" s="22"/>
      <c r="G359" s="22"/>
      <c r="H359" s="27"/>
    </row>
    <row r="360">
      <c r="A360" s="30"/>
      <c r="B360" s="22"/>
      <c r="C360" s="22" t="s">
        <v>363</v>
      </c>
      <c r="D360" s="22" t="s">
        <v>700</v>
      </c>
      <c r="E360" s="22" t="s">
        <v>243</v>
      </c>
      <c r="F360" s="22"/>
      <c r="G360" s="22"/>
      <c r="H360" s="27"/>
    </row>
    <row r="361">
      <c r="A361" s="25"/>
      <c r="B361" s="22"/>
      <c r="C361" s="22" t="s">
        <v>467</v>
      </c>
      <c r="D361" s="22" t="s">
        <v>702</v>
      </c>
      <c r="E361" s="22" t="s">
        <v>930</v>
      </c>
      <c r="F361" s="22"/>
      <c r="G361" s="22"/>
      <c r="H361" s="31"/>
      <c r="I361" s="32"/>
    </row>
    <row r="362">
      <c r="A362" s="10" t="s">
        <v>5</v>
      </c>
      <c r="B362" s="11" t="s">
        <v>2866</v>
      </c>
      <c r="C362" s="9"/>
      <c r="D362" s="9"/>
      <c r="E362" s="9"/>
      <c r="F362" s="9"/>
      <c r="G362" s="9"/>
      <c r="H362" s="9"/>
      <c r="I362" s="10"/>
    </row>
    <row r="363" ht="60.0" customHeight="1">
      <c r="A363" s="15" t="s">
        <v>16</v>
      </c>
      <c r="B363" s="22" t="str">
        <f t="array" ref="B363">iferror(VLOOKUP(INDIRECT(ADDRESS(ROW()+1,COLUMN(), 4)),Dex!$A$2:$C449,3,false),"")</f>
        <v/>
      </c>
      <c r="C363" s="22" t="str">
        <f t="array" ref="C363">iferror(VLOOKUP(INDIRECT(ADDRESS(ROW()+1,COLUMN(), 4)),Dex!$A$2:$C449,3,false),"")</f>
        <v/>
      </c>
      <c r="D363" s="22" t="str">
        <f t="array" ref="D363">iferror(VLOOKUP(INDIRECT(ADDRESS(ROW()+1,COLUMN(), 4)),Dex!$A$2:$C449,3,false),"")</f>
        <v/>
      </c>
      <c r="E363" s="22" t="str">
        <f t="array" ref="E363">iferror(VLOOKUP(INDIRECT(ADDRESS(ROW()+1,COLUMN(), 4)),Dex!$A$2:$C449,3,false),"")</f>
        <v/>
      </c>
      <c r="F363" s="22" t="str">
        <f t="array" ref="F363">iferror(VLOOKUP(INDIRECT(ADDRESS(ROW()+1,COLUMN(), 4)),Dex!$A$2:$C449,3,false),"")</f>
        <v/>
      </c>
      <c r="G363" s="22" t="str">
        <f t="array" ref="G363">iferror(VLOOKUP(INDIRECT(ADDRESS(ROW()+1,COLUMN(), 4)),Dex!$A$2:$C449,3,false),"")</f>
        <v/>
      </c>
      <c r="H363" s="23" t="str">
        <f t="array" ref="H363">iferror(VLOOKUP("TRAINER_PIC_Cooltrainer_F",Sprites!$A$1:$B449,2,false),"")</f>
        <v/>
      </c>
      <c r="I363" s="24"/>
    </row>
    <row r="364">
      <c r="A364" s="25"/>
      <c r="B364" s="26" t="s">
        <v>1809</v>
      </c>
      <c r="C364" s="26" t="s">
        <v>1660</v>
      </c>
      <c r="D364" s="26" t="s">
        <v>1823</v>
      </c>
      <c r="E364" s="26" t="s">
        <v>1388</v>
      </c>
      <c r="F364" s="26"/>
      <c r="G364" s="26"/>
      <c r="H364" s="28"/>
    </row>
    <row r="365">
      <c r="A365" s="10" t="s">
        <v>199</v>
      </c>
      <c r="B365" s="22">
        <v>64.0</v>
      </c>
      <c r="C365" s="22">
        <v>64.0</v>
      </c>
      <c r="D365" s="22">
        <v>64.0</v>
      </c>
      <c r="E365" s="22">
        <v>65.0</v>
      </c>
      <c r="F365" s="22"/>
      <c r="G365" s="22"/>
      <c r="H365" s="28"/>
    </row>
    <row r="366">
      <c r="A366" s="10" t="s">
        <v>201</v>
      </c>
      <c r="B366" s="29" t="s">
        <v>1518</v>
      </c>
      <c r="C366" s="29" t="s">
        <v>2526</v>
      </c>
      <c r="D366" s="29" t="s">
        <v>455</v>
      </c>
      <c r="E366" s="29" t="s">
        <v>645</v>
      </c>
      <c r="F366" s="29"/>
      <c r="G366" s="29"/>
      <c r="H366" s="27"/>
    </row>
    <row r="367">
      <c r="A367" s="10" t="s">
        <v>209</v>
      </c>
      <c r="B367" s="22" t="s">
        <v>212</v>
      </c>
      <c r="C367" s="22" t="s">
        <v>2873</v>
      </c>
      <c r="D367" s="22" t="s">
        <v>2208</v>
      </c>
      <c r="E367" s="22" t="s">
        <v>785</v>
      </c>
      <c r="F367" s="22"/>
      <c r="G367" s="22"/>
      <c r="H367" s="27"/>
    </row>
    <row r="368">
      <c r="A368" s="10" t="s">
        <v>215</v>
      </c>
      <c r="B368" s="29" t="s">
        <v>542</v>
      </c>
      <c r="C368" s="29" t="s">
        <v>542</v>
      </c>
      <c r="D368" s="29" t="s">
        <v>542</v>
      </c>
      <c r="E368" s="29" t="s">
        <v>904</v>
      </c>
      <c r="F368" s="29"/>
      <c r="G368" s="29"/>
      <c r="H368" s="27"/>
    </row>
    <row r="369">
      <c r="A369" s="15" t="s">
        <v>224</v>
      </c>
      <c r="B369" s="22" t="s">
        <v>565</v>
      </c>
      <c r="C369" s="22" t="s">
        <v>2319</v>
      </c>
      <c r="D369" s="22" t="s">
        <v>2213</v>
      </c>
      <c r="E369" s="22" t="s">
        <v>1454</v>
      </c>
      <c r="F369" s="22"/>
      <c r="G369" s="22"/>
      <c r="H369" s="27"/>
    </row>
    <row r="370">
      <c r="A370" s="30"/>
      <c r="B370" s="22" t="s">
        <v>1941</v>
      </c>
      <c r="C370" s="22" t="s">
        <v>565</v>
      </c>
      <c r="D370" s="22" t="s">
        <v>565</v>
      </c>
      <c r="E370" s="22" t="s">
        <v>476</v>
      </c>
      <c r="F370" s="22"/>
      <c r="G370" s="22"/>
      <c r="H370" s="27"/>
    </row>
    <row r="371">
      <c r="A371" s="30"/>
      <c r="B371" s="22" t="s">
        <v>1064</v>
      </c>
      <c r="C371" s="22" t="s">
        <v>361</v>
      </c>
      <c r="D371" s="22" t="s">
        <v>801</v>
      </c>
      <c r="E371" s="22" t="s">
        <v>1354</v>
      </c>
      <c r="F371" s="22"/>
      <c r="G371" s="22"/>
      <c r="H371" s="27"/>
    </row>
    <row r="372">
      <c r="A372" s="25"/>
      <c r="B372" s="22" t="s">
        <v>2217</v>
      </c>
      <c r="C372" s="22" t="s">
        <v>567</v>
      </c>
      <c r="D372" s="22" t="s">
        <v>424</v>
      </c>
      <c r="E372" s="22" t="s">
        <v>473</v>
      </c>
      <c r="F372" s="22"/>
      <c r="G372" s="22"/>
      <c r="H372" s="31"/>
      <c r="I372" s="32"/>
    </row>
    <row r="373">
      <c r="A373" s="10" t="s">
        <v>5</v>
      </c>
      <c r="B373" s="11" t="s">
        <v>2874</v>
      </c>
      <c r="C373" s="9"/>
      <c r="D373" s="9"/>
      <c r="E373" s="9"/>
      <c r="F373" s="9"/>
      <c r="G373" s="9"/>
      <c r="H373" s="9"/>
      <c r="I373" s="10"/>
    </row>
    <row r="374" ht="60.0" customHeight="1">
      <c r="A374" s="15" t="s">
        <v>16</v>
      </c>
      <c r="B374" s="22" t="str">
        <f t="array" ref="B374">iferror(VLOOKUP(INDIRECT(ADDRESS(ROW()+1,COLUMN(), 4)),Dex!$A$2:$C449,3,false),"")</f>
        <v/>
      </c>
      <c r="C374" s="22" t="str">
        <f t="array" ref="C374">iferror(VLOOKUP(INDIRECT(ADDRESS(ROW()+1,COLUMN(), 4)),Dex!$A$2:$C449,3,false),"")</f>
        <v/>
      </c>
      <c r="D374" s="22" t="str">
        <f t="array" ref="D374">iferror(VLOOKUP(INDIRECT(ADDRESS(ROW()+1,COLUMN(), 4)),Dex!$A$2:$C449,3,false),"")</f>
        <v/>
      </c>
      <c r="E374" s="22" t="str">
        <f t="array" ref="E374">iferror(VLOOKUP(INDIRECT(ADDRESS(ROW()+1,COLUMN(), 4)),Dex!$A$2:$C449,3,false),"")</f>
        <v/>
      </c>
      <c r="F374" s="22" t="str">
        <f t="array" ref="F374">iferror(VLOOKUP(INDIRECT(ADDRESS(ROW()+1,COLUMN(), 4)),Dex!$A$2:$C449,3,false),"")</f>
        <v/>
      </c>
      <c r="G374" s="22" t="str">
        <f t="array" ref="G374">iferror(VLOOKUP(INDIRECT(ADDRESS(ROW()+1,COLUMN(), 4)),Dex!$A$2:$C449,3,false),"")</f>
        <v/>
      </c>
      <c r="H374" s="23" t="str">
        <f t="array" ref="H374">iferror(VLOOKUP("TRAINER_PIC_Cooltrainer_M",Sprites!$A$1:$B449,2,false),"")</f>
        <v/>
      </c>
      <c r="I374" s="24"/>
    </row>
    <row r="375">
      <c r="A375" s="25"/>
      <c r="B375" s="26" t="s">
        <v>1196</v>
      </c>
      <c r="C375" s="26" t="s">
        <v>449</v>
      </c>
      <c r="D375" s="26" t="s">
        <v>1080</v>
      </c>
      <c r="E375" s="26" t="s">
        <v>1601</v>
      </c>
      <c r="F375" s="26" t="s">
        <v>1053</v>
      </c>
      <c r="G375" s="26"/>
      <c r="H375" s="28"/>
    </row>
    <row r="376">
      <c r="A376" s="10" t="s">
        <v>199</v>
      </c>
      <c r="B376" s="22">
        <v>64.0</v>
      </c>
      <c r="C376" s="22">
        <v>64.0</v>
      </c>
      <c r="D376" s="22">
        <v>64.0</v>
      </c>
      <c r="E376" s="22">
        <v>65.0</v>
      </c>
      <c r="F376" s="22">
        <v>64.0</v>
      </c>
      <c r="G376" s="22"/>
      <c r="H376" s="28"/>
    </row>
    <row r="377">
      <c r="A377" s="10" t="s">
        <v>201</v>
      </c>
      <c r="B377" s="29" t="s">
        <v>409</v>
      </c>
      <c r="C377" s="29" t="s">
        <v>1333</v>
      </c>
      <c r="D377" s="29" t="s">
        <v>1332</v>
      </c>
      <c r="E377" s="29" t="s">
        <v>2882</v>
      </c>
      <c r="F377" s="29" t="s">
        <v>455</v>
      </c>
      <c r="G377" s="29"/>
      <c r="H377" s="27"/>
    </row>
    <row r="378">
      <c r="A378" s="10" t="s">
        <v>209</v>
      </c>
      <c r="B378" s="22" t="s">
        <v>2355</v>
      </c>
      <c r="C378" s="22" t="s">
        <v>212</v>
      </c>
      <c r="D378" s="22" t="s">
        <v>2355</v>
      </c>
      <c r="E378" s="22" t="s">
        <v>553</v>
      </c>
      <c r="F378" s="22" t="s">
        <v>1339</v>
      </c>
      <c r="G378" s="22"/>
      <c r="H378" s="27"/>
    </row>
    <row r="379">
      <c r="A379" s="10" t="s">
        <v>215</v>
      </c>
      <c r="B379" s="29" t="s">
        <v>231</v>
      </c>
      <c r="C379" s="29" t="s">
        <v>542</v>
      </c>
      <c r="D379" s="29" t="s">
        <v>419</v>
      </c>
      <c r="E379" s="29" t="s">
        <v>220</v>
      </c>
      <c r="F379" s="29" t="s">
        <v>231</v>
      </c>
      <c r="G379" s="29"/>
      <c r="H379" s="27"/>
    </row>
    <row r="380">
      <c r="A380" s="15" t="s">
        <v>224</v>
      </c>
      <c r="B380" s="22" t="s">
        <v>2109</v>
      </c>
      <c r="C380" s="22" t="s">
        <v>1941</v>
      </c>
      <c r="D380" s="22" t="s">
        <v>1347</v>
      </c>
      <c r="E380" s="22" t="s">
        <v>2883</v>
      </c>
      <c r="F380" s="22" t="s">
        <v>1788</v>
      </c>
      <c r="G380" s="22"/>
      <c r="H380" s="27"/>
    </row>
    <row r="381">
      <c r="A381" s="30"/>
      <c r="B381" s="22" t="s">
        <v>1454</v>
      </c>
      <c r="C381" s="22" t="s">
        <v>922</v>
      </c>
      <c r="D381" s="22" t="s">
        <v>701</v>
      </c>
      <c r="E381" s="22" t="s">
        <v>1791</v>
      </c>
      <c r="F381" s="22" t="s">
        <v>1787</v>
      </c>
      <c r="G381" s="22"/>
      <c r="H381" s="27"/>
    </row>
    <row r="382">
      <c r="A382" s="30"/>
      <c r="B382" s="22" t="s">
        <v>421</v>
      </c>
      <c r="C382" s="22" t="s">
        <v>698</v>
      </c>
      <c r="D382" s="22" t="s">
        <v>1250</v>
      </c>
      <c r="E382" s="22" t="s">
        <v>934</v>
      </c>
      <c r="F382" s="22" t="s">
        <v>1844</v>
      </c>
      <c r="G382" s="22"/>
      <c r="H382" s="27"/>
    </row>
    <row r="383">
      <c r="A383" s="25"/>
      <c r="B383" s="22" t="s">
        <v>930</v>
      </c>
      <c r="C383" s="22" t="s">
        <v>472</v>
      </c>
      <c r="D383" s="22" t="s">
        <v>1664</v>
      </c>
      <c r="E383" s="22" t="s">
        <v>2310</v>
      </c>
      <c r="F383" s="22" t="s">
        <v>2884</v>
      </c>
      <c r="G383" s="22"/>
      <c r="H383" s="31"/>
      <c r="I383" s="32"/>
    </row>
    <row r="384">
      <c r="A384" s="10" t="s">
        <v>5</v>
      </c>
      <c r="B384" s="11" t="s">
        <v>2885</v>
      </c>
      <c r="C384" s="9"/>
      <c r="D384" s="9"/>
      <c r="E384" s="9"/>
      <c r="F384" s="9"/>
      <c r="G384" s="9"/>
      <c r="H384" s="9"/>
      <c r="I384" s="10"/>
    </row>
    <row r="385" ht="60.0" customHeight="1">
      <c r="A385" s="15" t="s">
        <v>16</v>
      </c>
      <c r="B385" s="22" t="str">
        <f t="array" ref="B385">iferror(VLOOKUP(INDIRECT(ADDRESS(ROW()+1,COLUMN(), 4)),Dex!$A$2:$C449,3,false),"")</f>
        <v/>
      </c>
      <c r="C385" s="22" t="str">
        <f t="array" ref="C385">iferror(VLOOKUP(INDIRECT(ADDRESS(ROW()+1,COLUMN(), 4)),Dex!$A$2:$C449,3,false),"")</f>
        <v/>
      </c>
      <c r="D385" s="22" t="str">
        <f t="array" ref="D385">iferror(VLOOKUP(INDIRECT(ADDRESS(ROW()+1,COLUMN(), 4)),Dex!$A$2:$C449,3,false),"")</f>
        <v/>
      </c>
      <c r="E385" s="22" t="str">
        <f t="array" ref="E385">iferror(VLOOKUP(INDIRECT(ADDRESS(ROW()+1,COLUMN(), 4)),Dex!$A$2:$C449,3,false),"")</f>
        <v/>
      </c>
      <c r="F385" s="22" t="str">
        <f t="array" ref="F385">iferror(VLOOKUP(INDIRECT(ADDRESS(ROW()+1,COLUMN(), 4)),Dex!$A$2:$C449,3,false),"")</f>
        <v/>
      </c>
      <c r="G385" s="22" t="str">
        <f t="array" ref="G385">iferror(VLOOKUP(INDIRECT(ADDRESS(ROW()+1,COLUMN(), 4)),Dex!$A$2:$C449,3,false),"")</f>
        <v/>
      </c>
      <c r="H385" s="23" t="str">
        <f t="array" ref="H385">iferror(VLOOKUP("TRAINER_PIC_Cooltrainer_F",Sprites!$A$1:$B449,2,false),"")</f>
        <v/>
      </c>
      <c r="I385" s="24"/>
    </row>
    <row r="386">
      <c r="A386" s="25"/>
      <c r="B386" s="26" t="s">
        <v>791</v>
      </c>
      <c r="C386" s="26" t="s">
        <v>248</v>
      </c>
      <c r="D386" s="26" t="s">
        <v>2303</v>
      </c>
      <c r="E386" s="26" t="s">
        <v>1476</v>
      </c>
      <c r="F386" s="26" t="s">
        <v>433</v>
      </c>
      <c r="G386" s="26"/>
      <c r="H386" s="28"/>
    </row>
    <row r="387">
      <c r="A387" s="10" t="s">
        <v>199</v>
      </c>
      <c r="B387" s="22">
        <v>64.0</v>
      </c>
      <c r="C387" s="22">
        <v>64.0</v>
      </c>
      <c r="D387" s="22">
        <v>64.0</v>
      </c>
      <c r="E387" s="22">
        <v>65.0</v>
      </c>
      <c r="F387" s="22">
        <v>64.0</v>
      </c>
      <c r="G387" s="22"/>
      <c r="H387" s="28"/>
    </row>
    <row r="388">
      <c r="A388" s="10" t="s">
        <v>201</v>
      </c>
      <c r="B388" s="29" t="s">
        <v>406</v>
      </c>
      <c r="C388" s="29" t="s">
        <v>2623</v>
      </c>
      <c r="D388" s="29" t="s">
        <v>645</v>
      </c>
      <c r="E388" s="29" t="s">
        <v>1635</v>
      </c>
      <c r="F388" s="29" t="s">
        <v>2891</v>
      </c>
      <c r="G388" s="29"/>
      <c r="H388" s="27"/>
    </row>
    <row r="389">
      <c r="A389" s="10" t="s">
        <v>209</v>
      </c>
      <c r="B389" s="22" t="s">
        <v>2017</v>
      </c>
      <c r="C389" s="22" t="s">
        <v>1641</v>
      </c>
      <c r="D389" s="22" t="s">
        <v>2892</v>
      </c>
      <c r="E389" s="22" t="s">
        <v>1641</v>
      </c>
      <c r="F389" s="22" t="s">
        <v>2894</v>
      </c>
      <c r="G389" s="22"/>
      <c r="H389" s="27"/>
    </row>
    <row r="390">
      <c r="A390" s="10" t="s">
        <v>215</v>
      </c>
      <c r="B390" s="29" t="s">
        <v>220</v>
      </c>
      <c r="C390" s="29" t="s">
        <v>231</v>
      </c>
      <c r="D390" s="29" t="s">
        <v>231</v>
      </c>
      <c r="E390" s="29" t="s">
        <v>419</v>
      </c>
      <c r="F390" s="29" t="s">
        <v>906</v>
      </c>
      <c r="G390" s="29"/>
      <c r="H390" s="27"/>
    </row>
    <row r="391">
      <c r="A391" s="15" t="s">
        <v>224</v>
      </c>
      <c r="B391" s="22" t="s">
        <v>473</v>
      </c>
      <c r="C391" s="22" t="s">
        <v>1761</v>
      </c>
      <c r="D391" s="22" t="s">
        <v>2665</v>
      </c>
      <c r="E391" s="22" t="s">
        <v>1761</v>
      </c>
      <c r="F391" s="22" t="s">
        <v>2868</v>
      </c>
      <c r="G391" s="22"/>
      <c r="H391" s="27"/>
    </row>
    <row r="392">
      <c r="A392" s="30"/>
      <c r="B392" s="22" t="s">
        <v>695</v>
      </c>
      <c r="C392" s="22" t="s">
        <v>1941</v>
      </c>
      <c r="D392" s="22" t="s">
        <v>1752</v>
      </c>
      <c r="E392" s="22" t="s">
        <v>2332</v>
      </c>
      <c r="F392" s="22" t="s">
        <v>2896</v>
      </c>
      <c r="G392" s="22"/>
      <c r="H392" s="27"/>
    </row>
    <row r="393">
      <c r="A393" s="30"/>
      <c r="B393" s="22" t="s">
        <v>2897</v>
      </c>
      <c r="C393" s="22" t="s">
        <v>1169</v>
      </c>
      <c r="D393" s="22" t="s">
        <v>2898</v>
      </c>
      <c r="E393" s="22" t="s">
        <v>1873</v>
      </c>
      <c r="F393" s="22"/>
      <c r="G393" s="22"/>
      <c r="H393" s="27"/>
    </row>
    <row r="394">
      <c r="A394" s="25"/>
      <c r="B394" s="22" t="s">
        <v>2308</v>
      </c>
      <c r="C394" s="22" t="s">
        <v>2699</v>
      </c>
      <c r="D394" s="22" t="s">
        <v>940</v>
      </c>
      <c r="E394" s="22" t="s">
        <v>793</v>
      </c>
      <c r="F394" s="22"/>
      <c r="G394" s="22"/>
      <c r="H394" s="31"/>
      <c r="I394" s="32"/>
    </row>
    <row r="395">
      <c r="A395" s="10" t="s">
        <v>5</v>
      </c>
      <c r="B395" s="11" t="s">
        <v>2899</v>
      </c>
      <c r="C395" s="9"/>
      <c r="D395" s="9"/>
      <c r="E395" s="9"/>
      <c r="F395" s="9"/>
      <c r="G395" s="9"/>
      <c r="H395" s="9"/>
      <c r="I395" s="10"/>
    </row>
    <row r="396" ht="60.0" customHeight="1">
      <c r="A396" s="15" t="s">
        <v>16</v>
      </c>
      <c r="B396" s="22" t="str">
        <f t="array" ref="B396">iferror(VLOOKUP(INDIRECT(ADDRESS(ROW()+1,COLUMN(), 4)),Dex!$A$2:$C449,3,false),"")</f>
        <v/>
      </c>
      <c r="C396" s="22" t="str">
        <f t="array" ref="C396">iferror(VLOOKUP(INDIRECT(ADDRESS(ROW()+1,COLUMN(), 4)),Dex!$A$2:$C449,3,false),"")</f>
        <v/>
      </c>
      <c r="D396" s="22" t="str">
        <f t="array" ref="D396">iferror(VLOOKUP(INDIRECT(ADDRESS(ROW()+1,COLUMN(), 4)),Dex!$A$2:$C449,3,false),"")</f>
        <v/>
      </c>
      <c r="E396" s="22" t="str">
        <f t="array" ref="E396">iferror(VLOOKUP(INDIRECT(ADDRESS(ROW()+1,COLUMN(), 4)),Dex!$A$2:$C449,3,false),"")</f>
        <v/>
      </c>
      <c r="F396" s="22" t="str">
        <f t="array" ref="F396">iferror(VLOOKUP(INDIRECT(ADDRESS(ROW()+1,COLUMN(), 4)),Dex!$A$2:$C449,3,false),"")</f>
        <v/>
      </c>
      <c r="G396" s="22" t="str">
        <f t="array" ref="G396">iferror(VLOOKUP(INDIRECT(ADDRESS(ROW()+1,COLUMN(), 4)),Dex!$A$2:$C449,3,false),"")</f>
        <v/>
      </c>
      <c r="H396" s="23" t="str">
        <f t="array" ref="H396">iferror(VLOOKUP("TRAINER_PIC_Cooltrainer_M",Sprites!$A$1:$B449,2,false),"")</f>
        <v/>
      </c>
      <c r="I396" s="24"/>
    </row>
    <row r="397">
      <c r="A397" s="25"/>
      <c r="B397" s="26" t="s">
        <v>733</v>
      </c>
      <c r="C397" s="26" t="s">
        <v>737</v>
      </c>
      <c r="D397" s="26" t="s">
        <v>1386</v>
      </c>
      <c r="E397" s="26" t="s">
        <v>2102</v>
      </c>
      <c r="F397" s="26" t="s">
        <v>1721</v>
      </c>
      <c r="G397" s="26"/>
      <c r="H397" s="28"/>
    </row>
    <row r="398">
      <c r="A398" s="10" t="s">
        <v>199</v>
      </c>
      <c r="B398" s="22">
        <v>64.0</v>
      </c>
      <c r="C398" s="22">
        <v>64.0</v>
      </c>
      <c r="D398" s="22">
        <v>64.0</v>
      </c>
      <c r="E398" s="22">
        <v>65.0</v>
      </c>
      <c r="F398" s="22">
        <v>64.0</v>
      </c>
      <c r="G398" s="22"/>
      <c r="H398" s="28"/>
    </row>
    <row r="399">
      <c r="A399" s="10" t="s">
        <v>201</v>
      </c>
      <c r="B399" s="29" t="s">
        <v>408</v>
      </c>
      <c r="C399" s="29" t="s">
        <v>1760</v>
      </c>
      <c r="D399" s="29" t="s">
        <v>455</v>
      </c>
      <c r="E399" s="29" t="s">
        <v>1427</v>
      </c>
      <c r="F399" s="29" t="s">
        <v>2493</v>
      </c>
      <c r="G399" s="29"/>
      <c r="H399" s="27"/>
    </row>
    <row r="400">
      <c r="A400" s="10" t="s">
        <v>209</v>
      </c>
      <c r="B400" s="22" t="s">
        <v>2325</v>
      </c>
      <c r="C400" s="22" t="s">
        <v>1017</v>
      </c>
      <c r="D400" s="22" t="s">
        <v>1123</v>
      </c>
      <c r="E400" s="22" t="s">
        <v>2325</v>
      </c>
      <c r="F400" s="22" t="s">
        <v>2901</v>
      </c>
      <c r="G400" s="22"/>
      <c r="H400" s="27"/>
    </row>
    <row r="401">
      <c r="A401" s="10" t="s">
        <v>215</v>
      </c>
      <c r="B401" s="29" t="s">
        <v>220</v>
      </c>
      <c r="C401" s="29" t="s">
        <v>222</v>
      </c>
      <c r="D401" s="29" t="s">
        <v>220</v>
      </c>
      <c r="E401" s="29" t="s">
        <v>222</v>
      </c>
      <c r="F401" s="29" t="s">
        <v>222</v>
      </c>
      <c r="G401" s="29"/>
      <c r="H401" s="27"/>
    </row>
    <row r="402">
      <c r="A402" s="15" t="s">
        <v>224</v>
      </c>
      <c r="B402" s="22" t="s">
        <v>467</v>
      </c>
      <c r="C402" s="22" t="s">
        <v>2831</v>
      </c>
      <c r="D402" s="22" t="s">
        <v>2903</v>
      </c>
      <c r="E402" s="22" t="s">
        <v>943</v>
      </c>
      <c r="F402" s="22" t="s">
        <v>1442</v>
      </c>
      <c r="G402" s="22"/>
      <c r="H402" s="27"/>
    </row>
    <row r="403">
      <c r="A403" s="30"/>
      <c r="B403" s="22" t="s">
        <v>943</v>
      </c>
      <c r="C403" s="22" t="s">
        <v>246</v>
      </c>
      <c r="D403" s="22" t="s">
        <v>1035</v>
      </c>
      <c r="E403" s="22" t="s">
        <v>1169</v>
      </c>
      <c r="F403" s="22" t="s">
        <v>2578</v>
      </c>
      <c r="G403" s="22"/>
      <c r="H403" s="27"/>
    </row>
    <row r="404">
      <c r="A404" s="30"/>
      <c r="B404" s="22" t="s">
        <v>1169</v>
      </c>
      <c r="C404" s="22" t="s">
        <v>943</v>
      </c>
      <c r="D404" s="22" t="s">
        <v>2268</v>
      </c>
      <c r="E404" s="22" t="s">
        <v>1545</v>
      </c>
      <c r="F404" s="22" t="s">
        <v>246</v>
      </c>
      <c r="G404" s="22"/>
      <c r="H404" s="27"/>
    </row>
    <row r="405">
      <c r="A405" s="25"/>
      <c r="B405" s="22" t="s">
        <v>1454</v>
      </c>
      <c r="C405" s="22" t="s">
        <v>1169</v>
      </c>
      <c r="D405" s="22" t="s">
        <v>2904</v>
      </c>
      <c r="E405" s="22" t="s">
        <v>229</v>
      </c>
      <c r="F405" s="22" t="s">
        <v>1354</v>
      </c>
      <c r="G405" s="22"/>
      <c r="H405" s="31"/>
      <c r="I405" s="32"/>
    </row>
    <row r="406">
      <c r="A406" s="10" t="s">
        <v>5</v>
      </c>
      <c r="B406" s="11" t="s">
        <v>2905</v>
      </c>
      <c r="C406" s="9"/>
      <c r="D406" s="9"/>
      <c r="E406" s="9"/>
      <c r="F406" s="9"/>
      <c r="G406" s="9"/>
      <c r="H406" s="9"/>
      <c r="I406" s="10"/>
    </row>
    <row r="407" ht="60.0" customHeight="1">
      <c r="A407" s="15" t="s">
        <v>16</v>
      </c>
      <c r="B407" s="22" t="str">
        <f t="array" ref="B407">iferror(VLOOKUP(INDIRECT(ADDRESS(ROW()+1,COLUMN(), 4)),Dex!$A$2:$C449,3,false),"")</f>
        <v/>
      </c>
      <c r="C407" s="22" t="str">
        <f t="array" ref="C407">iferror(VLOOKUP(INDIRECT(ADDRESS(ROW()+1,COLUMN(), 4)),Dex!$A$2:$C449,3,false),"")</f>
        <v/>
      </c>
      <c r="D407" s="22" t="str">
        <f t="array" ref="D407">iferror(VLOOKUP(INDIRECT(ADDRESS(ROW()+1,COLUMN(), 4)),Dex!$A$2:$C449,3,false),"")</f>
        <v/>
      </c>
      <c r="E407" s="22" t="str">
        <f t="array" ref="E407">iferror(VLOOKUP(INDIRECT(ADDRESS(ROW()+1,COLUMN(), 4)),Dex!$A$2:$C449,3,false),"")</f>
        <v/>
      </c>
      <c r="F407" s="22" t="str">
        <f t="array" ref="F407">iferror(VLOOKUP(INDIRECT(ADDRESS(ROW()+1,COLUMN(), 4)),Dex!$A$2:$C449,3,false),"")</f>
        <v/>
      </c>
      <c r="G407" s="22" t="str">
        <f t="array" ref="G407">iferror(VLOOKUP(INDIRECT(ADDRESS(ROW()+1,COLUMN(), 4)),Dex!$A$2:$C449,3,false),"")</f>
        <v/>
      </c>
      <c r="H407" s="23" t="str">
        <f t="array" ref="H407">iferror(VLOOKUP("TRAINER_PIC_Cooltrainer_M",Sprites!$A$1:$B449,2,false),"")</f>
        <v/>
      </c>
      <c r="I407" s="24"/>
    </row>
    <row r="408">
      <c r="A408" s="25"/>
      <c r="B408" s="26" t="s">
        <v>1795</v>
      </c>
      <c r="C408" s="26" t="s">
        <v>649</v>
      </c>
      <c r="D408" s="26" t="s">
        <v>1419</v>
      </c>
      <c r="E408" s="26" t="s">
        <v>1237</v>
      </c>
      <c r="F408" s="26" t="s">
        <v>1609</v>
      </c>
      <c r="G408" s="26"/>
      <c r="H408" s="28"/>
    </row>
    <row r="409">
      <c r="A409" s="10" t="s">
        <v>199</v>
      </c>
      <c r="B409" s="22">
        <v>65.0</v>
      </c>
      <c r="C409" s="22">
        <v>64.0</v>
      </c>
      <c r="D409" s="22">
        <v>65.0</v>
      </c>
      <c r="E409" s="22">
        <v>64.0</v>
      </c>
      <c r="F409" s="22">
        <v>66.0</v>
      </c>
      <c r="G409" s="22"/>
      <c r="H409" s="28"/>
    </row>
    <row r="410">
      <c r="A410" s="10" t="s">
        <v>201</v>
      </c>
      <c r="B410" s="29" t="s">
        <v>2408</v>
      </c>
      <c r="C410" s="29" t="s">
        <v>406</v>
      </c>
      <c r="D410" s="29" t="s">
        <v>1242</v>
      </c>
      <c r="E410" s="29" t="s">
        <v>1334</v>
      </c>
      <c r="F410" s="29" t="s">
        <v>2033</v>
      </c>
      <c r="G410" s="29"/>
      <c r="H410" s="27"/>
    </row>
    <row r="411">
      <c r="A411" s="10" t="s">
        <v>209</v>
      </c>
      <c r="B411" s="22" t="s">
        <v>2036</v>
      </c>
      <c r="C411" s="22" t="s">
        <v>1025</v>
      </c>
      <c r="D411" s="22" t="s">
        <v>900</v>
      </c>
      <c r="E411" s="22" t="s">
        <v>1244</v>
      </c>
      <c r="F411" s="22" t="s">
        <v>2203</v>
      </c>
      <c r="G411" s="22"/>
      <c r="H411" s="27"/>
    </row>
    <row r="412">
      <c r="A412" s="10" t="s">
        <v>215</v>
      </c>
      <c r="B412" s="29" t="s">
        <v>220</v>
      </c>
      <c r="C412" s="29" t="s">
        <v>220</v>
      </c>
      <c r="D412" s="29" t="s">
        <v>231</v>
      </c>
      <c r="E412" s="29" t="s">
        <v>222</v>
      </c>
      <c r="F412" s="29" t="s">
        <v>220</v>
      </c>
      <c r="G412" s="29"/>
      <c r="H412" s="27"/>
    </row>
    <row r="413">
      <c r="A413" s="15" t="s">
        <v>224</v>
      </c>
      <c r="B413" s="22" t="s">
        <v>1457</v>
      </c>
      <c r="C413" s="22" t="s">
        <v>917</v>
      </c>
      <c r="D413" s="22" t="s">
        <v>1352</v>
      </c>
      <c r="E413" s="22" t="s">
        <v>580</v>
      </c>
      <c r="F413" s="22" t="s">
        <v>1772</v>
      </c>
      <c r="G413" s="22"/>
      <c r="H413" s="27"/>
    </row>
    <row r="414">
      <c r="A414" s="30"/>
      <c r="B414" s="22" t="s">
        <v>2042</v>
      </c>
      <c r="C414" s="22" t="s">
        <v>2042</v>
      </c>
      <c r="D414" s="22" t="s">
        <v>2688</v>
      </c>
      <c r="E414" s="22" t="s">
        <v>926</v>
      </c>
      <c r="F414" s="22" t="s">
        <v>2915</v>
      </c>
      <c r="G414" s="22"/>
      <c r="H414" s="27"/>
    </row>
    <row r="415">
      <c r="A415" s="30"/>
      <c r="B415" s="22" t="s">
        <v>1162</v>
      </c>
      <c r="C415" s="22" t="s">
        <v>567</v>
      </c>
      <c r="D415" s="22" t="s">
        <v>801</v>
      </c>
      <c r="E415" s="22" t="s">
        <v>357</v>
      </c>
      <c r="F415" s="22" t="s">
        <v>2022</v>
      </c>
      <c r="G415" s="22"/>
      <c r="H415" s="27"/>
    </row>
    <row r="416">
      <c r="A416" s="25"/>
      <c r="B416" s="22" t="s">
        <v>254</v>
      </c>
      <c r="C416" s="22" t="s">
        <v>1941</v>
      </c>
      <c r="D416" s="22" t="s">
        <v>2916</v>
      </c>
      <c r="E416" s="22" t="s">
        <v>2025</v>
      </c>
      <c r="F416" s="22" t="s">
        <v>2917</v>
      </c>
      <c r="G416" s="22"/>
      <c r="H416" s="31"/>
      <c r="I416" s="32"/>
    </row>
    <row r="417">
      <c r="A417" s="10" t="s">
        <v>5</v>
      </c>
      <c r="B417" s="11" t="s">
        <v>2918</v>
      </c>
      <c r="C417" s="9"/>
      <c r="D417" s="9"/>
      <c r="E417" s="9"/>
      <c r="F417" s="9"/>
      <c r="G417" s="9"/>
      <c r="H417" s="9"/>
      <c r="I417" s="10"/>
    </row>
    <row r="418" ht="60.0" customHeight="1">
      <c r="A418" s="15" t="s">
        <v>16</v>
      </c>
      <c r="B418" s="22" t="str">
        <f t="array" ref="B418">iferror(VLOOKUP(INDIRECT(ADDRESS(ROW()+1,COLUMN(), 4)),Dex!$A$2:$C449,3,false),"")</f>
        <v/>
      </c>
      <c r="C418" s="22" t="str">
        <f t="array" ref="C418">iferror(VLOOKUP(INDIRECT(ADDRESS(ROW()+1,COLUMN(), 4)),Dex!$A$2:$C449,3,false),"")</f>
        <v/>
      </c>
      <c r="D418" s="22" t="str">
        <f t="array" ref="D418">iferror(VLOOKUP(INDIRECT(ADDRESS(ROW()+1,COLUMN(), 4)),Dex!$A$2:$C449,3,false),"")</f>
        <v/>
      </c>
      <c r="E418" s="22" t="str">
        <f t="array" ref="E418">iferror(VLOOKUP(INDIRECT(ADDRESS(ROW()+1,COLUMN(), 4)),Dex!$A$2:$C449,3,false),"")</f>
        <v/>
      </c>
      <c r="F418" s="22" t="str">
        <f t="array" ref="F418">iferror(VLOOKUP(INDIRECT(ADDRESS(ROW()+1,COLUMN(), 4)),Dex!$A$2:$C449,3,false),"")</f>
        <v/>
      </c>
      <c r="G418" s="22" t="str">
        <f t="array" ref="G418">iferror(VLOOKUP(INDIRECT(ADDRESS(ROW()+1,COLUMN(), 4)),Dex!$A$2:$C449,3,false),"")</f>
        <v/>
      </c>
      <c r="H418" s="23" t="str">
        <f t="array" ref="H418">iferror(VLOOKUP("TRAINER_PIC_Cooltrainer_F",Sprites!$A$1:$B449,2,false),"")</f>
        <v/>
      </c>
      <c r="I418" s="24"/>
    </row>
    <row r="419">
      <c r="A419" s="25"/>
      <c r="B419" s="26" t="s">
        <v>1903</v>
      </c>
      <c r="C419" s="26" t="s">
        <v>1385</v>
      </c>
      <c r="D419" s="26" t="s">
        <v>1419</v>
      </c>
      <c r="E419" s="26" t="s">
        <v>1443</v>
      </c>
      <c r="F419" s="26" t="s">
        <v>1238</v>
      </c>
      <c r="G419" s="26"/>
      <c r="H419" s="28"/>
    </row>
    <row r="420">
      <c r="A420" s="10" t="s">
        <v>199</v>
      </c>
      <c r="B420" s="22">
        <v>65.0</v>
      </c>
      <c r="C420" s="22">
        <v>65.0</v>
      </c>
      <c r="D420" s="22">
        <v>64.0</v>
      </c>
      <c r="E420" s="22">
        <v>64.0</v>
      </c>
      <c r="F420" s="22">
        <v>66.0</v>
      </c>
      <c r="G420" s="22"/>
      <c r="H420" s="28"/>
    </row>
    <row r="421">
      <c r="A421" s="10" t="s">
        <v>201</v>
      </c>
      <c r="B421" s="29" t="s">
        <v>2408</v>
      </c>
      <c r="C421" s="29" t="s">
        <v>451</v>
      </c>
      <c r="D421" s="29" t="s">
        <v>1616</v>
      </c>
      <c r="E421" s="29" t="s">
        <v>1926</v>
      </c>
      <c r="F421" s="29" t="s">
        <v>1446</v>
      </c>
      <c r="G421" s="29"/>
      <c r="H421" s="27"/>
    </row>
    <row r="422">
      <c r="A422" s="10" t="s">
        <v>209</v>
      </c>
      <c r="B422" s="22" t="s">
        <v>2646</v>
      </c>
      <c r="C422" s="22" t="s">
        <v>785</v>
      </c>
      <c r="D422" s="22" t="s">
        <v>900</v>
      </c>
      <c r="E422" s="22" t="s">
        <v>2369</v>
      </c>
      <c r="F422" s="22" t="s">
        <v>1245</v>
      </c>
      <c r="G422" s="22"/>
      <c r="H422" s="27"/>
    </row>
    <row r="423">
      <c r="A423" s="10" t="s">
        <v>215</v>
      </c>
      <c r="B423" s="29" t="s">
        <v>222</v>
      </c>
      <c r="C423" s="29" t="s">
        <v>220</v>
      </c>
      <c r="D423" s="29" t="s">
        <v>419</v>
      </c>
      <c r="E423" s="29" t="s">
        <v>419</v>
      </c>
      <c r="F423" s="29" t="s">
        <v>419</v>
      </c>
      <c r="G423" s="29"/>
      <c r="H423" s="27"/>
    </row>
    <row r="424">
      <c r="A424" s="15" t="s">
        <v>224</v>
      </c>
      <c r="B424" s="22" t="s">
        <v>2647</v>
      </c>
      <c r="C424" s="22" t="s">
        <v>652</v>
      </c>
      <c r="D424" s="22" t="s">
        <v>920</v>
      </c>
      <c r="E424" s="22" t="s">
        <v>2647</v>
      </c>
      <c r="F424" s="22" t="s">
        <v>580</v>
      </c>
      <c r="G424" s="22"/>
      <c r="H424" s="27"/>
    </row>
    <row r="425">
      <c r="A425" s="30"/>
      <c r="B425" s="22" t="s">
        <v>701</v>
      </c>
      <c r="C425" s="22" t="s">
        <v>477</v>
      </c>
      <c r="D425" s="22" t="s">
        <v>2770</v>
      </c>
      <c r="E425" s="22" t="s">
        <v>701</v>
      </c>
      <c r="F425" s="22" t="s">
        <v>1248</v>
      </c>
      <c r="G425" s="22"/>
      <c r="H425" s="27"/>
    </row>
    <row r="426">
      <c r="A426" s="30"/>
      <c r="B426" s="22" t="s">
        <v>258</v>
      </c>
      <c r="C426" s="22" t="s">
        <v>549</v>
      </c>
      <c r="D426" s="22" t="s">
        <v>1442</v>
      </c>
      <c r="E426" s="22" t="s">
        <v>1759</v>
      </c>
      <c r="F426" s="22" t="s">
        <v>467</v>
      </c>
      <c r="G426" s="22"/>
      <c r="H426" s="27"/>
    </row>
    <row r="427">
      <c r="A427" s="25"/>
      <c r="B427" s="22" t="s">
        <v>2448</v>
      </c>
      <c r="C427" s="22" t="s">
        <v>695</v>
      </c>
      <c r="D427" s="22" t="s">
        <v>582</v>
      </c>
      <c r="E427" s="22" t="s">
        <v>2605</v>
      </c>
      <c r="F427" s="22" t="s">
        <v>803</v>
      </c>
      <c r="G427" s="22"/>
      <c r="H427" s="31"/>
      <c r="I427" s="32"/>
    </row>
    <row r="428">
      <c r="A428" s="10" t="s">
        <v>5</v>
      </c>
      <c r="B428" s="11" t="s">
        <v>2923</v>
      </c>
      <c r="C428" s="9"/>
      <c r="D428" s="9"/>
      <c r="E428" s="9"/>
      <c r="F428" s="9"/>
      <c r="G428" s="9"/>
      <c r="H428" s="9"/>
      <c r="I428" s="13"/>
    </row>
    <row r="429" ht="60.0" customHeight="1">
      <c r="A429" s="15" t="s">
        <v>16</v>
      </c>
      <c r="B429" s="22" t="str">
        <f t="array" ref="B429">iferror(VLOOKUP(INDIRECT(ADDRESS(ROW()+1,COLUMN(), 4)),Dex!$A$2:$C449,3,false),"")</f>
        <v/>
      </c>
      <c r="C429" s="22" t="str">
        <f t="array" ref="C429">iferror(VLOOKUP(INDIRECT(ADDRESS(ROW()+1,COLUMN(), 4)),Dex!$A$2:$C449,3,false),"")</f>
        <v/>
      </c>
      <c r="D429" s="22" t="str">
        <f t="array" ref="D429">iferror(VLOOKUP(INDIRECT(ADDRESS(ROW()+1,COLUMN(), 4)),Dex!$A$2:$C449,3,false),"")</f>
        <v/>
      </c>
      <c r="E429" s="22" t="str">
        <f t="array" ref="E429">iferror(VLOOKUP(INDIRECT(ADDRESS(ROW()+1,COLUMN(), 4)),Dex!$A$2:$C449,3,false),"")</f>
        <v/>
      </c>
      <c r="F429" s="22" t="str">
        <f t="array" ref="F429">iferror(VLOOKUP(INDIRECT(ADDRESS(ROW()+1,COLUMN(), 4)),Dex!$A$2:$C449,3,false),"")</f>
        <v/>
      </c>
      <c r="G429" s="22" t="str">
        <f t="array" ref="G429">iferror(VLOOKUP(INDIRECT(ADDRESS(ROW()+1,COLUMN(), 4)),Dex!$A$2:$C449,3,false),"")</f>
        <v/>
      </c>
      <c r="H429" s="23" t="str">
        <f t="array" ref="H429">iferror(VLOOKUP("TRAINER_PIC_Pokemaniac",Sprites!$A$1:$B449,2,false),"")</f>
        <v/>
      </c>
      <c r="I429" s="24"/>
    </row>
    <row r="430">
      <c r="A430" s="25"/>
      <c r="B430" s="26" t="s">
        <v>2299</v>
      </c>
      <c r="C430" s="26" t="s">
        <v>1086</v>
      </c>
      <c r="D430" s="26" t="s">
        <v>1861</v>
      </c>
      <c r="E430" s="26" t="s">
        <v>2030</v>
      </c>
      <c r="F430" s="26" t="s">
        <v>1502</v>
      </c>
      <c r="G430" s="26"/>
      <c r="H430" s="28"/>
    </row>
    <row r="431">
      <c r="A431" s="10" t="s">
        <v>199</v>
      </c>
      <c r="B431" s="22">
        <v>64.0</v>
      </c>
      <c r="C431" s="22">
        <v>65.0</v>
      </c>
      <c r="D431" s="22">
        <v>66.0</v>
      </c>
      <c r="E431" s="22">
        <v>66.0</v>
      </c>
      <c r="F431" s="22">
        <v>65.0</v>
      </c>
      <c r="G431" s="22"/>
      <c r="H431" s="28"/>
    </row>
    <row r="432">
      <c r="A432" s="10" t="s">
        <v>201</v>
      </c>
      <c r="B432" s="29" t="s">
        <v>645</v>
      </c>
      <c r="C432" s="29" t="s">
        <v>1760</v>
      </c>
      <c r="D432" s="29" t="s">
        <v>781</v>
      </c>
      <c r="E432" s="29" t="s">
        <v>453</v>
      </c>
      <c r="F432" s="29" t="s">
        <v>1635</v>
      </c>
      <c r="G432" s="29"/>
      <c r="H432" s="27"/>
    </row>
    <row r="433">
      <c r="A433" s="10" t="s">
        <v>209</v>
      </c>
      <c r="B433" s="22" t="s">
        <v>2927</v>
      </c>
      <c r="C433" s="22" t="s">
        <v>2593</v>
      </c>
      <c r="D433" s="22" t="s">
        <v>541</v>
      </c>
      <c r="E433" s="22" t="s">
        <v>458</v>
      </c>
      <c r="F433" s="22" t="s">
        <v>2017</v>
      </c>
      <c r="G433" s="22"/>
      <c r="H433" s="27"/>
    </row>
    <row r="434">
      <c r="A434" s="10" t="s">
        <v>215</v>
      </c>
      <c r="B434" s="29" t="s">
        <v>918</v>
      </c>
      <c r="C434" s="29" t="s">
        <v>222</v>
      </c>
      <c r="D434" s="29" t="s">
        <v>220</v>
      </c>
      <c r="E434" s="29" t="s">
        <v>220</v>
      </c>
      <c r="F434" s="29" t="s">
        <v>220</v>
      </c>
      <c r="G434" s="29"/>
      <c r="H434" s="27"/>
    </row>
    <row r="435">
      <c r="A435" s="15" t="s">
        <v>224</v>
      </c>
      <c r="B435" s="22" t="s">
        <v>2673</v>
      </c>
      <c r="C435" s="22" t="s">
        <v>2929</v>
      </c>
      <c r="D435" s="22" t="s">
        <v>698</v>
      </c>
      <c r="E435" s="22" t="s">
        <v>2930</v>
      </c>
      <c r="F435" s="22" t="s">
        <v>473</v>
      </c>
      <c r="G435" s="22"/>
      <c r="H435" s="27"/>
    </row>
    <row r="436">
      <c r="A436" s="30"/>
      <c r="B436" s="22" t="s">
        <v>234</v>
      </c>
      <c r="C436" s="22" t="s">
        <v>2932</v>
      </c>
      <c r="D436" s="22" t="s">
        <v>2573</v>
      </c>
      <c r="E436" s="22" t="s">
        <v>1454</v>
      </c>
      <c r="F436" s="22" t="s">
        <v>695</v>
      </c>
      <c r="G436" s="22"/>
      <c r="H436" s="27"/>
    </row>
    <row r="437">
      <c r="A437" s="30"/>
      <c r="B437" s="22" t="s">
        <v>2929</v>
      </c>
      <c r="C437" s="22" t="s">
        <v>2933</v>
      </c>
      <c r="D437" s="22" t="s">
        <v>1998</v>
      </c>
      <c r="E437" s="22" t="s">
        <v>1538</v>
      </c>
      <c r="F437" s="22" t="s">
        <v>1788</v>
      </c>
      <c r="G437" s="22"/>
      <c r="H437" s="27"/>
    </row>
    <row r="438">
      <c r="A438" s="25"/>
      <c r="B438" s="22" t="s">
        <v>2933</v>
      </c>
      <c r="C438" s="22" t="s">
        <v>2934</v>
      </c>
      <c r="D438" s="22" t="s">
        <v>2929</v>
      </c>
      <c r="E438" s="22" t="s">
        <v>1227</v>
      </c>
      <c r="F438" s="22" t="s">
        <v>2929</v>
      </c>
      <c r="G438" s="22"/>
      <c r="H438" s="31"/>
      <c r="I438" s="32"/>
    </row>
    <row r="439">
      <c r="A439" s="10" t="s">
        <v>5</v>
      </c>
      <c r="B439" s="11" t="s">
        <v>2935</v>
      </c>
      <c r="C439" s="9"/>
      <c r="D439" s="9"/>
      <c r="E439" s="9"/>
      <c r="F439" s="9"/>
      <c r="G439" s="9"/>
      <c r="H439" s="9"/>
      <c r="I439" s="10"/>
    </row>
    <row r="440" ht="60.0" customHeight="1">
      <c r="A440" s="15" t="s">
        <v>16</v>
      </c>
      <c r="B440" s="22" t="str">
        <f t="array" ref="B440">iferror(VLOOKUP(INDIRECT(ADDRESS(ROW()+1,COLUMN(), 4)),Dex!$A$2:$C449,3,false),"")</f>
        <v/>
      </c>
      <c r="C440" s="22" t="str">
        <f t="array" ref="C440">iferror(VLOOKUP(INDIRECT(ADDRESS(ROW()+1,COLUMN(), 4)),Dex!$A$2:$C449,3,false),"")</f>
        <v/>
      </c>
      <c r="D440" s="22" t="str">
        <f t="array" ref="D440">iferror(VLOOKUP(INDIRECT(ADDRESS(ROW()+1,COLUMN(), 4)),Dex!$A$2:$C449,3,false),"")</f>
        <v/>
      </c>
      <c r="E440" s="22" t="str">
        <f t="array" ref="E440">iferror(VLOOKUP(INDIRECT(ADDRESS(ROW()+1,COLUMN(), 4)),Dex!$A$2:$C449,3,false),"")</f>
        <v/>
      </c>
      <c r="F440" s="22" t="str">
        <f t="array" ref="F440">iferror(VLOOKUP(INDIRECT(ADDRESS(ROW()+1,COLUMN(), 4)),Dex!$A$2:$C449,3,false),"")</f>
        <v/>
      </c>
      <c r="G440" s="22" t="str">
        <f t="array" ref="G440">iferror(VLOOKUP(INDIRECT(ADDRESS(ROW()+1,COLUMN(), 4)),Dex!$A$2:$C449,3,false),"")</f>
        <v/>
      </c>
      <c r="H440" s="23" t="str">
        <f t="array" ref="H440">iferror(VLOOKUP("TRAINER_PIC_Leader_Norman",Sprites!$A$1:$B449,2,false),"")</f>
        <v/>
      </c>
      <c r="I440" s="24"/>
    </row>
    <row r="441">
      <c r="A441" s="25"/>
      <c r="B441" s="26" t="s">
        <v>1697</v>
      </c>
      <c r="C441" s="26" t="s">
        <v>731</v>
      </c>
      <c r="D441" s="26" t="s">
        <v>2014</v>
      </c>
      <c r="E441" s="26" t="s">
        <v>2180</v>
      </c>
      <c r="F441" s="26" t="s">
        <v>1290</v>
      </c>
      <c r="G441" s="26" t="s">
        <v>378</v>
      </c>
      <c r="H441" s="28"/>
    </row>
    <row r="442">
      <c r="A442" s="10" t="s">
        <v>199</v>
      </c>
      <c r="B442" s="22">
        <v>66.0</v>
      </c>
      <c r="C442" s="22">
        <v>67.0</v>
      </c>
      <c r="D442" s="22">
        <v>65.0</v>
      </c>
      <c r="E442" s="22">
        <v>65.0</v>
      </c>
      <c r="F442" s="22">
        <v>66.0</v>
      </c>
      <c r="G442" s="22">
        <v>66.0</v>
      </c>
      <c r="H442" s="28"/>
    </row>
    <row r="443">
      <c r="A443" s="10" t="s">
        <v>201</v>
      </c>
      <c r="B443" s="29" t="s">
        <v>2943</v>
      </c>
      <c r="C443" s="29" t="s">
        <v>2090</v>
      </c>
      <c r="D443" s="29" t="s">
        <v>2365</v>
      </c>
      <c r="E443" s="29" t="s">
        <v>206</v>
      </c>
      <c r="F443" s="29" t="s">
        <v>776</v>
      </c>
      <c r="G443" s="29" t="s">
        <v>2944</v>
      </c>
      <c r="H443" s="27"/>
    </row>
    <row r="444">
      <c r="A444" s="10" t="s">
        <v>209</v>
      </c>
      <c r="B444" s="22" t="s">
        <v>2669</v>
      </c>
      <c r="C444" s="22" t="s">
        <v>2733</v>
      </c>
      <c r="D444" s="22" t="s">
        <v>541</v>
      </c>
      <c r="E444" s="22" t="s">
        <v>2614</v>
      </c>
      <c r="F444" s="22" t="s">
        <v>2945</v>
      </c>
      <c r="G444" s="22" t="s">
        <v>2946</v>
      </c>
      <c r="H444" s="27"/>
    </row>
    <row r="445">
      <c r="A445" s="10" t="s">
        <v>215</v>
      </c>
      <c r="B445" s="29" t="s">
        <v>220</v>
      </c>
      <c r="C445" s="29" t="s">
        <v>231</v>
      </c>
      <c r="D445" s="29" t="s">
        <v>231</v>
      </c>
      <c r="E445" s="29" t="s">
        <v>1343</v>
      </c>
      <c r="F445" s="29" t="s">
        <v>419</v>
      </c>
      <c r="G445" s="29" t="s">
        <v>231</v>
      </c>
      <c r="H445" s="27"/>
    </row>
    <row r="446">
      <c r="A446" s="15" t="s">
        <v>224</v>
      </c>
      <c r="B446" s="22" t="s">
        <v>549</v>
      </c>
      <c r="C446" s="22" t="s">
        <v>1466</v>
      </c>
      <c r="D446" s="22" t="s">
        <v>2947</v>
      </c>
      <c r="E446" s="22" t="s">
        <v>1871</v>
      </c>
      <c r="F446" s="22" t="s">
        <v>2948</v>
      </c>
      <c r="G446" s="22" t="s">
        <v>241</v>
      </c>
      <c r="H446" s="27"/>
    </row>
    <row r="447">
      <c r="A447" s="30"/>
      <c r="B447" s="22" t="s">
        <v>2670</v>
      </c>
      <c r="C447" s="22" t="s">
        <v>801</v>
      </c>
      <c r="D447" s="22" t="s">
        <v>2022</v>
      </c>
      <c r="E447" s="22" t="s">
        <v>366</v>
      </c>
      <c r="F447" s="22" t="s">
        <v>253</v>
      </c>
      <c r="G447" s="22" t="s">
        <v>801</v>
      </c>
      <c r="H447" s="27"/>
    </row>
    <row r="448">
      <c r="A448" s="30"/>
      <c r="B448" s="22" t="s">
        <v>808</v>
      </c>
      <c r="C448" s="22" t="s">
        <v>356</v>
      </c>
      <c r="D448" s="22" t="s">
        <v>1772</v>
      </c>
      <c r="E448" s="22" t="s">
        <v>229</v>
      </c>
      <c r="F448" s="22" t="s">
        <v>1560</v>
      </c>
      <c r="G448" s="22" t="s">
        <v>366</v>
      </c>
      <c r="H448" s="27"/>
    </row>
    <row r="449">
      <c r="A449" s="25"/>
      <c r="B449" s="22" t="s">
        <v>652</v>
      </c>
      <c r="C449" s="22" t="s">
        <v>804</v>
      </c>
      <c r="D449" s="22" t="s">
        <v>2544</v>
      </c>
      <c r="E449" s="22" t="s">
        <v>1442</v>
      </c>
      <c r="F449" s="22" t="s">
        <v>582</v>
      </c>
      <c r="G449" s="22" t="s">
        <v>698</v>
      </c>
      <c r="H449" s="31"/>
      <c r="I449" s="32"/>
    </row>
  </sheetData>
  <mergeCells count="169">
    <mergeCell ref="A43:A46"/>
    <mergeCell ref="A48:A49"/>
    <mergeCell ref="A54:A57"/>
    <mergeCell ref="A59:A60"/>
    <mergeCell ref="A65:A68"/>
    <mergeCell ref="A71:A72"/>
    <mergeCell ref="A77:A80"/>
    <mergeCell ref="A110:A113"/>
    <mergeCell ref="A115:A116"/>
    <mergeCell ref="A126:A127"/>
    <mergeCell ref="A137:A138"/>
    <mergeCell ref="A148:A149"/>
    <mergeCell ref="A159:A160"/>
    <mergeCell ref="A171:A172"/>
    <mergeCell ref="A182:A183"/>
    <mergeCell ref="A193:A194"/>
    <mergeCell ref="A205:A206"/>
    <mergeCell ref="A217:A218"/>
    <mergeCell ref="A228:A229"/>
    <mergeCell ref="A239:A240"/>
    <mergeCell ref="A250:A251"/>
    <mergeCell ref="A261:A262"/>
    <mergeCell ref="A272:A273"/>
    <mergeCell ref="A283:A284"/>
    <mergeCell ref="A295:A296"/>
    <mergeCell ref="A306:A307"/>
    <mergeCell ref="A318:A319"/>
    <mergeCell ref="A329:A330"/>
    <mergeCell ref="A418:A419"/>
    <mergeCell ref="A429:A430"/>
    <mergeCell ref="A440:A441"/>
    <mergeCell ref="A340:A341"/>
    <mergeCell ref="A352:A353"/>
    <mergeCell ref="A363:A364"/>
    <mergeCell ref="A374:A375"/>
    <mergeCell ref="A385:A386"/>
    <mergeCell ref="A396:A397"/>
    <mergeCell ref="A407:A408"/>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B92:H92"/>
    <mergeCell ref="H82:I91"/>
    <mergeCell ref="H93:I102"/>
    <mergeCell ref="H104:I113"/>
    <mergeCell ref="H115:I124"/>
    <mergeCell ref="H126:I135"/>
    <mergeCell ref="H137:I146"/>
    <mergeCell ref="H148:I157"/>
    <mergeCell ref="H159:I168"/>
    <mergeCell ref="H4:I13"/>
    <mergeCell ref="H15:I24"/>
    <mergeCell ref="H26:I35"/>
    <mergeCell ref="H37:I46"/>
    <mergeCell ref="H48:I57"/>
    <mergeCell ref="H59:I68"/>
    <mergeCell ref="H71:I80"/>
    <mergeCell ref="A93:A94"/>
    <mergeCell ref="A99:A102"/>
    <mergeCell ref="B103:H103"/>
    <mergeCell ref="A104:A105"/>
    <mergeCell ref="B114:H114"/>
    <mergeCell ref="A121:A124"/>
    <mergeCell ref="B125:H125"/>
    <mergeCell ref="A223:A226"/>
    <mergeCell ref="A234:A237"/>
    <mergeCell ref="A245:A248"/>
    <mergeCell ref="A256:A259"/>
    <mergeCell ref="A267:A270"/>
    <mergeCell ref="A278:A281"/>
    <mergeCell ref="A289:A292"/>
    <mergeCell ref="B238:H238"/>
    <mergeCell ref="B249:H249"/>
    <mergeCell ref="B260:H260"/>
    <mergeCell ref="B271:H271"/>
    <mergeCell ref="B282:H282"/>
    <mergeCell ref="A293:I293"/>
    <mergeCell ref="B294:H294"/>
    <mergeCell ref="B305:H305"/>
    <mergeCell ref="A316:I316"/>
    <mergeCell ref="B317:H317"/>
    <mergeCell ref="B328:H328"/>
    <mergeCell ref="B339:H339"/>
    <mergeCell ref="A350:I350"/>
    <mergeCell ref="B351:H351"/>
    <mergeCell ref="H385:I394"/>
    <mergeCell ref="H396:I405"/>
    <mergeCell ref="H407:I416"/>
    <mergeCell ref="H418:I427"/>
    <mergeCell ref="H429:I438"/>
    <mergeCell ref="H440:I449"/>
    <mergeCell ref="B362:H362"/>
    <mergeCell ref="B373:H373"/>
    <mergeCell ref="H374:I383"/>
    <mergeCell ref="A380:A383"/>
    <mergeCell ref="B384:H384"/>
    <mergeCell ref="A391:A394"/>
    <mergeCell ref="B395:H395"/>
    <mergeCell ref="A435:A438"/>
    <mergeCell ref="A446:A449"/>
    <mergeCell ref="A402:A405"/>
    <mergeCell ref="B406:H406"/>
    <mergeCell ref="A413:A416"/>
    <mergeCell ref="B417:H417"/>
    <mergeCell ref="A424:A427"/>
    <mergeCell ref="B428:H428"/>
    <mergeCell ref="B439:H439"/>
    <mergeCell ref="A132:A135"/>
    <mergeCell ref="B136:H136"/>
    <mergeCell ref="A143:A146"/>
    <mergeCell ref="B147:H147"/>
    <mergeCell ref="A154:A157"/>
    <mergeCell ref="B158:H158"/>
    <mergeCell ref="A165:A168"/>
    <mergeCell ref="A169:I169"/>
    <mergeCell ref="B170:H170"/>
    <mergeCell ref="H171:I180"/>
    <mergeCell ref="A177:A180"/>
    <mergeCell ref="B181:H181"/>
    <mergeCell ref="A188:A191"/>
    <mergeCell ref="B192:H192"/>
    <mergeCell ref="A199:A202"/>
    <mergeCell ref="A203:I203"/>
    <mergeCell ref="B204:H204"/>
    <mergeCell ref="A211:A214"/>
    <mergeCell ref="A215:I215"/>
    <mergeCell ref="B216:H216"/>
    <mergeCell ref="B227:H227"/>
    <mergeCell ref="H182:I191"/>
    <mergeCell ref="H193:I202"/>
    <mergeCell ref="H205:I214"/>
    <mergeCell ref="H217:I226"/>
    <mergeCell ref="H228:I237"/>
    <mergeCell ref="H239:I248"/>
    <mergeCell ref="H250:I259"/>
    <mergeCell ref="A301:A304"/>
    <mergeCell ref="A312:A315"/>
    <mergeCell ref="A324:A327"/>
    <mergeCell ref="A335:A338"/>
    <mergeCell ref="A346:A349"/>
    <mergeCell ref="A358:A361"/>
    <mergeCell ref="A369:A372"/>
    <mergeCell ref="H340:I349"/>
    <mergeCell ref="H352:I361"/>
    <mergeCell ref="H363:I372"/>
    <mergeCell ref="H261:I270"/>
    <mergeCell ref="H272:I281"/>
    <mergeCell ref="H283:I292"/>
    <mergeCell ref="H295:I304"/>
    <mergeCell ref="H306:I315"/>
    <mergeCell ref="H318:I327"/>
    <mergeCell ref="H329:I338"/>
  </mergeCells>
  <conditionalFormatting sqref="A1">
    <cfRule type="notContainsBlanks" dxfId="3" priority="1">
      <formula>LEN(TRIM(A1))&gt;0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8"/>
      <c r="B1" s="49"/>
      <c r="C1" s="32"/>
      <c r="D1" s="32"/>
      <c r="E1" s="32"/>
      <c r="F1" s="32"/>
      <c r="G1" s="32"/>
      <c r="H1" s="25"/>
      <c r="I1" s="37"/>
    </row>
    <row r="2">
      <c r="A2" s="8" t="s">
        <v>2352</v>
      </c>
      <c r="B2" s="9"/>
      <c r="C2" s="9"/>
      <c r="D2" s="9"/>
      <c r="E2" s="9"/>
      <c r="F2" s="9"/>
      <c r="G2" s="9"/>
      <c r="H2" s="9"/>
      <c r="I2" s="34"/>
    </row>
    <row r="3">
      <c r="A3" s="10" t="s">
        <v>5</v>
      </c>
      <c r="B3" s="11" t="s">
        <v>2356</v>
      </c>
      <c r="C3" s="9"/>
      <c r="D3" s="9"/>
      <c r="E3" s="9"/>
      <c r="F3" s="9"/>
      <c r="G3" s="9"/>
      <c r="H3" s="9"/>
      <c r="I3" s="13"/>
    </row>
    <row r="4" ht="60.0" customHeight="1">
      <c r="A4" s="15" t="s">
        <v>16</v>
      </c>
      <c r="B4" s="22" t="str">
        <f t="array" ref="B4">iferror(VLOOKUP(INDIRECT(ADDRESS(ROW()+1,COLUMN(), 4)),Dex!$A$2:$C526,3,false),"")</f>
        <v/>
      </c>
      <c r="C4" s="22" t="str">
        <f t="array" ref="C4">iferror(VLOOKUP(INDIRECT(ADDRESS(ROW()+1,COLUMN(), 4)),Dex!$A$2:$C526,3,false),"")</f>
        <v/>
      </c>
      <c r="D4" s="22" t="str">
        <f t="array" ref="D4">iferror(VLOOKUP(INDIRECT(ADDRESS(ROW()+1,COLUMN(), 4)),Dex!$A$2:$C526,3,false),"")</f>
        <v/>
      </c>
      <c r="E4" s="22" t="str">
        <f t="array" ref="E4">iferror(VLOOKUP(INDIRECT(ADDRESS(ROW()+1,COLUMN(), 4)),Dex!$A$2:$C526,3,false),"")</f>
        <v/>
      </c>
      <c r="F4" s="22" t="str">
        <f t="array" ref="F4">iferror(VLOOKUP(INDIRECT(ADDRESS(ROW()+1,COLUMN(), 4)),Dex!$A$2:$C526,3,false),"")</f>
        <v/>
      </c>
      <c r="G4" s="22" t="str">
        <f t="array" ref="G4">iferror(VLOOKUP(INDIRECT(ADDRESS(ROW()+1,COLUMN(), 4)),Dex!$A$2:$C526,3,false),"")</f>
        <v/>
      </c>
      <c r="H4" s="23" t="str">
        <f t="array" ref="H4">iferror(VLOOKUP("TRAINER_PIC_Pokefan_M",Sprites!$A$1:$B526,2,false),"")</f>
        <v/>
      </c>
      <c r="I4" s="24"/>
    </row>
    <row r="5">
      <c r="A5" s="25"/>
      <c r="B5" s="26" t="s">
        <v>194</v>
      </c>
      <c r="C5" s="26" t="s">
        <v>1879</v>
      </c>
      <c r="D5" s="26"/>
      <c r="E5" s="26"/>
      <c r="F5" s="26"/>
      <c r="G5" s="26"/>
      <c r="H5" s="28"/>
    </row>
    <row r="6">
      <c r="A6" s="10" t="s">
        <v>199</v>
      </c>
      <c r="B6" s="22">
        <v>66.0</v>
      </c>
      <c r="C6" s="22">
        <v>66.0</v>
      </c>
      <c r="D6" s="22"/>
      <c r="E6" s="22"/>
      <c r="F6" s="22"/>
      <c r="G6" s="22"/>
      <c r="H6" s="27"/>
    </row>
    <row r="7">
      <c r="A7" s="10" t="s">
        <v>201</v>
      </c>
      <c r="B7" s="29" t="s">
        <v>452</v>
      </c>
      <c r="C7" s="29" t="s">
        <v>453</v>
      </c>
      <c r="D7" s="29"/>
      <c r="E7" s="29"/>
      <c r="F7" s="29"/>
      <c r="G7" s="29"/>
      <c r="H7" s="27"/>
    </row>
    <row r="8">
      <c r="A8" s="10" t="s">
        <v>209</v>
      </c>
      <c r="B8" s="22" t="s">
        <v>457</v>
      </c>
      <c r="C8" s="22" t="s">
        <v>458</v>
      </c>
      <c r="D8" s="22"/>
      <c r="E8" s="22"/>
      <c r="F8" s="22"/>
      <c r="G8" s="22"/>
      <c r="H8" s="27"/>
    </row>
    <row r="9">
      <c r="A9" s="10" t="s">
        <v>215</v>
      </c>
      <c r="B9" s="29" t="s">
        <v>220</v>
      </c>
      <c r="C9" s="29" t="s">
        <v>220</v>
      </c>
      <c r="D9" s="29"/>
      <c r="E9" s="29"/>
      <c r="F9" s="29"/>
      <c r="G9" s="29"/>
      <c r="H9" s="27"/>
    </row>
    <row r="10">
      <c r="A10" s="15" t="s">
        <v>224</v>
      </c>
      <c r="B10" s="22" t="s">
        <v>465</v>
      </c>
      <c r="C10" s="22" t="s">
        <v>2106</v>
      </c>
      <c r="D10" s="22"/>
      <c r="E10" s="22"/>
      <c r="F10" s="22"/>
      <c r="G10" s="22"/>
      <c r="H10" s="27"/>
    </row>
    <row r="11">
      <c r="A11" s="30"/>
      <c r="B11" s="22" t="s">
        <v>1065</v>
      </c>
      <c r="C11" s="22" t="s">
        <v>366</v>
      </c>
      <c r="D11" s="22"/>
      <c r="E11" s="22"/>
      <c r="F11" s="22"/>
      <c r="G11" s="22"/>
      <c r="H11" s="27"/>
    </row>
    <row r="12">
      <c r="A12" s="30"/>
      <c r="B12" s="22" t="s">
        <v>227</v>
      </c>
      <c r="C12" s="22" t="s">
        <v>477</v>
      </c>
      <c r="D12" s="22"/>
      <c r="E12" s="22"/>
      <c r="F12" s="22"/>
      <c r="G12" s="22"/>
      <c r="H12" s="27"/>
    </row>
    <row r="13">
      <c r="A13" s="25"/>
      <c r="B13" s="22" t="s">
        <v>233</v>
      </c>
      <c r="C13" s="22" t="s">
        <v>1065</v>
      </c>
      <c r="D13" s="22"/>
      <c r="E13" s="22"/>
      <c r="F13" s="22"/>
      <c r="G13" s="22"/>
      <c r="H13" s="31"/>
      <c r="I13" s="32"/>
    </row>
    <row r="14">
      <c r="A14" s="10" t="s">
        <v>5</v>
      </c>
      <c r="B14" s="11" t="s">
        <v>2363</v>
      </c>
      <c r="C14" s="9"/>
      <c r="D14" s="9"/>
      <c r="E14" s="9"/>
      <c r="F14" s="9"/>
      <c r="G14" s="9"/>
      <c r="H14" s="9"/>
      <c r="I14" s="14"/>
    </row>
    <row r="15" ht="60.0" customHeight="1">
      <c r="A15" s="15" t="s">
        <v>16</v>
      </c>
      <c r="B15" s="22" t="str">
        <f t="array" ref="B15">iferror(VLOOKUP(INDIRECT(ADDRESS(ROW()+1,COLUMN(), 4)),Dex!$A$2:$C526,3,false),"")</f>
        <v/>
      </c>
      <c r="C15" s="22" t="str">
        <f t="array" ref="C15">iferror(VLOOKUP(INDIRECT(ADDRESS(ROW()+1,COLUMN(), 4)),Dex!$A$2:$C526,3,false),"")</f>
        <v/>
      </c>
      <c r="D15" s="22" t="str">
        <f t="array" ref="D15">iferror(VLOOKUP(INDIRECT(ADDRESS(ROW()+1,COLUMN(), 4)),Dex!$A$2:$C526,3,false),"")</f>
        <v/>
      </c>
      <c r="E15" s="22" t="str">
        <f t="array" ref="E15">iferror(VLOOKUP(INDIRECT(ADDRESS(ROW()+1,COLUMN(), 4)),Dex!$A$2:$C526,3,false),"")</f>
        <v/>
      </c>
      <c r="F15" s="22" t="str">
        <f t="array" ref="F15">iferror(VLOOKUP(INDIRECT(ADDRESS(ROW()+1,COLUMN(), 4)),Dex!$A$2:$C526,3,false),"")</f>
        <v/>
      </c>
      <c r="G15" s="22" t="str">
        <f t="array" ref="G15">iferror(VLOOKUP(INDIRECT(ADDRESS(ROW()+1,COLUMN(), 4)),Dex!$A$2:$C526,3,false),"")</f>
        <v/>
      </c>
      <c r="H15" s="23" t="str">
        <f t="array" ref="H15">iferror(VLOOKUP("TRAINER_PIC_Pokefan_F",Sprites!$A$1:$B526,2,false),"")</f>
        <v/>
      </c>
      <c r="I15" s="24"/>
    </row>
    <row r="16">
      <c r="A16" s="25"/>
      <c r="B16" s="26" t="s">
        <v>971</v>
      </c>
      <c r="C16" s="26" t="s">
        <v>650</v>
      </c>
      <c r="D16" s="26" t="s">
        <v>979</v>
      </c>
      <c r="E16" s="26"/>
      <c r="F16" s="26"/>
      <c r="G16" s="26"/>
      <c r="H16" s="28"/>
    </row>
    <row r="17">
      <c r="A17" s="10" t="s">
        <v>199</v>
      </c>
      <c r="B17" s="22">
        <v>66.0</v>
      </c>
      <c r="C17" s="22">
        <v>66.0</v>
      </c>
      <c r="D17" s="22">
        <v>67.0</v>
      </c>
      <c r="E17" s="22"/>
      <c r="F17" s="22"/>
      <c r="G17" s="22"/>
      <c r="H17" s="27"/>
    </row>
    <row r="18">
      <c r="A18" s="10" t="s">
        <v>201</v>
      </c>
      <c r="B18" s="29" t="s">
        <v>2033</v>
      </c>
      <c r="C18" s="29" t="s">
        <v>645</v>
      </c>
      <c r="D18" s="29" t="s">
        <v>645</v>
      </c>
      <c r="E18" s="29"/>
      <c r="F18" s="29"/>
      <c r="G18" s="29"/>
      <c r="H18" s="27"/>
    </row>
    <row r="19">
      <c r="A19" s="10" t="s">
        <v>209</v>
      </c>
      <c r="B19" s="22" t="s">
        <v>2367</v>
      </c>
      <c r="C19" s="22" t="s">
        <v>1785</v>
      </c>
      <c r="D19" s="22" t="s">
        <v>2377</v>
      </c>
      <c r="E19" s="22"/>
      <c r="F19" s="22"/>
      <c r="G19" s="22"/>
      <c r="H19" s="27"/>
    </row>
    <row r="20">
      <c r="A20" s="10" t="s">
        <v>215</v>
      </c>
      <c r="B20" s="29" t="s">
        <v>419</v>
      </c>
      <c r="C20" s="29" t="s">
        <v>906</v>
      </c>
      <c r="D20" s="29" t="s">
        <v>1343</v>
      </c>
      <c r="E20" s="29"/>
      <c r="F20" s="29"/>
      <c r="G20" s="29"/>
      <c r="H20" s="27"/>
    </row>
    <row r="21">
      <c r="A21" s="15" t="s">
        <v>224</v>
      </c>
      <c r="B21" s="22" t="s">
        <v>577</v>
      </c>
      <c r="C21" s="22" t="s">
        <v>1873</v>
      </c>
      <c r="D21" s="22" t="s">
        <v>1716</v>
      </c>
      <c r="E21" s="22"/>
      <c r="F21" s="22"/>
      <c r="G21" s="22"/>
      <c r="H21" s="27"/>
    </row>
    <row r="22">
      <c r="A22" s="30"/>
      <c r="B22" s="22" t="s">
        <v>355</v>
      </c>
      <c r="C22" s="22" t="s">
        <v>2175</v>
      </c>
      <c r="D22" s="22" t="s">
        <v>2378</v>
      </c>
      <c r="E22" s="22"/>
      <c r="F22" s="22"/>
      <c r="G22" s="22"/>
      <c r="H22" s="27"/>
    </row>
    <row r="23">
      <c r="A23" s="30"/>
      <c r="B23" s="22" t="s">
        <v>1251</v>
      </c>
      <c r="C23" s="22" t="s">
        <v>465</v>
      </c>
      <c r="D23" s="22" t="s">
        <v>940</v>
      </c>
      <c r="E23" s="22"/>
      <c r="F23" s="22"/>
      <c r="G23" s="22"/>
      <c r="H23" s="27"/>
    </row>
    <row r="24">
      <c r="A24" s="25"/>
      <c r="B24" s="22" t="s">
        <v>2379</v>
      </c>
      <c r="C24" s="22" t="s">
        <v>2380</v>
      </c>
      <c r="D24" s="22" t="s">
        <v>2381</v>
      </c>
      <c r="E24" s="22"/>
      <c r="F24" s="22"/>
      <c r="G24" s="22"/>
      <c r="H24" s="31"/>
      <c r="I24" s="32"/>
    </row>
    <row r="25">
      <c r="A25" s="10" t="s">
        <v>5</v>
      </c>
      <c r="B25" s="11" t="s">
        <v>2382</v>
      </c>
      <c r="C25" s="9"/>
      <c r="D25" s="9"/>
      <c r="E25" s="9"/>
      <c r="F25" s="9"/>
      <c r="G25" s="9"/>
      <c r="H25" s="9"/>
      <c r="I25" s="14"/>
    </row>
    <row r="26" ht="60.0" customHeight="1">
      <c r="A26" s="15" t="s">
        <v>16</v>
      </c>
      <c r="B26" s="22" t="str">
        <f t="array" ref="B26">iferror(VLOOKUP(INDIRECT(ADDRESS(ROW()+1,COLUMN(), 4)),Dex!$A$2:$C526,3,false),"")</f>
        <v/>
      </c>
      <c r="C26" s="22" t="str">
        <f t="array" ref="C26">iferror(VLOOKUP(INDIRECT(ADDRESS(ROW()+1,COLUMN(), 4)),Dex!$A$2:$C526,3,false),"")</f>
        <v/>
      </c>
      <c r="D26" s="22" t="str">
        <f t="array" ref="D26">iferror(VLOOKUP(INDIRECT(ADDRESS(ROW()+1,COLUMN(), 4)),Dex!$A$2:$C526,3,false),"")</f>
        <v/>
      </c>
      <c r="E26" s="22" t="str">
        <f t="array" ref="E26">iferror(VLOOKUP(INDIRECT(ADDRESS(ROW()+1,COLUMN(), 4)),Dex!$A$2:$C526,3,false),"")</f>
        <v/>
      </c>
      <c r="F26" s="22" t="str">
        <f t="array" ref="F26">iferror(VLOOKUP(INDIRECT(ADDRESS(ROW()+1,COLUMN(), 4)),Dex!$A$2:$C526,3,false),"")</f>
        <v/>
      </c>
      <c r="G26" s="22" t="str">
        <f t="array" ref="G26">iferror(VLOOKUP(INDIRECT(ADDRESS(ROW()+1,COLUMN(), 4)),Dex!$A$2:$C526,3,false),"")</f>
        <v/>
      </c>
      <c r="H26" s="23" t="str">
        <f t="array" ref="H26">iferror(VLOOKUP("TRAINER_PIC_Lass",Sprites!$A$1:$B526,2,false),"")</f>
        <v/>
      </c>
      <c r="I26" s="24"/>
    </row>
    <row r="27">
      <c r="A27" s="25"/>
      <c r="B27" s="26" t="s">
        <v>1474</v>
      </c>
      <c r="C27" s="26" t="s">
        <v>530</v>
      </c>
      <c r="D27" s="26" t="s">
        <v>728</v>
      </c>
      <c r="E27" s="26"/>
      <c r="F27" s="26"/>
      <c r="G27" s="26"/>
      <c r="H27" s="28"/>
    </row>
    <row r="28">
      <c r="A28" s="10" t="s">
        <v>199</v>
      </c>
      <c r="B28" s="22">
        <v>67.0</v>
      </c>
      <c r="C28" s="22">
        <v>66.0</v>
      </c>
      <c r="D28" s="22">
        <v>66.0</v>
      </c>
      <c r="E28" s="22"/>
      <c r="F28" s="22"/>
      <c r="G28" s="22"/>
      <c r="H28" s="27"/>
    </row>
    <row r="29">
      <c r="A29" s="10" t="s">
        <v>201</v>
      </c>
      <c r="B29" s="29" t="s">
        <v>203</v>
      </c>
      <c r="C29" s="29" t="s">
        <v>2403</v>
      </c>
      <c r="D29" s="29" t="s">
        <v>452</v>
      </c>
      <c r="E29" s="29"/>
      <c r="F29" s="29"/>
      <c r="G29" s="29"/>
      <c r="H29" s="27"/>
    </row>
    <row r="30">
      <c r="A30" s="10" t="s">
        <v>209</v>
      </c>
      <c r="B30" s="22" t="s">
        <v>899</v>
      </c>
      <c r="C30" s="22" t="s">
        <v>2404</v>
      </c>
      <c r="D30" s="22" t="s">
        <v>2405</v>
      </c>
      <c r="E30" s="22"/>
      <c r="F30" s="22"/>
      <c r="G30" s="22"/>
      <c r="H30" s="27"/>
    </row>
    <row r="31">
      <c r="A31" s="10" t="s">
        <v>215</v>
      </c>
      <c r="B31" s="29" t="s">
        <v>419</v>
      </c>
      <c r="C31" s="29" t="s">
        <v>231</v>
      </c>
      <c r="D31" s="29" t="s">
        <v>231</v>
      </c>
      <c r="E31" s="29"/>
      <c r="F31" s="29"/>
      <c r="G31" s="29"/>
      <c r="H31" s="27"/>
    </row>
    <row r="32">
      <c r="A32" s="15" t="s">
        <v>224</v>
      </c>
      <c r="B32" s="22" t="s">
        <v>1718</v>
      </c>
      <c r="C32" s="22" t="s">
        <v>927</v>
      </c>
      <c r="D32" s="22" t="s">
        <v>463</v>
      </c>
      <c r="E32" s="22"/>
      <c r="F32" s="22"/>
      <c r="G32" s="22"/>
      <c r="H32" s="27"/>
    </row>
    <row r="33">
      <c r="A33" s="30"/>
      <c r="B33" s="22" t="s">
        <v>365</v>
      </c>
      <c r="C33" s="22" t="s">
        <v>799</v>
      </c>
      <c r="D33" s="22" t="s">
        <v>1769</v>
      </c>
      <c r="E33" s="22"/>
      <c r="F33" s="22"/>
      <c r="G33" s="22"/>
      <c r="H33" s="27"/>
    </row>
    <row r="34">
      <c r="A34" s="30"/>
      <c r="B34" s="22" t="s">
        <v>360</v>
      </c>
      <c r="C34" s="22" t="s">
        <v>473</v>
      </c>
      <c r="D34" s="22" t="s">
        <v>555</v>
      </c>
      <c r="E34" s="22"/>
      <c r="F34" s="22"/>
      <c r="G34" s="22"/>
      <c r="H34" s="27"/>
    </row>
    <row r="35">
      <c r="A35" s="25"/>
      <c r="B35" s="22" t="s">
        <v>938</v>
      </c>
      <c r="C35" s="22" t="s">
        <v>2406</v>
      </c>
      <c r="D35" s="22" t="s">
        <v>467</v>
      </c>
      <c r="E35" s="22"/>
      <c r="F35" s="22"/>
      <c r="G35" s="22"/>
      <c r="H35" s="31"/>
      <c r="I35" s="32"/>
    </row>
    <row r="36">
      <c r="A36" s="10" t="s">
        <v>5</v>
      </c>
      <c r="B36" s="11" t="s">
        <v>2407</v>
      </c>
      <c r="C36" s="9"/>
      <c r="D36" s="9"/>
      <c r="E36" s="9"/>
      <c r="F36" s="9"/>
      <c r="G36" s="9"/>
      <c r="H36" s="9"/>
      <c r="I36" s="13"/>
    </row>
    <row r="37" ht="60.0" customHeight="1">
      <c r="A37" s="15" t="s">
        <v>16</v>
      </c>
      <c r="B37" s="22" t="str">
        <f t="array" ref="B37">iferror(VLOOKUP(INDIRECT(ADDRESS(ROW()+1,COLUMN(), 4)),Dex!$A$2:$C526,3,false),"")</f>
        <v/>
      </c>
      <c r="C37" s="22" t="str">
        <f t="array" ref="C37">iferror(VLOOKUP(INDIRECT(ADDRESS(ROW()+1,COLUMN(), 4)),Dex!$A$2:$C526,3,false),"")</f>
        <v/>
      </c>
      <c r="D37" s="22" t="str">
        <f t="array" ref="D37">iferror(VLOOKUP(INDIRECT(ADDRESS(ROW()+1,COLUMN(), 4)),Dex!$A$2:$C526,3,false),"")</f>
        <v/>
      </c>
      <c r="E37" s="22" t="str">
        <f t="array" ref="E37">iferror(VLOOKUP(INDIRECT(ADDRESS(ROW()+1,COLUMN(), 4)),Dex!$A$2:$C526,3,false),"")</f>
        <v/>
      </c>
      <c r="F37" s="22" t="str">
        <f t="array" ref="F37">iferror(VLOOKUP(INDIRECT(ADDRESS(ROW()+1,COLUMN(), 4)),Dex!$A$2:$C526,3,false),"")</f>
        <v/>
      </c>
      <c r="G37" s="22" t="str">
        <f t="array" ref="G37">iferror(VLOOKUP(INDIRECT(ADDRESS(ROW()+1,COLUMN(), 4)),Dex!$A$2:$C526,3,false),"")</f>
        <v/>
      </c>
      <c r="H37" s="23" t="str">
        <f t="array" ref="H37">iferror(VLOOKUP("TRAINER_PIC_Expert_F",Sprites!$A$1:$B526,2,false),"")</f>
        <v/>
      </c>
      <c r="I37" s="24"/>
    </row>
    <row r="38">
      <c r="A38" s="25"/>
      <c r="B38" s="26" t="s">
        <v>778</v>
      </c>
      <c r="C38" s="26" t="s">
        <v>730</v>
      </c>
      <c r="D38" s="26" t="s">
        <v>1246</v>
      </c>
      <c r="E38" s="26" t="s">
        <v>437</v>
      </c>
      <c r="F38" s="26" t="s">
        <v>1160</v>
      </c>
      <c r="G38" s="26" t="s">
        <v>754</v>
      </c>
      <c r="H38" s="28"/>
    </row>
    <row r="39">
      <c r="A39" s="10" t="s">
        <v>199</v>
      </c>
      <c r="B39" s="22">
        <v>67.0</v>
      </c>
      <c r="C39" s="22">
        <v>67.0</v>
      </c>
      <c r="D39" s="22">
        <v>68.0</v>
      </c>
      <c r="E39" s="22">
        <v>67.0</v>
      </c>
      <c r="F39" s="22">
        <v>69.0</v>
      </c>
      <c r="G39" s="22">
        <v>70.0</v>
      </c>
      <c r="H39" s="27"/>
    </row>
    <row r="40">
      <c r="A40" s="10" t="s">
        <v>201</v>
      </c>
      <c r="B40" s="29" t="s">
        <v>455</v>
      </c>
      <c r="C40" s="29" t="s">
        <v>1122</v>
      </c>
      <c r="D40" s="29" t="s">
        <v>2434</v>
      </c>
      <c r="E40" s="29" t="s">
        <v>645</v>
      </c>
      <c r="F40" s="29" t="s">
        <v>2435</v>
      </c>
      <c r="G40" s="29" t="s">
        <v>2436</v>
      </c>
      <c r="H40" s="27"/>
    </row>
    <row r="41">
      <c r="A41" s="10" t="s">
        <v>209</v>
      </c>
      <c r="B41" s="22" t="s">
        <v>2437</v>
      </c>
      <c r="C41" s="22" t="s">
        <v>1431</v>
      </c>
      <c r="D41" s="22" t="s">
        <v>1459</v>
      </c>
      <c r="E41" s="22" t="s">
        <v>901</v>
      </c>
      <c r="F41" s="22" t="s">
        <v>2438</v>
      </c>
      <c r="G41" s="22" t="s">
        <v>2096</v>
      </c>
      <c r="H41" s="27"/>
    </row>
    <row r="42">
      <c r="A42" s="10" t="s">
        <v>215</v>
      </c>
      <c r="B42" s="29" t="s">
        <v>685</v>
      </c>
      <c r="C42" s="29" t="s">
        <v>231</v>
      </c>
      <c r="D42" s="29" t="s">
        <v>231</v>
      </c>
      <c r="E42" s="29" t="s">
        <v>1343</v>
      </c>
      <c r="F42" s="29" t="s">
        <v>218</v>
      </c>
      <c r="G42" s="29" t="s">
        <v>231</v>
      </c>
      <c r="H42" s="27"/>
    </row>
    <row r="43">
      <c r="A43" s="15" t="s">
        <v>224</v>
      </c>
      <c r="B43" s="22" t="s">
        <v>361</v>
      </c>
      <c r="C43" s="22" t="s">
        <v>1466</v>
      </c>
      <c r="D43" s="22" t="s">
        <v>2439</v>
      </c>
      <c r="E43" s="22" t="s">
        <v>362</v>
      </c>
      <c r="F43" s="22" t="s">
        <v>2440</v>
      </c>
      <c r="G43" s="22" t="s">
        <v>241</v>
      </c>
      <c r="H43" s="27"/>
    </row>
    <row r="44">
      <c r="A44" s="30"/>
      <c r="B44" s="22" t="s">
        <v>1366</v>
      </c>
      <c r="C44" s="22"/>
      <c r="D44" s="22" t="s">
        <v>1352</v>
      </c>
      <c r="E44" s="22" t="s">
        <v>234</v>
      </c>
      <c r="F44" s="22" t="s">
        <v>805</v>
      </c>
      <c r="G44" s="22" t="s">
        <v>1033</v>
      </c>
      <c r="H44" s="27"/>
    </row>
    <row r="45">
      <c r="A45" s="30"/>
      <c r="B45" s="22" t="s">
        <v>2442</v>
      </c>
      <c r="C45" s="22"/>
      <c r="D45" s="22" t="s">
        <v>1791</v>
      </c>
      <c r="E45" s="22" t="s">
        <v>940</v>
      </c>
      <c r="F45" s="22" t="s">
        <v>258</v>
      </c>
      <c r="G45" s="22" t="s">
        <v>695</v>
      </c>
      <c r="H45" s="27"/>
    </row>
    <row r="46">
      <c r="A46" s="25"/>
      <c r="B46" s="22" t="s">
        <v>356</v>
      </c>
      <c r="C46" s="22"/>
      <c r="D46" s="22" t="s">
        <v>2111</v>
      </c>
      <c r="E46" s="22" t="s">
        <v>932</v>
      </c>
      <c r="F46" s="22" t="s">
        <v>1162</v>
      </c>
      <c r="G46" s="22" t="s">
        <v>1224</v>
      </c>
      <c r="H46" s="31"/>
      <c r="I46" s="32"/>
    </row>
    <row r="47">
      <c r="A47" s="10" t="s">
        <v>5</v>
      </c>
      <c r="B47" s="11" t="s">
        <v>2444</v>
      </c>
      <c r="C47" s="9"/>
      <c r="D47" s="9"/>
      <c r="E47" s="9"/>
      <c r="F47" s="9"/>
      <c r="G47" s="9"/>
      <c r="H47" s="12"/>
      <c r="I47" s="13"/>
    </row>
    <row r="48" ht="60.0" customHeight="1">
      <c r="A48" s="15" t="s">
        <v>16</v>
      </c>
      <c r="B48" s="22" t="str">
        <f t="array" ref="B48">iferror(VLOOKUP(INDIRECT(ADDRESS(ROW()+1,COLUMN(), 4)),Dex!$A$2:$C526,3,false),"")</f>
        <v/>
      </c>
      <c r="C48" s="22" t="str">
        <f t="array" ref="C48">iferror(VLOOKUP(INDIRECT(ADDRESS(ROW()+1,COLUMN(), 4)),Dex!$A$2:$C526,3,false),"")</f>
        <v/>
      </c>
      <c r="D48" s="22" t="str">
        <f t="array" ref="D48">iferror(VLOOKUP(INDIRECT(ADDRESS(ROW()+1,COLUMN(), 4)),Dex!$A$2:$C526,3,false),"")</f>
        <v/>
      </c>
      <c r="E48" s="22" t="str">
        <f t="array" ref="E48">iferror(VLOOKUP(INDIRECT(ADDRESS(ROW()+1,COLUMN(), 4)),Dex!$A$2:$C526,3,false),"")</f>
        <v/>
      </c>
      <c r="F48" s="22" t="str">
        <f t="array" ref="F48">iferror(VLOOKUP(INDIRECT(ADDRESS(ROW()+1,COLUMN(), 4)),Dex!$A$2:$C526,3,false),"")</f>
        <v/>
      </c>
      <c r="G48" s="22" t="str">
        <f t="array" ref="G48">iferror(VLOOKUP(INDIRECT(ADDRESS(ROW()+1,COLUMN(), 4)),Dex!$A$2:$C526,3,false),"")</f>
        <v/>
      </c>
      <c r="H48" s="23" t="str">
        <f t="array" ref="H48">iferror(VLOOKUP("TRAINER_PIC_Picnicker",Sprites!$A$1:$B526,2,false),"")</f>
        <v/>
      </c>
      <c r="I48" s="24"/>
    </row>
    <row r="49">
      <c r="A49" s="25"/>
      <c r="B49" s="26" t="s">
        <v>807</v>
      </c>
      <c r="C49" s="26" t="s">
        <v>1909</v>
      </c>
      <c r="D49" s="26" t="s">
        <v>339</v>
      </c>
      <c r="E49" s="26" t="s">
        <v>1271</v>
      </c>
      <c r="F49" s="26"/>
      <c r="G49" s="26"/>
      <c r="H49" s="28"/>
    </row>
    <row r="50">
      <c r="A50" s="10" t="s">
        <v>199</v>
      </c>
      <c r="B50" s="22">
        <v>67.0</v>
      </c>
      <c r="C50" s="22">
        <v>68.0</v>
      </c>
      <c r="D50" s="22">
        <v>67.0</v>
      </c>
      <c r="E50" s="22">
        <v>67.0</v>
      </c>
      <c r="F50" s="22"/>
      <c r="G50" s="22"/>
      <c r="H50" s="27"/>
    </row>
    <row r="51">
      <c r="A51" s="10" t="s">
        <v>201</v>
      </c>
      <c r="B51" s="29" t="s">
        <v>779</v>
      </c>
      <c r="C51" s="29" t="s">
        <v>1330</v>
      </c>
      <c r="D51" s="29" t="s">
        <v>345</v>
      </c>
      <c r="E51" s="29" t="s">
        <v>206</v>
      </c>
      <c r="F51" s="29"/>
      <c r="G51" s="29"/>
      <c r="H51" s="27"/>
    </row>
    <row r="52">
      <c r="A52" s="10" t="s">
        <v>209</v>
      </c>
      <c r="B52" s="22" t="s">
        <v>2462</v>
      </c>
      <c r="C52" s="22" t="s">
        <v>540</v>
      </c>
      <c r="D52" s="22" t="s">
        <v>2463</v>
      </c>
      <c r="E52" s="22" t="s">
        <v>1449</v>
      </c>
      <c r="F52" s="22"/>
      <c r="G52" s="22"/>
      <c r="H52" s="27"/>
    </row>
    <row r="53">
      <c r="A53" s="10" t="s">
        <v>215</v>
      </c>
      <c r="B53" s="29" t="s">
        <v>461</v>
      </c>
      <c r="C53" s="29" t="s">
        <v>220</v>
      </c>
      <c r="D53" s="29" t="s">
        <v>685</v>
      </c>
      <c r="E53" s="29" t="s">
        <v>419</v>
      </c>
      <c r="F53" s="29"/>
      <c r="G53" s="29"/>
      <c r="H53" s="27"/>
    </row>
    <row r="54">
      <c r="A54" s="15" t="s">
        <v>224</v>
      </c>
      <c r="B54" s="22" t="s">
        <v>477</v>
      </c>
      <c r="C54" s="22" t="s">
        <v>2447</v>
      </c>
      <c r="D54" s="22" t="s">
        <v>234</v>
      </c>
      <c r="E54" s="22" t="s">
        <v>232</v>
      </c>
      <c r="F54" s="22"/>
      <c r="G54" s="22"/>
      <c r="H54" s="27"/>
    </row>
    <row r="55">
      <c r="A55" s="30"/>
      <c r="B55" s="22" t="s">
        <v>926</v>
      </c>
      <c r="C55" s="22" t="s">
        <v>809</v>
      </c>
      <c r="D55" s="22" t="s">
        <v>1664</v>
      </c>
      <c r="E55" s="22" t="s">
        <v>236</v>
      </c>
      <c r="F55" s="22"/>
      <c r="G55" s="22"/>
      <c r="H55" s="27"/>
    </row>
    <row r="56">
      <c r="A56" s="30"/>
      <c r="B56" s="22" t="s">
        <v>1031</v>
      </c>
      <c r="C56" s="22" t="s">
        <v>2464</v>
      </c>
      <c r="D56" s="22" t="s">
        <v>356</v>
      </c>
      <c r="E56" s="22" t="s">
        <v>552</v>
      </c>
      <c r="F56" s="22"/>
      <c r="G56" s="22"/>
      <c r="H56" s="27"/>
    </row>
    <row r="57">
      <c r="A57" s="25"/>
      <c r="B57" s="22" t="s">
        <v>952</v>
      </c>
      <c r="C57" s="22" t="s">
        <v>1759</v>
      </c>
      <c r="D57" s="22" t="s">
        <v>367</v>
      </c>
      <c r="E57" s="22" t="s">
        <v>560</v>
      </c>
      <c r="F57" s="22"/>
      <c r="G57" s="22"/>
      <c r="H57" s="31"/>
      <c r="I57" s="32"/>
    </row>
    <row r="58">
      <c r="A58" s="10" t="s">
        <v>5</v>
      </c>
      <c r="B58" s="11" t="s">
        <v>2465</v>
      </c>
      <c r="C58" s="9"/>
      <c r="D58" s="9"/>
      <c r="E58" s="9"/>
      <c r="F58" s="12"/>
      <c r="G58" s="12"/>
      <c r="H58" s="12"/>
      <c r="I58" s="14"/>
    </row>
    <row r="59" ht="60.0" customHeight="1">
      <c r="A59" s="15" t="s">
        <v>16</v>
      </c>
      <c r="B59" s="22" t="str">
        <f t="array" ref="B59">iferror(VLOOKUP(INDIRECT(ADDRESS(ROW()+1,COLUMN(), 4)),Dex!$A$2:$C526,3,false),"")</f>
        <v/>
      </c>
      <c r="C59" s="22" t="str">
        <f t="array" ref="C59">iferror(VLOOKUP(INDIRECT(ADDRESS(ROW()+1,COLUMN(), 4)),Dex!$A$2:$C526,3,false),"")</f>
        <v/>
      </c>
      <c r="D59" s="22" t="str">
        <f t="array" ref="D59">iferror(VLOOKUP(INDIRECT(ADDRESS(ROW()+1,COLUMN(), 4)),Dex!$A$2:$C526,3,false),"")</f>
        <v/>
      </c>
      <c r="E59" s="22" t="str">
        <f t="array" ref="E59">iferror(VLOOKUP(INDIRECT(ADDRESS(ROW()+1,COLUMN(), 4)),Dex!$A$2:$C526,3,false),"")</f>
        <v/>
      </c>
      <c r="F59" s="22" t="str">
        <f t="array" ref="F59">iferror(VLOOKUP(INDIRECT(ADDRESS(ROW()+1,COLUMN(), 4)),Dex!$A$2:$C526,3,false),"")</f>
        <v/>
      </c>
      <c r="G59" s="22" t="str">
        <f t="array" ref="G59">iferror(VLOOKUP(INDIRECT(ADDRESS(ROW()+1,COLUMN(), 4)),Dex!$A$2:$C526,3,false),"")</f>
        <v/>
      </c>
      <c r="H59" s="23" t="str">
        <f t="array" ref="H59">iferror(VLOOKUP("TRAINER_PIC_Camper",Sprites!$A$1:$B526,2,false),"")</f>
        <v/>
      </c>
      <c r="I59" s="24"/>
    </row>
    <row r="60">
      <c r="A60" s="25"/>
      <c r="B60" s="26" t="s">
        <v>874</v>
      </c>
      <c r="C60" s="26" t="s">
        <v>764</v>
      </c>
      <c r="D60" s="26" t="s">
        <v>1204</v>
      </c>
      <c r="E60" s="26" t="s">
        <v>1391</v>
      </c>
      <c r="F60" s="26" t="s">
        <v>1640</v>
      </c>
      <c r="G60" s="26"/>
      <c r="H60" s="28"/>
    </row>
    <row r="61">
      <c r="A61" s="10" t="s">
        <v>199</v>
      </c>
      <c r="B61" s="22">
        <v>67.0</v>
      </c>
      <c r="C61" s="22">
        <v>67.0</v>
      </c>
      <c r="D61" s="22">
        <v>68.0</v>
      </c>
      <c r="E61" s="22">
        <v>67.0</v>
      </c>
      <c r="F61" s="22">
        <v>67.0</v>
      </c>
      <c r="G61" s="22"/>
      <c r="H61" s="27"/>
    </row>
    <row r="62">
      <c r="A62" s="10" t="s">
        <v>201</v>
      </c>
      <c r="B62" s="29" t="s">
        <v>205</v>
      </c>
      <c r="C62" s="29" t="s">
        <v>2033</v>
      </c>
      <c r="D62" s="29" t="s">
        <v>1242</v>
      </c>
      <c r="E62" s="29" t="s">
        <v>645</v>
      </c>
      <c r="F62" s="29" t="s">
        <v>1122</v>
      </c>
      <c r="G62" s="29"/>
      <c r="H62" s="27"/>
    </row>
    <row r="63">
      <c r="A63" s="10" t="s">
        <v>209</v>
      </c>
      <c r="B63" s="22" t="s">
        <v>538</v>
      </c>
      <c r="C63" s="22" t="s">
        <v>788</v>
      </c>
      <c r="D63" s="22" t="s">
        <v>540</v>
      </c>
      <c r="E63" s="22" t="s">
        <v>788</v>
      </c>
      <c r="F63" s="22" t="s">
        <v>540</v>
      </c>
      <c r="G63" s="22"/>
      <c r="H63" s="27"/>
    </row>
    <row r="64">
      <c r="A64" s="10" t="s">
        <v>215</v>
      </c>
      <c r="B64" s="29" t="s">
        <v>904</v>
      </c>
      <c r="C64" s="29" t="s">
        <v>222</v>
      </c>
      <c r="D64" s="29" t="s">
        <v>220</v>
      </c>
      <c r="E64" s="29" t="s">
        <v>1343</v>
      </c>
      <c r="F64" s="29" t="s">
        <v>220</v>
      </c>
      <c r="G64" s="29"/>
      <c r="H64" s="27"/>
    </row>
    <row r="65">
      <c r="A65" s="15" t="s">
        <v>224</v>
      </c>
      <c r="B65" s="22" t="s">
        <v>361</v>
      </c>
      <c r="C65" s="22" t="s">
        <v>577</v>
      </c>
      <c r="D65" s="22" t="s">
        <v>356</v>
      </c>
      <c r="E65" s="22" t="s">
        <v>1354</v>
      </c>
      <c r="F65" s="22" t="s">
        <v>363</v>
      </c>
      <c r="G65" s="22"/>
      <c r="H65" s="27"/>
    </row>
    <row r="66">
      <c r="A66" s="30"/>
      <c r="B66" s="22" t="s">
        <v>1554</v>
      </c>
      <c r="C66" s="22" t="s">
        <v>1955</v>
      </c>
      <c r="D66" s="22" t="s">
        <v>652</v>
      </c>
      <c r="E66" s="22" t="s">
        <v>940</v>
      </c>
      <c r="F66" s="22"/>
      <c r="G66" s="22"/>
      <c r="H66" s="27"/>
    </row>
    <row r="67">
      <c r="A67" s="30"/>
      <c r="B67" s="22" t="s">
        <v>372</v>
      </c>
      <c r="C67" s="22" t="s">
        <v>365</v>
      </c>
      <c r="D67" s="22" t="s">
        <v>555</v>
      </c>
      <c r="E67" s="22" t="s">
        <v>477</v>
      </c>
      <c r="F67" s="22"/>
      <c r="G67" s="22"/>
      <c r="H67" s="27"/>
    </row>
    <row r="68">
      <c r="A68" s="25"/>
      <c r="B68" s="22" t="s">
        <v>424</v>
      </c>
      <c r="C68" s="22" t="s">
        <v>465</v>
      </c>
      <c r="D68" s="22" t="s">
        <v>2478</v>
      </c>
      <c r="E68" s="22" t="s">
        <v>236</v>
      </c>
      <c r="F68" s="22"/>
      <c r="G68" s="22"/>
      <c r="H68" s="31"/>
      <c r="I68" s="32"/>
    </row>
    <row r="69">
      <c r="A69" s="10" t="s">
        <v>5</v>
      </c>
      <c r="B69" s="11" t="s">
        <v>2479</v>
      </c>
      <c r="C69" s="9"/>
      <c r="D69" s="9"/>
      <c r="E69" s="9"/>
      <c r="F69" s="12"/>
      <c r="G69" s="12"/>
      <c r="H69" s="12"/>
      <c r="I69" s="14"/>
    </row>
    <row r="70" ht="60.0" customHeight="1">
      <c r="A70" s="15" t="s">
        <v>16</v>
      </c>
      <c r="B70" s="22" t="str">
        <f t="array" ref="B70">iferror(VLOOKUP(INDIRECT(ADDRESS(ROW()+1,COLUMN(), 4)),Dex!$A$2:$C526,3,false),"")</f>
        <v/>
      </c>
      <c r="C70" s="22" t="str">
        <f t="array" ref="C70">iferror(VLOOKUP(INDIRECT(ADDRESS(ROW()+1,COLUMN(), 4)),Dex!$A$2:$C526,3,false),"")</f>
        <v/>
      </c>
      <c r="D70" s="22" t="str">
        <f t="array" ref="D70">iferror(VLOOKUP(INDIRECT(ADDRESS(ROW()+1,COLUMN(), 4)),Dex!$A$2:$C526,3,false),"")</f>
        <v/>
      </c>
      <c r="E70" s="22" t="str">
        <f t="array" ref="E70">iferror(VLOOKUP(INDIRECT(ADDRESS(ROW()+1,COLUMN(), 4)),Dex!$A$2:$C526,3,false),"")</f>
        <v/>
      </c>
      <c r="F70" s="22" t="str">
        <f t="array" ref="F70">iferror(VLOOKUP(INDIRECT(ADDRESS(ROW()+1,COLUMN(), 4)),Dex!$A$2:$C526,3,false),"")</f>
        <v/>
      </c>
      <c r="G70" s="22" t="str">
        <f t="array" ref="G70">iferror(VLOOKUP(INDIRECT(ADDRESS(ROW()+1,COLUMN(), 4)),Dex!$A$2:$C526,3,false),"")</f>
        <v/>
      </c>
      <c r="H70" s="23" t="str">
        <f t="array" ref="H70">iferror(VLOOKUP("TRAINER_PIC_Ruin_Maniac",Sprites!$A$1:$B526,2,false),"")</f>
        <v/>
      </c>
      <c r="I70" s="24"/>
    </row>
    <row r="71">
      <c r="A71" s="25"/>
      <c r="B71" s="26" t="s">
        <v>975</v>
      </c>
      <c r="C71" s="26" t="s">
        <v>1238</v>
      </c>
      <c r="D71" s="26" t="s">
        <v>171</v>
      </c>
      <c r="E71" s="26" t="s">
        <v>933</v>
      </c>
      <c r="F71" s="26" t="s">
        <v>604</v>
      </c>
      <c r="G71" s="26"/>
      <c r="H71" s="28"/>
    </row>
    <row r="72">
      <c r="A72" s="10" t="s">
        <v>199</v>
      </c>
      <c r="B72" s="22">
        <v>67.0</v>
      </c>
      <c r="C72" s="22">
        <v>67.0</v>
      </c>
      <c r="D72" s="22">
        <v>68.0</v>
      </c>
      <c r="E72" s="22">
        <v>68.0</v>
      </c>
      <c r="F72" s="22">
        <v>68.0</v>
      </c>
      <c r="G72" s="22"/>
      <c r="H72" s="27"/>
    </row>
    <row r="73">
      <c r="A73" s="10" t="s">
        <v>201</v>
      </c>
      <c r="B73" s="29" t="s">
        <v>1054</v>
      </c>
      <c r="C73" s="29" t="s">
        <v>779</v>
      </c>
      <c r="D73" s="29" t="s">
        <v>2492</v>
      </c>
      <c r="E73" s="29" t="s">
        <v>2493</v>
      </c>
      <c r="F73" s="29" t="s">
        <v>2494</v>
      </c>
      <c r="G73" s="29"/>
      <c r="H73" s="27"/>
    </row>
    <row r="74">
      <c r="A74" s="10" t="s">
        <v>209</v>
      </c>
      <c r="B74" s="22" t="s">
        <v>538</v>
      </c>
      <c r="C74" s="22" t="s">
        <v>2462</v>
      </c>
      <c r="D74" s="22" t="s">
        <v>540</v>
      </c>
      <c r="E74" s="22" t="s">
        <v>553</v>
      </c>
      <c r="F74" s="22" t="s">
        <v>2463</v>
      </c>
      <c r="G74" s="22"/>
      <c r="H74" s="27"/>
    </row>
    <row r="75">
      <c r="A75" s="10" t="s">
        <v>215</v>
      </c>
      <c r="B75" s="29" t="s">
        <v>904</v>
      </c>
      <c r="C75" s="29" t="s">
        <v>419</v>
      </c>
      <c r="D75" s="29" t="s">
        <v>231</v>
      </c>
      <c r="E75" s="29" t="s">
        <v>231</v>
      </c>
      <c r="F75" s="29" t="s">
        <v>461</v>
      </c>
      <c r="G75" s="29"/>
      <c r="H75" s="27"/>
    </row>
    <row r="76">
      <c r="A76" s="15" t="s">
        <v>224</v>
      </c>
      <c r="B76" s="22" t="s">
        <v>565</v>
      </c>
      <c r="C76" s="22" t="s">
        <v>2496</v>
      </c>
      <c r="D76" s="22" t="s">
        <v>549</v>
      </c>
      <c r="E76" s="22" t="s">
        <v>2020</v>
      </c>
      <c r="F76" s="22" t="s">
        <v>363</v>
      </c>
      <c r="G76" s="22"/>
      <c r="H76" s="27"/>
    </row>
    <row r="77">
      <c r="A77" s="30"/>
      <c r="B77" s="22" t="s">
        <v>428</v>
      </c>
      <c r="C77" s="22" t="s">
        <v>238</v>
      </c>
      <c r="D77" s="22" t="s">
        <v>2498</v>
      </c>
      <c r="E77" s="22" t="s">
        <v>237</v>
      </c>
      <c r="F77" s="22" t="s">
        <v>244</v>
      </c>
      <c r="G77" s="22"/>
      <c r="H77" s="27"/>
    </row>
    <row r="78">
      <c r="A78" s="30"/>
      <c r="B78" s="22" t="s">
        <v>2499</v>
      </c>
      <c r="C78" s="22" t="s">
        <v>253</v>
      </c>
      <c r="D78" s="22" t="s">
        <v>561</v>
      </c>
      <c r="E78" s="22" t="s">
        <v>356</v>
      </c>
      <c r="F78" s="22" t="s">
        <v>2500</v>
      </c>
      <c r="G78" s="22"/>
      <c r="H78" s="27"/>
    </row>
    <row r="79">
      <c r="A79" s="25"/>
      <c r="B79" s="22" t="s">
        <v>361</v>
      </c>
      <c r="C79" s="22" t="s">
        <v>424</v>
      </c>
      <c r="D79" s="22" t="s">
        <v>555</v>
      </c>
      <c r="E79" s="22" t="s">
        <v>555</v>
      </c>
      <c r="F79" s="22" t="s">
        <v>917</v>
      </c>
      <c r="G79" s="22"/>
      <c r="H79" s="31"/>
      <c r="I79" s="32"/>
    </row>
    <row r="80">
      <c r="A80" s="10" t="s">
        <v>5</v>
      </c>
      <c r="B80" s="11" t="s">
        <v>2503</v>
      </c>
      <c r="C80" s="9"/>
      <c r="D80" s="9"/>
      <c r="E80" s="9"/>
      <c r="F80" s="9"/>
      <c r="G80" s="12"/>
      <c r="H80" s="12"/>
      <c r="I80" s="14"/>
    </row>
    <row r="81" ht="60.0" customHeight="1">
      <c r="A81" s="15" t="s">
        <v>16</v>
      </c>
      <c r="B81" s="22" t="str">
        <f t="array" ref="B81">iferror(VLOOKUP(INDIRECT(ADDRESS(ROW()+1,COLUMN(), 4)),Dex!$A$2:$C526,3,false),"")</f>
        <v/>
      </c>
      <c r="C81" s="22" t="str">
        <f t="array" ref="C81">iferror(VLOOKUP(INDIRECT(ADDRESS(ROW()+1,COLUMN(), 4)),Dex!$A$2:$C526,3,false),"")</f>
        <v/>
      </c>
      <c r="D81" s="22" t="str">
        <f t="array" ref="D81">iferror(VLOOKUP(INDIRECT(ADDRESS(ROW()+1,COLUMN(), 4)),Dex!$A$2:$C526,3,false),"")</f>
        <v/>
      </c>
      <c r="E81" s="22" t="str">
        <f t="array" ref="E81">iferror(VLOOKUP(INDIRECT(ADDRESS(ROW()+1,COLUMN(), 4)),Dex!$A$2:$C526,3,false),"")</f>
        <v/>
      </c>
      <c r="F81" s="22" t="str">
        <f t="array" ref="F81">iferror(VLOOKUP(INDIRECT(ADDRESS(ROW()+1,COLUMN(), 4)),Dex!$A$2:$C526,3,false),"")</f>
        <v/>
      </c>
      <c r="G81" s="22" t="str">
        <f t="array" ref="G81">iferror(VLOOKUP(INDIRECT(ADDRESS(ROW()+1,COLUMN(), 4)),Dex!$A$2:$C526,3,false),"")</f>
        <v/>
      </c>
      <c r="H81" s="23" t="str">
        <f t="array" ref="H81">iferror(VLOOKUP("TRAINER_PIC_Picnicker",Sprites!$A$1:$B526,2,false),"")</f>
        <v/>
      </c>
      <c r="I81" s="24"/>
    </row>
    <row r="82">
      <c r="A82" s="25"/>
      <c r="B82" s="26" t="s">
        <v>445</v>
      </c>
      <c r="C82" s="26" t="s">
        <v>1911</v>
      </c>
      <c r="D82" s="26" t="s">
        <v>1276</v>
      </c>
      <c r="E82" s="26" t="s">
        <v>1529</v>
      </c>
      <c r="F82" s="26" t="s">
        <v>1531</v>
      </c>
      <c r="G82" s="26"/>
      <c r="H82" s="28"/>
    </row>
    <row r="83">
      <c r="A83" s="10" t="s">
        <v>199</v>
      </c>
      <c r="B83" s="22">
        <v>67.0</v>
      </c>
      <c r="C83" s="22">
        <v>68.0</v>
      </c>
      <c r="D83" s="22">
        <v>68.0</v>
      </c>
      <c r="E83" s="22">
        <v>68.0</v>
      </c>
      <c r="F83" s="22">
        <v>67.0</v>
      </c>
      <c r="G83" s="22"/>
      <c r="H83" s="27"/>
    </row>
    <row r="84">
      <c r="A84" s="10" t="s">
        <v>201</v>
      </c>
      <c r="B84" s="29" t="s">
        <v>1928</v>
      </c>
      <c r="C84" s="29" t="s">
        <v>546</v>
      </c>
      <c r="D84" s="29" t="s">
        <v>645</v>
      </c>
      <c r="E84" s="29" t="s">
        <v>2515</v>
      </c>
      <c r="F84" s="29" t="s">
        <v>2409</v>
      </c>
      <c r="G84" s="29"/>
      <c r="H84" s="27"/>
    </row>
    <row r="85">
      <c r="A85" s="10" t="s">
        <v>209</v>
      </c>
      <c r="B85" s="22" t="s">
        <v>1641</v>
      </c>
      <c r="C85" s="22" t="s">
        <v>540</v>
      </c>
      <c r="D85" s="22" t="s">
        <v>2437</v>
      </c>
      <c r="E85" s="22" t="s">
        <v>2205</v>
      </c>
      <c r="F85" s="22" t="s">
        <v>1643</v>
      </c>
      <c r="G85" s="22"/>
      <c r="H85" s="27"/>
    </row>
    <row r="86">
      <c r="A86" s="10" t="s">
        <v>215</v>
      </c>
      <c r="B86" s="29" t="s">
        <v>231</v>
      </c>
      <c r="C86" s="29" t="s">
        <v>231</v>
      </c>
      <c r="D86" s="29" t="s">
        <v>220</v>
      </c>
      <c r="E86" s="29" t="s">
        <v>231</v>
      </c>
      <c r="F86" s="29" t="s">
        <v>222</v>
      </c>
      <c r="G86" s="29"/>
      <c r="H86" s="27"/>
    </row>
    <row r="87">
      <c r="A87" s="15" t="s">
        <v>224</v>
      </c>
      <c r="B87" s="22" t="s">
        <v>361</v>
      </c>
      <c r="C87" s="22" t="s">
        <v>1650</v>
      </c>
      <c r="D87" s="22" t="s">
        <v>361</v>
      </c>
      <c r="E87" s="22" t="s">
        <v>1460</v>
      </c>
      <c r="F87" s="22" t="s">
        <v>1873</v>
      </c>
      <c r="G87" s="22"/>
      <c r="H87" s="27"/>
    </row>
    <row r="88">
      <c r="A88" s="30"/>
      <c r="B88" s="22" t="s">
        <v>2517</v>
      </c>
      <c r="C88" s="22" t="s">
        <v>1068</v>
      </c>
      <c r="D88" s="22" t="s">
        <v>587</v>
      </c>
      <c r="E88" s="22" t="s">
        <v>1068</v>
      </c>
      <c r="F88" s="22" t="s">
        <v>1955</v>
      </c>
      <c r="G88" s="22"/>
      <c r="H88" s="27"/>
    </row>
    <row r="89">
      <c r="A89" s="30"/>
      <c r="B89" s="22" t="s">
        <v>555</v>
      </c>
      <c r="C89" s="22" t="s">
        <v>2217</v>
      </c>
      <c r="D89" s="22" t="s">
        <v>372</v>
      </c>
      <c r="E89" s="22" t="s">
        <v>808</v>
      </c>
      <c r="F89" s="22" t="s">
        <v>1348</v>
      </c>
      <c r="G89" s="22"/>
      <c r="H89" s="27"/>
    </row>
    <row r="90">
      <c r="A90" s="25"/>
      <c r="B90" s="22" t="s">
        <v>356</v>
      </c>
      <c r="C90" s="22" t="s">
        <v>2513</v>
      </c>
      <c r="D90" s="22" t="s">
        <v>477</v>
      </c>
      <c r="E90" s="22" t="s">
        <v>2217</v>
      </c>
      <c r="F90" s="22" t="s">
        <v>357</v>
      </c>
      <c r="G90" s="22"/>
      <c r="H90" s="31"/>
      <c r="I90" s="32"/>
    </row>
    <row r="91">
      <c r="A91" s="10" t="s">
        <v>5</v>
      </c>
      <c r="B91" s="11" t="s">
        <v>2518</v>
      </c>
      <c r="C91" s="9"/>
      <c r="D91" s="9"/>
      <c r="E91" s="9"/>
      <c r="F91" s="12"/>
      <c r="G91" s="12"/>
      <c r="H91" s="12"/>
      <c r="I91" s="13"/>
    </row>
    <row r="92" ht="60.0" customHeight="1">
      <c r="A92" s="15" t="s">
        <v>16</v>
      </c>
      <c r="B92" s="22" t="str">
        <f t="array" ref="B92">iferror(VLOOKUP(INDIRECT(ADDRESS(ROW()+1,COLUMN(), 4)),Dex!$A$2:$C526,3,false),"")</f>
        <v/>
      </c>
      <c r="C92" s="22" t="str">
        <f t="array" ref="C92">iferror(VLOOKUP(INDIRECT(ADDRESS(ROW()+1,COLUMN(), 4)),Dex!$A$2:$C526,3,false),"")</f>
        <v/>
      </c>
      <c r="D92" s="22" t="str">
        <f t="array" ref="D92">iferror(VLOOKUP(INDIRECT(ADDRESS(ROW()+1,COLUMN(), 4)),Dex!$A$2:$C526,3,false),"")</f>
        <v/>
      </c>
      <c r="E92" s="22" t="str">
        <f t="array" ref="E92">iferror(VLOOKUP(INDIRECT(ADDRESS(ROW()+1,COLUMN(), 4)),Dex!$A$2:$C526,3,false),"")</f>
        <v/>
      </c>
      <c r="F92" s="22" t="str">
        <f t="array" ref="F92">iferror(VLOOKUP(INDIRECT(ADDRESS(ROW()+1,COLUMN(), 4)),Dex!$A$2:$C526,3,false),"")</f>
        <v/>
      </c>
      <c r="G92" s="22" t="str">
        <f t="array" ref="G92">iferror(VLOOKUP(INDIRECT(ADDRESS(ROW()+1,COLUMN(), 4)),Dex!$A$2:$C526,3,false),"")</f>
        <v/>
      </c>
      <c r="H92" s="23" t="str">
        <f t="array" ref="H92">iferror(VLOOKUP("TRAINER_PIC_Picnicker",Sprites!$A$1:$B526,2,false),"")</f>
        <v/>
      </c>
      <c r="I92" s="24"/>
    </row>
    <row r="93">
      <c r="A93" s="25"/>
      <c r="B93" s="26" t="s">
        <v>1900</v>
      </c>
      <c r="C93" s="26" t="s">
        <v>798</v>
      </c>
      <c r="D93" s="26"/>
      <c r="E93" s="26" t="s">
        <v>1185</v>
      </c>
      <c r="F93" s="26" t="s">
        <v>267</v>
      </c>
      <c r="G93" s="26" t="s">
        <v>1587</v>
      </c>
      <c r="H93" s="28"/>
    </row>
    <row r="94">
      <c r="A94" s="10" t="s">
        <v>199</v>
      </c>
      <c r="B94" s="22">
        <v>68.0</v>
      </c>
      <c r="C94" s="22">
        <v>67.0</v>
      </c>
      <c r="D94" s="22"/>
      <c r="E94" s="22">
        <v>68.0</v>
      </c>
      <c r="F94" s="22">
        <v>68.0</v>
      </c>
      <c r="G94" s="22">
        <v>69.0</v>
      </c>
      <c r="H94" s="27"/>
    </row>
    <row r="95">
      <c r="A95" s="10" t="s">
        <v>201</v>
      </c>
      <c r="B95" s="29" t="s">
        <v>1521</v>
      </c>
      <c r="C95" s="29" t="s">
        <v>408</v>
      </c>
      <c r="D95" s="29"/>
      <c r="E95" s="29" t="s">
        <v>1760</v>
      </c>
      <c r="F95" s="29" t="s">
        <v>645</v>
      </c>
      <c r="G95" s="29" t="s">
        <v>2492</v>
      </c>
      <c r="H95" s="27"/>
    </row>
    <row r="96">
      <c r="A96" s="10" t="s">
        <v>209</v>
      </c>
      <c r="B96" s="22" t="s">
        <v>2534</v>
      </c>
      <c r="C96" s="22" t="s">
        <v>413</v>
      </c>
      <c r="D96" s="22"/>
      <c r="E96" s="22" t="s">
        <v>540</v>
      </c>
      <c r="F96" s="22" t="s">
        <v>219</v>
      </c>
      <c r="G96" s="22" t="s">
        <v>2535</v>
      </c>
      <c r="H96" s="27"/>
    </row>
    <row r="97">
      <c r="A97" s="10" t="s">
        <v>215</v>
      </c>
      <c r="B97" s="29" t="s">
        <v>904</v>
      </c>
      <c r="C97" s="29" t="s">
        <v>218</v>
      </c>
      <c r="D97" s="29"/>
      <c r="E97" s="29" t="s">
        <v>231</v>
      </c>
      <c r="F97" s="29" t="s">
        <v>231</v>
      </c>
      <c r="G97" s="29" t="s">
        <v>231</v>
      </c>
      <c r="H97" s="27"/>
    </row>
    <row r="98">
      <c r="A98" s="15" t="s">
        <v>224</v>
      </c>
      <c r="B98" s="22" t="s">
        <v>1657</v>
      </c>
      <c r="C98" s="22" t="s">
        <v>2041</v>
      </c>
      <c r="D98" s="22"/>
      <c r="E98" s="22" t="s">
        <v>1127</v>
      </c>
      <c r="F98" s="22" t="s">
        <v>363</v>
      </c>
      <c r="G98" s="22" t="s">
        <v>2537</v>
      </c>
      <c r="H98" s="27"/>
    </row>
    <row r="99">
      <c r="A99" s="30"/>
      <c r="B99" s="22" t="s">
        <v>555</v>
      </c>
      <c r="C99" s="22" t="s">
        <v>2538</v>
      </c>
      <c r="D99" s="22"/>
      <c r="E99" s="22" t="s">
        <v>473</v>
      </c>
      <c r="F99" s="22" t="s">
        <v>2539</v>
      </c>
      <c r="G99" s="22" t="s">
        <v>555</v>
      </c>
      <c r="H99" s="27"/>
    </row>
    <row r="100">
      <c r="A100" s="30"/>
      <c r="B100" s="22" t="s">
        <v>951</v>
      </c>
      <c r="C100" s="22" t="s">
        <v>811</v>
      </c>
      <c r="D100" s="22"/>
      <c r="E100" s="22" t="s">
        <v>943</v>
      </c>
      <c r="F100" s="22" t="s">
        <v>924</v>
      </c>
      <c r="G100" s="22" t="s">
        <v>2513</v>
      </c>
      <c r="H100" s="27"/>
    </row>
    <row r="101">
      <c r="A101" s="25"/>
      <c r="B101" s="22" t="s">
        <v>1043</v>
      </c>
      <c r="C101" s="22" t="s">
        <v>357</v>
      </c>
      <c r="D101" s="22"/>
      <c r="E101" s="22" t="s">
        <v>472</v>
      </c>
      <c r="F101" s="22" t="s">
        <v>1035</v>
      </c>
      <c r="G101" s="22" t="s">
        <v>803</v>
      </c>
      <c r="H101" s="31"/>
      <c r="I101" s="32"/>
    </row>
    <row r="102">
      <c r="A102" s="10" t="s">
        <v>5</v>
      </c>
      <c r="B102" s="11" t="s">
        <v>2540</v>
      </c>
      <c r="C102" s="9"/>
      <c r="D102" s="9"/>
      <c r="E102" s="9"/>
      <c r="F102" s="9"/>
      <c r="G102" s="9"/>
      <c r="H102" s="12"/>
      <c r="I102" s="14"/>
    </row>
    <row r="103" ht="60.0" customHeight="1">
      <c r="A103" s="15" t="s">
        <v>16</v>
      </c>
      <c r="B103" s="22" t="str">
        <f t="array" ref="B103">iferror(VLOOKUP(INDIRECT(ADDRESS(ROW()+1,COLUMN(), 4)),Dex!$A$2:$C526,3,false),"")</f>
        <v/>
      </c>
      <c r="C103" s="22" t="str">
        <f t="array" ref="C103">iferror(VLOOKUP(INDIRECT(ADDRESS(ROW()+1,COLUMN(), 4)),Dex!$A$2:$C526,3,false),"")</f>
        <v/>
      </c>
      <c r="D103" s="22" t="str">
        <f t="array" ref="D103">iferror(VLOOKUP(INDIRECT(ADDRESS(ROW()+1,COLUMN(), 4)),Dex!$A$2:$C526,3,false),"")</f>
        <v/>
      </c>
      <c r="E103" s="22" t="str">
        <f t="array" ref="E103">iferror(VLOOKUP(INDIRECT(ADDRESS(ROW()+1,COLUMN(), 4)),Dex!$A$2:$C526,3,false),"")</f>
        <v/>
      </c>
      <c r="F103" s="22" t="str">
        <f t="array" ref="F103">iferror(VLOOKUP(INDIRECT(ADDRESS(ROW()+1,COLUMN(), 4)),Dex!$A$2:$C526,3,false),"")</f>
        <v/>
      </c>
      <c r="G103" s="22" t="str">
        <f t="array" ref="G103">iferror(VLOOKUP(INDIRECT(ADDRESS(ROW()+1,COLUMN(), 4)),Dex!$A$2:$C526,3,false),"")</f>
        <v/>
      </c>
      <c r="H103" s="23" t="str">
        <f t="array" ref="H103">iferror(VLOOKUP("TRAINER_PIC_Picnicker",Sprites!$A$1:$B526,2,false),"")</f>
        <v/>
      </c>
      <c r="I103" s="24"/>
    </row>
    <row r="104">
      <c r="A104" s="25"/>
      <c r="B104" s="26" t="s">
        <v>1090</v>
      </c>
      <c r="C104" s="26" t="s">
        <v>2075</v>
      </c>
      <c r="D104" s="26" t="s">
        <v>1381</v>
      </c>
      <c r="E104" s="26"/>
      <c r="F104" s="26"/>
      <c r="G104" s="26"/>
      <c r="H104" s="28"/>
    </row>
    <row r="105">
      <c r="A105" s="10" t="s">
        <v>199</v>
      </c>
      <c r="B105" s="22">
        <v>68.0</v>
      </c>
      <c r="C105" s="22">
        <v>68.0</v>
      </c>
      <c r="D105" s="22">
        <v>68.0</v>
      </c>
      <c r="E105" s="22"/>
      <c r="F105" s="22"/>
      <c r="G105" s="22"/>
      <c r="H105" s="27"/>
    </row>
    <row r="106">
      <c r="A106" s="10" t="s">
        <v>201</v>
      </c>
      <c r="B106" s="29" t="s">
        <v>406</v>
      </c>
      <c r="C106" s="29" t="s">
        <v>1517</v>
      </c>
      <c r="D106" s="29" t="s">
        <v>1150</v>
      </c>
      <c r="E106" s="29"/>
      <c r="F106" s="29"/>
      <c r="G106" s="29"/>
      <c r="H106" s="27"/>
    </row>
    <row r="107">
      <c r="A107" s="10" t="s">
        <v>209</v>
      </c>
      <c r="B107" s="22" t="s">
        <v>2463</v>
      </c>
      <c r="C107" s="22" t="s">
        <v>2554</v>
      </c>
      <c r="D107" s="22" t="s">
        <v>1153</v>
      </c>
      <c r="E107" s="22"/>
      <c r="F107" s="22"/>
      <c r="G107" s="22"/>
      <c r="H107" s="27"/>
    </row>
    <row r="108">
      <c r="A108" s="10" t="s">
        <v>215</v>
      </c>
      <c r="B108" s="29" t="s">
        <v>222</v>
      </c>
      <c r="C108" s="29" t="s">
        <v>220</v>
      </c>
      <c r="D108" s="29" t="s">
        <v>220</v>
      </c>
      <c r="E108" s="29"/>
      <c r="F108" s="29"/>
      <c r="G108" s="29"/>
      <c r="H108" s="27"/>
    </row>
    <row r="109">
      <c r="A109" s="15" t="s">
        <v>224</v>
      </c>
      <c r="B109" s="22" t="s">
        <v>469</v>
      </c>
      <c r="C109" s="22" t="s">
        <v>570</v>
      </c>
      <c r="D109" s="22" t="s">
        <v>463</v>
      </c>
      <c r="E109" s="22"/>
      <c r="F109" s="22"/>
      <c r="G109" s="22"/>
      <c r="H109" s="27"/>
    </row>
    <row r="110">
      <c r="A110" s="30"/>
      <c r="B110" s="22" t="s">
        <v>2320</v>
      </c>
      <c r="C110" s="22" t="s">
        <v>2318</v>
      </c>
      <c r="D110" s="22" t="s">
        <v>700</v>
      </c>
      <c r="E110" s="22"/>
      <c r="F110" s="22"/>
      <c r="G110" s="22"/>
      <c r="H110" s="27"/>
    </row>
    <row r="111">
      <c r="A111" s="30"/>
      <c r="B111" s="22" t="s">
        <v>357</v>
      </c>
      <c r="C111" s="22" t="s">
        <v>237</v>
      </c>
      <c r="D111" s="22" t="s">
        <v>698</v>
      </c>
      <c r="E111" s="22"/>
      <c r="F111" s="22"/>
      <c r="G111" s="22"/>
      <c r="H111" s="27"/>
    </row>
    <row r="112">
      <c r="A112" s="25"/>
      <c r="B112" s="22" t="s">
        <v>654</v>
      </c>
      <c r="C112" s="22" t="s">
        <v>2393</v>
      </c>
      <c r="D112" s="22" t="s">
        <v>1896</v>
      </c>
      <c r="E112" s="22"/>
      <c r="F112" s="22"/>
      <c r="G112" s="22"/>
      <c r="H112" s="31"/>
      <c r="I112" s="32"/>
    </row>
    <row r="113">
      <c r="A113" s="10" t="s">
        <v>5</v>
      </c>
      <c r="B113" s="11" t="s">
        <v>2564</v>
      </c>
      <c r="C113" s="9"/>
      <c r="D113" s="9"/>
      <c r="E113" s="12"/>
      <c r="F113" s="12"/>
      <c r="G113" s="12"/>
      <c r="H113" s="12"/>
      <c r="I113" s="14"/>
    </row>
    <row r="114" ht="60.0" customHeight="1">
      <c r="A114" s="15" t="s">
        <v>16</v>
      </c>
      <c r="B114" s="22" t="str">
        <f t="array" ref="B114">iferror(VLOOKUP(INDIRECT(ADDRESS(ROW()+1,COLUMN(), 4)),Dex!$A$2:$C526,3,false),"")</f>
        <v/>
      </c>
      <c r="C114" s="22" t="str">
        <f t="array" ref="C114">iferror(VLOOKUP(INDIRECT(ADDRESS(ROW()+1,COLUMN(), 4)),Dex!$A$2:$C526,3,false),"")</f>
        <v/>
      </c>
      <c r="D114" s="22" t="str">
        <f t="array" ref="D114">iferror(VLOOKUP(INDIRECT(ADDRESS(ROW()+1,COLUMN(), 4)),Dex!$A$2:$C526,3,false),"")</f>
        <v/>
      </c>
      <c r="E114" s="22" t="str">
        <f t="array" ref="E114">iferror(VLOOKUP(INDIRECT(ADDRESS(ROW()+1,COLUMN(), 4)),Dex!$A$2:$C526,3,false),"")</f>
        <v/>
      </c>
      <c r="F114" s="22" t="str">
        <f t="array" ref="F114">iferror(VLOOKUP(INDIRECT(ADDRESS(ROW()+1,COLUMN(), 4)),Dex!$A$2:$C526,3,false),"")</f>
        <v/>
      </c>
      <c r="G114" s="22" t="str">
        <f t="array" ref="G114">iferror(VLOOKUP(INDIRECT(ADDRESS(ROW()+1,COLUMN(), 4)),Dex!$A$2:$C526,3,false),"")</f>
        <v/>
      </c>
      <c r="H114" s="23" t="str">
        <f t="array" ref="H114">iferror(VLOOKUP("TRAINER_PIC_Camper",Sprites!$A$1:$B526,2,false),"")</f>
        <v/>
      </c>
      <c r="I114" s="24"/>
    </row>
    <row r="115">
      <c r="A115" s="25"/>
      <c r="B115" s="26" t="s">
        <v>1049</v>
      </c>
      <c r="C115" s="26" t="s">
        <v>1200</v>
      </c>
      <c r="D115" s="26" t="s">
        <v>660</v>
      </c>
      <c r="E115" s="26" t="s">
        <v>1193</v>
      </c>
      <c r="F115" s="26" t="s">
        <v>1389</v>
      </c>
      <c r="G115" s="26" t="s">
        <v>1091</v>
      </c>
      <c r="H115" s="28"/>
    </row>
    <row r="116">
      <c r="A116" s="10" t="s">
        <v>199</v>
      </c>
      <c r="B116" s="22">
        <v>68.0</v>
      </c>
      <c r="C116" s="22">
        <v>68.0</v>
      </c>
      <c r="D116" s="22">
        <v>68.0</v>
      </c>
      <c r="E116" s="22">
        <v>68.0</v>
      </c>
      <c r="F116" s="22">
        <v>68.0</v>
      </c>
      <c r="G116" s="22">
        <v>68.0</v>
      </c>
      <c r="H116" s="27"/>
    </row>
    <row r="117">
      <c r="A117" s="10" t="s">
        <v>201</v>
      </c>
      <c r="B117" s="29" t="s">
        <v>346</v>
      </c>
      <c r="C117" s="29" t="s">
        <v>1022</v>
      </c>
      <c r="D117" s="29" t="s">
        <v>406</v>
      </c>
      <c r="E117" s="29" t="s">
        <v>644</v>
      </c>
      <c r="F117" s="29" t="s">
        <v>1517</v>
      </c>
      <c r="G117" s="29" t="s">
        <v>1150</v>
      </c>
      <c r="H117" s="27"/>
    </row>
    <row r="118">
      <c r="A118" s="10" t="s">
        <v>209</v>
      </c>
      <c r="B118" s="22" t="s">
        <v>2463</v>
      </c>
      <c r="C118" s="22" t="s">
        <v>219</v>
      </c>
      <c r="D118" s="22" t="s">
        <v>219</v>
      </c>
      <c r="E118" s="22" t="s">
        <v>2569</v>
      </c>
      <c r="F118" s="22" t="s">
        <v>348</v>
      </c>
      <c r="G118" s="22" t="s">
        <v>2377</v>
      </c>
      <c r="H118" s="27"/>
    </row>
    <row r="119">
      <c r="A119" s="10" t="s">
        <v>215</v>
      </c>
      <c r="B119" s="29" t="s">
        <v>461</v>
      </c>
      <c r="C119" s="29" t="s">
        <v>461</v>
      </c>
      <c r="D119" s="29" t="s">
        <v>220</v>
      </c>
      <c r="E119" s="29" t="s">
        <v>685</v>
      </c>
      <c r="F119" s="29" t="s">
        <v>222</v>
      </c>
      <c r="G119" s="29" t="s">
        <v>461</v>
      </c>
      <c r="H119" s="27"/>
    </row>
    <row r="120">
      <c r="A120" s="15" t="s">
        <v>224</v>
      </c>
      <c r="B120" s="22" t="s">
        <v>555</v>
      </c>
      <c r="C120" s="22" t="s">
        <v>555</v>
      </c>
      <c r="D120" s="22" t="s">
        <v>2387</v>
      </c>
      <c r="E120" s="22" t="s">
        <v>1458</v>
      </c>
      <c r="F120" s="22" t="s">
        <v>236</v>
      </c>
      <c r="G120" s="22" t="s">
        <v>1752</v>
      </c>
      <c r="H120" s="27"/>
    </row>
    <row r="121">
      <c r="A121" s="30"/>
      <c r="B121" s="22" t="s">
        <v>356</v>
      </c>
      <c r="C121" s="22" t="s">
        <v>356</v>
      </c>
      <c r="D121" s="22" t="s">
        <v>2573</v>
      </c>
      <c r="E121" s="22" t="s">
        <v>689</v>
      </c>
      <c r="F121" s="22" t="s">
        <v>2574</v>
      </c>
      <c r="G121" s="22" t="s">
        <v>692</v>
      </c>
      <c r="H121" s="27"/>
    </row>
    <row r="122">
      <c r="A122" s="30"/>
      <c r="B122" s="22" t="s">
        <v>2387</v>
      </c>
      <c r="C122" s="22" t="s">
        <v>363</v>
      </c>
      <c r="D122" s="22" t="s">
        <v>951</v>
      </c>
      <c r="E122" s="22" t="s">
        <v>697</v>
      </c>
      <c r="F122" s="22" t="s">
        <v>1347</v>
      </c>
      <c r="G122" s="22" t="s">
        <v>702</v>
      </c>
      <c r="H122" s="27"/>
    </row>
    <row r="123">
      <c r="A123" s="25"/>
      <c r="B123" s="22" t="s">
        <v>361</v>
      </c>
      <c r="C123" s="22" t="s">
        <v>1366</v>
      </c>
      <c r="D123" s="22" t="s">
        <v>2346</v>
      </c>
      <c r="E123" s="22" t="s">
        <v>805</v>
      </c>
      <c r="F123" s="22" t="s">
        <v>1354</v>
      </c>
      <c r="G123" s="22" t="s">
        <v>700</v>
      </c>
      <c r="H123" s="31"/>
      <c r="I123" s="32"/>
    </row>
    <row r="124">
      <c r="A124" s="10" t="s">
        <v>5</v>
      </c>
      <c r="B124" s="11" t="s">
        <v>2577</v>
      </c>
      <c r="C124" s="9"/>
      <c r="D124" s="9"/>
      <c r="E124" s="9"/>
      <c r="F124" s="9"/>
      <c r="G124" s="9"/>
      <c r="H124" s="12"/>
      <c r="I124" s="14"/>
    </row>
    <row r="125" ht="60.0" customHeight="1">
      <c r="A125" s="15" t="s">
        <v>16</v>
      </c>
      <c r="B125" s="22" t="str">
        <f t="array" ref="B125">iferror(VLOOKUP(INDIRECT(ADDRESS(ROW()+1,COLUMN(), 4)),Dex!$A$2:$C526,3,false),"")</f>
        <v/>
      </c>
      <c r="C125" s="22" t="str">
        <f t="array" ref="C125">iferror(VLOOKUP(INDIRECT(ADDRESS(ROW()+1,COLUMN(), 4)),Dex!$A$2:$C526,3,false),"")</f>
        <v/>
      </c>
      <c r="D125" s="22" t="str">
        <f t="array" ref="D125">iferror(VLOOKUP(INDIRECT(ADDRESS(ROW()+1,COLUMN(), 4)),Dex!$A$2:$C526,3,false),"")</f>
        <v/>
      </c>
      <c r="E125" s="22" t="str">
        <f t="array" ref="E125">iferror(VLOOKUP(INDIRECT(ADDRESS(ROW()+1,COLUMN(), 4)),Dex!$A$2:$C526,3,false),"")</f>
        <v/>
      </c>
      <c r="F125" s="22" t="str">
        <f t="array" ref="F125">iferror(VLOOKUP(INDIRECT(ADDRESS(ROW()+1,COLUMN(), 4)),Dex!$A$2:$C526,3,false),"")</f>
        <v/>
      </c>
      <c r="G125" s="22" t="str">
        <f t="array" ref="G125">iferror(VLOOKUP(INDIRECT(ADDRESS(ROW()+1,COLUMN(), 4)),Dex!$A$2:$C526,3,false),"")</f>
        <v/>
      </c>
      <c r="H125" s="23" t="str">
        <f t="array" ref="H125">iferror(VLOOKUP("TRAINER_PIC_Camper",Sprites!$A$1:$B526,2,false),"")</f>
        <v/>
      </c>
      <c r="I125" s="24"/>
    </row>
    <row r="126">
      <c r="A126" s="25"/>
      <c r="B126" s="26" t="s">
        <v>187</v>
      </c>
      <c r="C126" s="26" t="s">
        <v>1264</v>
      </c>
      <c r="D126" s="26" t="s">
        <v>2590</v>
      </c>
      <c r="E126" s="26" t="s">
        <v>827</v>
      </c>
      <c r="F126" s="26" t="s">
        <v>1741</v>
      </c>
      <c r="G126" s="26"/>
      <c r="H126" s="28"/>
    </row>
    <row r="127">
      <c r="A127" s="10" t="s">
        <v>199</v>
      </c>
      <c r="B127" s="22">
        <v>68.0</v>
      </c>
      <c r="C127" s="22">
        <v>68.0</v>
      </c>
      <c r="D127" s="22">
        <v>68.0</v>
      </c>
      <c r="E127" s="22">
        <v>69.0</v>
      </c>
      <c r="F127" s="22">
        <v>69.0</v>
      </c>
      <c r="G127" s="22"/>
      <c r="H127" s="27"/>
    </row>
    <row r="128">
      <c r="A128" s="10" t="s">
        <v>201</v>
      </c>
      <c r="B128" s="29" t="s">
        <v>2323</v>
      </c>
      <c r="C128" s="29" t="s">
        <v>206</v>
      </c>
      <c r="D128" s="29" t="s">
        <v>1242</v>
      </c>
      <c r="E128" s="29" t="s">
        <v>345</v>
      </c>
      <c r="F128" s="29" t="s">
        <v>2591</v>
      </c>
      <c r="G128" s="29"/>
      <c r="H128" s="27"/>
    </row>
    <row r="129">
      <c r="A129" s="10" t="s">
        <v>209</v>
      </c>
      <c r="B129" s="22" t="s">
        <v>2353</v>
      </c>
      <c r="C129" s="22" t="s">
        <v>1950</v>
      </c>
      <c r="D129" s="22" t="s">
        <v>2368</v>
      </c>
      <c r="E129" s="22" t="s">
        <v>413</v>
      </c>
      <c r="F129" s="22" t="s">
        <v>2597</v>
      </c>
      <c r="G129" s="22"/>
      <c r="H129" s="27"/>
    </row>
    <row r="130">
      <c r="A130" s="10" t="s">
        <v>215</v>
      </c>
      <c r="B130" s="29" t="s">
        <v>419</v>
      </c>
      <c r="C130" s="29" t="s">
        <v>419</v>
      </c>
      <c r="D130" s="29" t="s">
        <v>220</v>
      </c>
      <c r="E130" s="29" t="s">
        <v>231</v>
      </c>
      <c r="F130" s="29" t="s">
        <v>2600</v>
      </c>
      <c r="G130" s="29"/>
      <c r="H130" s="27"/>
    </row>
    <row r="131">
      <c r="A131" s="15" t="s">
        <v>224</v>
      </c>
      <c r="B131" s="22" t="s">
        <v>2555</v>
      </c>
      <c r="C131" s="22" t="s">
        <v>1953</v>
      </c>
      <c r="D131" s="22" t="s">
        <v>567</v>
      </c>
      <c r="E131" s="22" t="s">
        <v>2327</v>
      </c>
      <c r="F131" s="22" t="s">
        <v>2602</v>
      </c>
      <c r="G131" s="22"/>
      <c r="H131" s="27"/>
    </row>
    <row r="132">
      <c r="A132" s="30"/>
      <c r="B132" s="22" t="s">
        <v>1958</v>
      </c>
      <c r="C132" s="22" t="s">
        <v>1958</v>
      </c>
      <c r="D132" s="22" t="s">
        <v>2603</v>
      </c>
      <c r="E132" s="22" t="s">
        <v>1366</v>
      </c>
      <c r="F132" s="22" t="s">
        <v>358</v>
      </c>
      <c r="G132" s="22"/>
      <c r="H132" s="27"/>
    </row>
    <row r="133">
      <c r="A133" s="30"/>
      <c r="B133" s="22" t="s">
        <v>2605</v>
      </c>
      <c r="C133" s="22" t="s">
        <v>1955</v>
      </c>
      <c r="D133" s="22" t="s">
        <v>1352</v>
      </c>
      <c r="E133" s="22" t="s">
        <v>555</v>
      </c>
      <c r="F133" s="22" t="s">
        <v>249</v>
      </c>
      <c r="G133" s="22"/>
      <c r="H133" s="27"/>
    </row>
    <row r="134">
      <c r="A134" s="25"/>
      <c r="B134" s="22" t="s">
        <v>552</v>
      </c>
      <c r="C134" s="22" t="s">
        <v>2605</v>
      </c>
      <c r="D134" s="22" t="s">
        <v>363</v>
      </c>
      <c r="E134" s="22" t="s">
        <v>358</v>
      </c>
      <c r="F134" s="22" t="s">
        <v>2608</v>
      </c>
      <c r="G134" s="22"/>
      <c r="H134" s="31"/>
      <c r="I134" s="32"/>
    </row>
    <row r="135">
      <c r="A135" s="8" t="s">
        <v>2609</v>
      </c>
      <c r="B135" s="9"/>
      <c r="C135" s="9"/>
      <c r="D135" s="9"/>
      <c r="E135" s="9"/>
      <c r="F135" s="9"/>
      <c r="G135" s="9"/>
      <c r="H135" s="9"/>
      <c r="I135" s="34"/>
    </row>
    <row r="136">
      <c r="A136" s="10" t="s">
        <v>5</v>
      </c>
      <c r="B136" s="11" t="s">
        <v>2610</v>
      </c>
      <c r="C136" s="9"/>
      <c r="D136" s="9"/>
      <c r="E136" s="9"/>
      <c r="F136" s="9"/>
      <c r="G136" s="12"/>
      <c r="H136" s="12"/>
      <c r="I136" s="14"/>
    </row>
    <row r="137" ht="60.0" customHeight="1">
      <c r="A137" s="15" t="s">
        <v>16</v>
      </c>
      <c r="B137" s="22" t="str">
        <f t="array" ref="B137">iferror(VLOOKUP(INDIRECT(ADDRESS(ROW()+1,COLUMN(), 4)),Dex!$A$2:$C526,3,false),"")</f>
        <v/>
      </c>
      <c r="C137" s="22" t="str">
        <f t="array" ref="C137">iferror(VLOOKUP(INDIRECT(ADDRESS(ROW()+1,COLUMN(), 4)),Dex!$A$2:$C526,3,false),"")</f>
        <v/>
      </c>
      <c r="D137" s="22" t="str">
        <f t="array" ref="D137">iferror(VLOOKUP(INDIRECT(ADDRESS(ROW()+1,COLUMN(), 4)),Dex!$A$2:$C526,3,false),"")</f>
        <v/>
      </c>
      <c r="E137" s="22" t="str">
        <f t="array" ref="E137">iferror(VLOOKUP(INDIRECT(ADDRESS(ROW()+1,COLUMN(), 4)),Dex!$A$2:$C526,3,false),"")</f>
        <v/>
      </c>
      <c r="F137" s="22" t="str">
        <f t="array" ref="F137">iferror(VLOOKUP(INDIRECT(ADDRESS(ROW()+1,COLUMN(), 4)),Dex!$A$2:$C526,3,false),"")</f>
        <v/>
      </c>
      <c r="G137" s="22" t="str">
        <f t="array" ref="G137">iferror(VLOOKUP(INDIRECT(ADDRESS(ROW()+1,COLUMN(), 4)),Dex!$A$2:$C526,3,false),"")</f>
        <v/>
      </c>
      <c r="H137" s="23" t="str">
        <f t="array" ref="H137">iferror(VLOOKUP("TRAINER_PIC_Bug_Maniac",Sprites!$A$1:$B526,2,false),"")</f>
        <v/>
      </c>
      <c r="I137" s="24"/>
    </row>
    <row r="138">
      <c r="A138" s="25"/>
      <c r="B138" s="26" t="s">
        <v>395</v>
      </c>
      <c r="C138" s="26" t="s">
        <v>977</v>
      </c>
      <c r="D138" s="26" t="s">
        <v>2003</v>
      </c>
      <c r="E138" s="26" t="s">
        <v>1717</v>
      </c>
      <c r="F138" s="26" t="s">
        <v>444</v>
      </c>
      <c r="G138" s="26"/>
      <c r="H138" s="27"/>
    </row>
    <row r="139">
      <c r="A139" s="10" t="s">
        <v>199</v>
      </c>
      <c r="B139" s="22">
        <v>69.0</v>
      </c>
      <c r="C139" s="22">
        <v>68.0</v>
      </c>
      <c r="D139" s="22">
        <v>69.0</v>
      </c>
      <c r="E139" s="22">
        <v>69.0</v>
      </c>
      <c r="F139" s="22">
        <v>69.0</v>
      </c>
      <c r="G139" s="22"/>
      <c r="H139" s="28"/>
    </row>
    <row r="140">
      <c r="A140" s="10" t="s">
        <v>201</v>
      </c>
      <c r="B140" s="29" t="s">
        <v>2435</v>
      </c>
      <c r="C140" s="29" t="s">
        <v>455</v>
      </c>
      <c r="D140" s="29" t="s">
        <v>206</v>
      </c>
      <c r="E140" s="29" t="s">
        <v>407</v>
      </c>
      <c r="F140" s="29" t="s">
        <v>1122</v>
      </c>
      <c r="G140" s="29"/>
      <c r="H140" s="27"/>
    </row>
    <row r="141">
      <c r="A141" s="10" t="s">
        <v>209</v>
      </c>
      <c r="B141" s="22" t="s">
        <v>2625</v>
      </c>
      <c r="C141" s="22" t="s">
        <v>349</v>
      </c>
      <c r="D141" s="22" t="s">
        <v>348</v>
      </c>
      <c r="E141" s="22" t="s">
        <v>1996</v>
      </c>
      <c r="F141" s="22" t="s">
        <v>1152</v>
      </c>
      <c r="G141" s="22"/>
      <c r="H141" s="27"/>
    </row>
    <row r="142">
      <c r="A142" s="10" t="s">
        <v>215</v>
      </c>
      <c r="B142" s="29" t="s">
        <v>220</v>
      </c>
      <c r="C142" s="29" t="s">
        <v>1343</v>
      </c>
      <c r="D142" s="29" t="s">
        <v>220</v>
      </c>
      <c r="E142" s="29" t="s">
        <v>231</v>
      </c>
      <c r="F142" s="29" t="s">
        <v>231</v>
      </c>
      <c r="G142" s="29"/>
      <c r="H142" s="27"/>
    </row>
    <row r="143">
      <c r="A143" s="15" t="s">
        <v>224</v>
      </c>
      <c r="B143" s="22" t="s">
        <v>361</v>
      </c>
      <c r="C143" s="22" t="s">
        <v>1036</v>
      </c>
      <c r="D143" s="22" t="s">
        <v>1159</v>
      </c>
      <c r="E143" s="22" t="s">
        <v>1716</v>
      </c>
      <c r="F143" s="22" t="s">
        <v>363</v>
      </c>
      <c r="G143" s="22"/>
      <c r="H143" s="27"/>
    </row>
    <row r="144">
      <c r="A144" s="30"/>
      <c r="B144" s="22" t="s">
        <v>2470</v>
      </c>
      <c r="C144" s="22" t="s">
        <v>940</v>
      </c>
      <c r="D144" s="22" t="s">
        <v>1163</v>
      </c>
      <c r="E144" s="22" t="s">
        <v>1163</v>
      </c>
      <c r="F144" s="22" t="s">
        <v>587</v>
      </c>
      <c r="G144" s="22"/>
      <c r="H144" s="27"/>
    </row>
    <row r="145">
      <c r="A145" s="30"/>
      <c r="B145" s="22" t="s">
        <v>1352</v>
      </c>
      <c r="C145" s="22" t="s">
        <v>465</v>
      </c>
      <c r="D145" s="22" t="s">
        <v>477</v>
      </c>
      <c r="E145" s="22" t="s">
        <v>2393</v>
      </c>
      <c r="F145" s="22" t="s">
        <v>946</v>
      </c>
      <c r="G145" s="22"/>
      <c r="H145" s="27"/>
    </row>
    <row r="146">
      <c r="A146" s="25"/>
      <c r="B146" s="22" t="s">
        <v>468</v>
      </c>
      <c r="C146" s="22" t="s">
        <v>1434</v>
      </c>
      <c r="D146" s="22" t="s">
        <v>366</v>
      </c>
      <c r="E146" s="22" t="s">
        <v>1541</v>
      </c>
      <c r="F146" s="22" t="s">
        <v>951</v>
      </c>
      <c r="G146" s="22"/>
      <c r="H146" s="31"/>
      <c r="I146" s="32"/>
    </row>
    <row r="147">
      <c r="A147" s="10" t="s">
        <v>5</v>
      </c>
      <c r="B147" s="11" t="s">
        <v>2628</v>
      </c>
      <c r="C147" s="9"/>
      <c r="D147" s="9"/>
      <c r="E147" s="9"/>
      <c r="F147" s="9"/>
      <c r="G147" s="12"/>
      <c r="H147" s="12"/>
      <c r="I147" s="14"/>
    </row>
    <row r="148" ht="60.0" customHeight="1">
      <c r="A148" s="15" t="s">
        <v>16</v>
      </c>
      <c r="B148" s="22" t="str">
        <f t="array" ref="B148">iferror(VLOOKUP(INDIRECT(ADDRESS(ROW()+1,COLUMN(), 4)),Dex!$A$2:$C526,3,false),"")</f>
        <v/>
      </c>
      <c r="C148" s="22" t="str">
        <f t="array" ref="C148">iferror(VLOOKUP(INDIRECT(ADDRESS(ROW()+1,COLUMN(), 4)),Dex!$A$2:$C526,3,false),"")</f>
        <v/>
      </c>
      <c r="D148" s="22" t="str">
        <f t="array" ref="D148">iferror(VLOOKUP(INDIRECT(ADDRESS(ROW()+1,COLUMN(), 4)),Dex!$A$2:$C526,3,false),"")</f>
        <v/>
      </c>
      <c r="E148" s="22" t="str">
        <f t="array" ref="E148">iferror(VLOOKUP(INDIRECT(ADDRESS(ROW()+1,COLUMN(), 4)),Dex!$A$2:$C526,3,false),"")</f>
        <v/>
      </c>
      <c r="F148" s="22" t="str">
        <f t="array" ref="F148">iferror(VLOOKUP(INDIRECT(ADDRESS(ROW()+1,COLUMN(), 4)),Dex!$A$2:$C526,3,false),"")</f>
        <v/>
      </c>
      <c r="G148" s="22" t="str">
        <f t="array" ref="G148">iferror(VLOOKUP(INDIRECT(ADDRESS(ROW()+1,COLUMN(), 4)),Dex!$A$2:$C526,3,false),"")</f>
        <v/>
      </c>
      <c r="H148" s="23" t="str">
        <f t="array" ref="H148">iferror(VLOOKUP("TRAINER_PIC_Ninja_Boy",Sprites!$A$1:$B526,2,false),"")</f>
        <v/>
      </c>
      <c r="I148" s="24"/>
    </row>
    <row r="149">
      <c r="A149" s="25"/>
      <c r="B149" s="26" t="s">
        <v>410</v>
      </c>
      <c r="C149" s="26" t="s">
        <v>833</v>
      </c>
      <c r="D149" s="26" t="s">
        <v>1299</v>
      </c>
      <c r="E149" s="26" t="s">
        <v>993</v>
      </c>
      <c r="F149" s="26" t="s">
        <v>1614</v>
      </c>
      <c r="G149" s="26"/>
      <c r="H149" s="27"/>
    </row>
    <row r="150">
      <c r="A150" s="10" t="s">
        <v>199</v>
      </c>
      <c r="B150" s="22">
        <v>69.0</v>
      </c>
      <c r="C150" s="22">
        <v>69.0</v>
      </c>
      <c r="D150" s="22">
        <v>69.0</v>
      </c>
      <c r="E150" s="22">
        <v>69.0</v>
      </c>
      <c r="F150" s="22">
        <v>70.0</v>
      </c>
      <c r="G150" s="22"/>
      <c r="H150" s="28"/>
    </row>
    <row r="151">
      <c r="A151" s="10" t="s">
        <v>201</v>
      </c>
      <c r="B151" s="29" t="s">
        <v>1636</v>
      </c>
      <c r="C151" s="29" t="s">
        <v>1926</v>
      </c>
      <c r="D151" s="29" t="s">
        <v>1635</v>
      </c>
      <c r="E151" s="29" t="s">
        <v>1455</v>
      </c>
      <c r="F151" s="29" t="s">
        <v>2632</v>
      </c>
      <c r="G151" s="29"/>
      <c r="H151" s="27"/>
    </row>
    <row r="152">
      <c r="A152" s="10" t="s">
        <v>209</v>
      </c>
      <c r="B152" s="22" t="s">
        <v>219</v>
      </c>
      <c r="C152" s="22" t="s">
        <v>413</v>
      </c>
      <c r="D152" s="22" t="s">
        <v>1642</v>
      </c>
      <c r="E152" s="22" t="s">
        <v>2355</v>
      </c>
      <c r="F152" s="22" t="s">
        <v>352</v>
      </c>
      <c r="G152" s="22"/>
      <c r="H152" s="27"/>
    </row>
    <row r="153">
      <c r="A153" s="10" t="s">
        <v>215</v>
      </c>
      <c r="B153" s="29" t="s">
        <v>231</v>
      </c>
      <c r="C153" s="29" t="s">
        <v>1343</v>
      </c>
      <c r="D153" s="29" t="s">
        <v>222</v>
      </c>
      <c r="E153" s="29" t="s">
        <v>220</v>
      </c>
      <c r="F153" s="29" t="s">
        <v>220</v>
      </c>
      <c r="G153" s="29"/>
      <c r="H153" s="27"/>
    </row>
    <row r="154">
      <c r="A154" s="15" t="s">
        <v>224</v>
      </c>
      <c r="B154" s="22" t="s">
        <v>1352</v>
      </c>
      <c r="C154" s="22" t="s">
        <v>941</v>
      </c>
      <c r="D154" s="22" t="s">
        <v>920</v>
      </c>
      <c r="E154" s="22" t="s">
        <v>1844</v>
      </c>
      <c r="F154" s="22" t="s">
        <v>2640</v>
      </c>
      <c r="G154" s="22"/>
      <c r="H154" s="27"/>
    </row>
    <row r="155">
      <c r="A155" s="30"/>
      <c r="B155" s="22" t="s">
        <v>432</v>
      </c>
      <c r="C155" s="22" t="s">
        <v>1458</v>
      </c>
      <c r="D155" s="22" t="s">
        <v>238</v>
      </c>
      <c r="E155" s="22" t="s">
        <v>366</v>
      </c>
      <c r="F155" s="22" t="s">
        <v>702</v>
      </c>
      <c r="G155" s="22"/>
      <c r="H155" s="27"/>
    </row>
    <row r="156">
      <c r="A156" s="30"/>
      <c r="B156" s="22" t="s">
        <v>372</v>
      </c>
      <c r="C156" s="22" t="s">
        <v>2490</v>
      </c>
      <c r="D156" s="22" t="s">
        <v>424</v>
      </c>
      <c r="E156" s="22" t="s">
        <v>2491</v>
      </c>
      <c r="F156" s="22" t="s">
        <v>692</v>
      </c>
      <c r="G156" s="22"/>
      <c r="H156" s="27"/>
    </row>
    <row r="157">
      <c r="A157" s="25"/>
      <c r="B157" s="22" t="s">
        <v>476</v>
      </c>
      <c r="C157" s="22" t="s">
        <v>1366</v>
      </c>
      <c r="D157" s="22" t="s">
        <v>253</v>
      </c>
      <c r="E157" s="22" t="s">
        <v>477</v>
      </c>
      <c r="F157" s="22" t="s">
        <v>549</v>
      </c>
      <c r="G157" s="22"/>
      <c r="H157" s="31"/>
      <c r="I157" s="32"/>
    </row>
    <row r="158">
      <c r="A158" s="10" t="s">
        <v>5</v>
      </c>
      <c r="B158" s="11" t="s">
        <v>2644</v>
      </c>
      <c r="C158" s="9"/>
      <c r="D158" s="9"/>
      <c r="E158" s="9"/>
      <c r="F158" s="9"/>
      <c r="G158" s="12"/>
      <c r="H158" s="12"/>
      <c r="I158" s="14"/>
    </row>
    <row r="159" ht="60.0" customHeight="1">
      <c r="A159" s="15" t="s">
        <v>16</v>
      </c>
      <c r="B159" s="22" t="str">
        <f t="array" ref="B159">iferror(VLOOKUP(INDIRECT(ADDRESS(ROW()+1,COLUMN(), 4)),Dex!$A$2:$C526,3,false),"")</f>
        <v/>
      </c>
      <c r="C159" s="22" t="str">
        <f t="array" ref="C159">iferror(VLOOKUP(INDIRECT(ADDRESS(ROW()+1,COLUMN(), 4)),Dex!$A$2:$C526,3,false),"")</f>
        <v/>
      </c>
      <c r="D159" s="22" t="str">
        <f t="array" ref="D159">iferror(VLOOKUP(INDIRECT(ADDRESS(ROW()+1,COLUMN(), 4)),Dex!$A$2:$C526,3,false),"")</f>
        <v/>
      </c>
      <c r="E159" s="22" t="str">
        <f t="array" ref="E159">iferror(VLOOKUP(INDIRECT(ADDRESS(ROW()+1,COLUMN(), 4)),Dex!$A$2:$C526,3,false),"")</f>
        <v/>
      </c>
      <c r="F159" s="22" t="str">
        <f t="array" ref="F159">iferror(VLOOKUP(INDIRECT(ADDRESS(ROW()+1,COLUMN(), 4)),Dex!$A$2:$C526,3,false),"")</f>
        <v/>
      </c>
      <c r="G159" s="22" t="str">
        <f t="array" ref="G159">iferror(VLOOKUP(INDIRECT(ADDRESS(ROW()+1,COLUMN(), 4)),Dex!$A$2:$C526,3,false),"")</f>
        <v/>
      </c>
      <c r="H159" s="23" t="str">
        <f t="array" ref="H159">iferror(VLOOKUP("TRAINER_PIC_Twins",Sprites!$A$1:$B526,2,false),"")</f>
        <v/>
      </c>
      <c r="I159" s="24"/>
    </row>
    <row r="160">
      <c r="A160" s="25"/>
      <c r="B160" s="26" t="s">
        <v>1876</v>
      </c>
      <c r="C160" s="26" t="s">
        <v>969</v>
      </c>
      <c r="D160" s="26" t="s">
        <v>2056</v>
      </c>
      <c r="E160" s="26" t="s">
        <v>771</v>
      </c>
      <c r="F160" s="26" t="s">
        <v>631</v>
      </c>
      <c r="G160" s="26"/>
      <c r="H160" s="27"/>
    </row>
    <row r="161">
      <c r="A161" s="10" t="s">
        <v>199</v>
      </c>
      <c r="B161" s="22">
        <v>69.0</v>
      </c>
      <c r="C161" s="22">
        <v>69.0</v>
      </c>
      <c r="D161" s="22">
        <v>70.0</v>
      </c>
      <c r="E161" s="22">
        <v>70.0</v>
      </c>
      <c r="F161" s="22">
        <v>69.0</v>
      </c>
      <c r="G161" s="22"/>
      <c r="H161" s="28"/>
    </row>
    <row r="162">
      <c r="A162" s="10" t="s">
        <v>201</v>
      </c>
      <c r="B162" s="29" t="s">
        <v>2623</v>
      </c>
      <c r="C162" s="29" t="s">
        <v>343</v>
      </c>
      <c r="D162" s="29" t="s">
        <v>343</v>
      </c>
      <c r="E162" s="29" t="s">
        <v>406</v>
      </c>
      <c r="F162" s="29" t="s">
        <v>343</v>
      </c>
      <c r="G162" s="29"/>
      <c r="H162" s="27"/>
    </row>
    <row r="163">
      <c r="A163" s="10" t="s">
        <v>209</v>
      </c>
      <c r="B163" s="22" t="s">
        <v>221</v>
      </c>
      <c r="C163" s="22" t="s">
        <v>219</v>
      </c>
      <c r="D163" s="22" t="s">
        <v>1523</v>
      </c>
      <c r="E163" s="22" t="s">
        <v>2663</v>
      </c>
      <c r="F163" s="22" t="s">
        <v>1641</v>
      </c>
      <c r="G163" s="22"/>
      <c r="H163" s="27"/>
    </row>
    <row r="164">
      <c r="A164" s="10" t="s">
        <v>215</v>
      </c>
      <c r="B164" s="29" t="s">
        <v>220</v>
      </c>
      <c r="C164" s="29" t="s">
        <v>220</v>
      </c>
      <c r="D164" s="29" t="s">
        <v>220</v>
      </c>
      <c r="E164" s="29" t="s">
        <v>231</v>
      </c>
      <c r="F164" s="29" t="s">
        <v>1346</v>
      </c>
      <c r="G164" s="29"/>
      <c r="H164" s="27"/>
    </row>
    <row r="165">
      <c r="A165" s="15" t="s">
        <v>224</v>
      </c>
      <c r="B165" s="22" t="s">
        <v>1037</v>
      </c>
      <c r="C165" s="22" t="s">
        <v>2575</v>
      </c>
      <c r="D165" s="22" t="s">
        <v>2664</v>
      </c>
      <c r="E165" s="22" t="s">
        <v>241</v>
      </c>
      <c r="F165" s="22" t="s">
        <v>236</v>
      </c>
      <c r="G165" s="22"/>
      <c r="H165" s="27"/>
    </row>
    <row r="166">
      <c r="A166" s="30"/>
      <c r="B166" s="22" t="s">
        <v>1040</v>
      </c>
      <c r="C166" s="22" t="s">
        <v>799</v>
      </c>
      <c r="D166" s="22" t="s">
        <v>934</v>
      </c>
      <c r="E166" s="22" t="s">
        <v>1127</v>
      </c>
      <c r="F166" s="22" t="s">
        <v>585</v>
      </c>
      <c r="G166" s="22"/>
      <c r="H166" s="27"/>
    </row>
    <row r="167">
      <c r="A167" s="30"/>
      <c r="B167" s="22" t="s">
        <v>1761</v>
      </c>
      <c r="C167" s="22" t="s">
        <v>1048</v>
      </c>
      <c r="D167" s="22" t="s">
        <v>1999</v>
      </c>
      <c r="E167" s="22" t="s">
        <v>244</v>
      </c>
      <c r="F167" s="22" t="s">
        <v>366</v>
      </c>
      <c r="G167" s="22"/>
      <c r="H167" s="27"/>
    </row>
    <row r="168">
      <c r="A168" s="25"/>
      <c r="B168" s="22" t="s">
        <v>366</v>
      </c>
      <c r="C168" s="22" t="s">
        <v>431</v>
      </c>
      <c r="D168" s="22" t="s">
        <v>2665</v>
      </c>
      <c r="E168" s="22" t="s">
        <v>809</v>
      </c>
      <c r="F168" s="22" t="s">
        <v>2217</v>
      </c>
      <c r="G168" s="22"/>
      <c r="H168" s="31"/>
      <c r="I168" s="32"/>
    </row>
    <row r="169">
      <c r="A169" s="10" t="s">
        <v>5</v>
      </c>
      <c r="B169" s="11" t="s">
        <v>2666</v>
      </c>
      <c r="C169" s="9"/>
      <c r="D169" s="9"/>
      <c r="E169" s="9"/>
      <c r="F169" s="12"/>
      <c r="G169" s="12"/>
      <c r="H169" s="12"/>
      <c r="I169" s="14"/>
    </row>
    <row r="170" ht="60.0" customHeight="1">
      <c r="A170" s="15" t="s">
        <v>16</v>
      </c>
      <c r="B170" s="22" t="str">
        <f t="array" ref="B170">iferror(VLOOKUP(INDIRECT(ADDRESS(ROW()+1,COLUMN(), 4)),Dex!$A$2:$C526,3,false),"")</f>
        <v/>
      </c>
      <c r="C170" s="22" t="str">
        <f t="array" ref="C170">iferror(VLOOKUP(INDIRECT(ADDRESS(ROW()+1,COLUMN(), 4)),Dex!$A$2:$C526,3,false),"")</f>
        <v/>
      </c>
      <c r="D170" s="22" t="str">
        <f t="array" ref="D170">iferror(VLOOKUP(INDIRECT(ADDRESS(ROW()+1,COLUMN(), 4)),Dex!$A$2:$C526,3,false),"")</f>
        <v/>
      </c>
      <c r="E170" s="22" t="str">
        <f t="array" ref="E170">iferror(VLOOKUP(INDIRECT(ADDRESS(ROW()+1,COLUMN(), 4)),Dex!$A$2:$C526,3,false),"")</f>
        <v/>
      </c>
      <c r="F170" s="22" t="str">
        <f t="array" ref="F170">iferror(VLOOKUP(INDIRECT(ADDRESS(ROW()+1,COLUMN(), 4)),Dex!$A$2:$C526,3,false),"")</f>
        <v/>
      </c>
      <c r="G170" s="22" t="str">
        <f t="array" ref="G170">iferror(VLOOKUP(INDIRECT(ADDRESS(ROW()+1,COLUMN(), 4)),Dex!$A$2:$C526,3,false),"")</f>
        <v/>
      </c>
      <c r="H170" s="23" t="str">
        <f t="array" ref="H170">iferror(VLOOKUP("TRAINER_PIC_Ninja_Boy",Sprites!$A$1:$B526,2,false),"")</f>
        <v/>
      </c>
      <c r="I170" s="24"/>
    </row>
    <row r="171">
      <c r="A171" s="25"/>
      <c r="B171" s="26" t="s">
        <v>733</v>
      </c>
      <c r="C171" s="26" t="s">
        <v>1009</v>
      </c>
      <c r="D171" s="26" t="s">
        <v>1377</v>
      </c>
      <c r="E171" s="26" t="s">
        <v>1612</v>
      </c>
      <c r="F171" s="26" t="s">
        <v>508</v>
      </c>
      <c r="G171" s="26"/>
      <c r="H171" s="27"/>
    </row>
    <row r="172">
      <c r="A172" s="10" t="s">
        <v>199</v>
      </c>
      <c r="B172" s="22">
        <v>69.0</v>
      </c>
      <c r="C172" s="22">
        <v>69.0</v>
      </c>
      <c r="D172" s="22">
        <v>68.0</v>
      </c>
      <c r="E172" s="22">
        <v>69.0</v>
      </c>
      <c r="F172" s="22">
        <v>69.0</v>
      </c>
      <c r="G172" s="22"/>
      <c r="H172" s="28"/>
    </row>
    <row r="173">
      <c r="A173" s="10" t="s">
        <v>201</v>
      </c>
      <c r="B173" s="29" t="s">
        <v>1052</v>
      </c>
      <c r="C173" s="29" t="s">
        <v>1147</v>
      </c>
      <c r="D173" s="29" t="s">
        <v>1518</v>
      </c>
      <c r="E173" s="29" t="s">
        <v>1456</v>
      </c>
      <c r="F173" s="29" t="s">
        <v>1427</v>
      </c>
      <c r="G173" s="29"/>
      <c r="H173" s="27"/>
    </row>
    <row r="174">
      <c r="A174" s="10" t="s">
        <v>209</v>
      </c>
      <c r="B174" s="22" t="s">
        <v>2325</v>
      </c>
      <c r="C174" s="22" t="s">
        <v>2473</v>
      </c>
      <c r="D174" s="22" t="s">
        <v>789</v>
      </c>
      <c r="E174" s="22" t="s">
        <v>413</v>
      </c>
      <c r="F174" s="22" t="s">
        <v>348</v>
      </c>
      <c r="G174" s="22"/>
      <c r="H174" s="27"/>
    </row>
    <row r="175">
      <c r="A175" s="10" t="s">
        <v>215</v>
      </c>
      <c r="B175" s="29" t="s">
        <v>231</v>
      </c>
      <c r="C175" s="29" t="s">
        <v>1346</v>
      </c>
      <c r="D175" s="29" t="s">
        <v>419</v>
      </c>
      <c r="E175" s="29" t="s">
        <v>222</v>
      </c>
      <c r="F175" s="29" t="s">
        <v>906</v>
      </c>
      <c r="G175" s="29"/>
      <c r="H175" s="27"/>
    </row>
    <row r="176">
      <c r="A176" s="15" t="s">
        <v>224</v>
      </c>
      <c r="B176" s="22" t="s">
        <v>1169</v>
      </c>
      <c r="C176" s="22" t="s">
        <v>1069</v>
      </c>
      <c r="D176" s="22" t="s">
        <v>422</v>
      </c>
      <c r="E176" s="22" t="s">
        <v>1256</v>
      </c>
      <c r="F176" s="22" t="s">
        <v>552</v>
      </c>
      <c r="G176" s="22"/>
      <c r="H176" s="27"/>
    </row>
    <row r="177">
      <c r="A177" s="30"/>
      <c r="B177" s="22" t="s">
        <v>2682</v>
      </c>
      <c r="C177" s="22" t="s">
        <v>1788</v>
      </c>
      <c r="D177" s="22" t="s">
        <v>360</v>
      </c>
      <c r="E177" s="22" t="s">
        <v>360</v>
      </c>
      <c r="F177" s="22" t="s">
        <v>2115</v>
      </c>
      <c r="G177" s="22"/>
      <c r="H177" s="27"/>
    </row>
    <row r="178">
      <c r="A178" s="30"/>
      <c r="B178" s="22" t="s">
        <v>943</v>
      </c>
      <c r="C178" s="22" t="s">
        <v>2512</v>
      </c>
      <c r="D178" s="22" t="s">
        <v>1169</v>
      </c>
      <c r="E178" s="22" t="s">
        <v>1048</v>
      </c>
      <c r="F178" s="22" t="s">
        <v>1545</v>
      </c>
      <c r="G178" s="22"/>
      <c r="H178" s="27"/>
    </row>
    <row r="179">
      <c r="A179" s="25"/>
      <c r="B179" s="22" t="s">
        <v>1163</v>
      </c>
      <c r="C179" s="22" t="s">
        <v>2220</v>
      </c>
      <c r="D179" s="22" t="s">
        <v>1047</v>
      </c>
      <c r="E179" s="22" t="s">
        <v>2682</v>
      </c>
      <c r="F179" s="22" t="s">
        <v>2682</v>
      </c>
      <c r="G179" s="22"/>
      <c r="H179" s="31"/>
      <c r="I179" s="32"/>
    </row>
    <row r="180">
      <c r="A180" s="10" t="s">
        <v>5</v>
      </c>
      <c r="B180" s="11" t="s">
        <v>2683</v>
      </c>
      <c r="C180" s="9"/>
      <c r="D180" s="9"/>
      <c r="E180" s="9"/>
      <c r="F180" s="9"/>
      <c r="G180" s="9"/>
      <c r="H180" s="9"/>
      <c r="I180" s="14"/>
    </row>
    <row r="181" ht="60.0" customHeight="1">
      <c r="A181" s="15" t="s">
        <v>16</v>
      </c>
      <c r="B181" s="22" t="str">
        <f t="array" ref="B181">iferror(VLOOKUP(INDIRECT(ADDRESS(ROW()+1,COLUMN(), 4)),Dex!$A$2:$C526,3,false),"")</f>
        <v/>
      </c>
      <c r="C181" s="22" t="str">
        <f t="array" ref="C181">iferror(VLOOKUP(INDIRECT(ADDRESS(ROW()+1,COLUMN(), 4)),Dex!$A$2:$C526,3,false),"")</f>
        <v/>
      </c>
      <c r="D181" s="22" t="str">
        <f t="array" ref="D181">iferror(VLOOKUP(INDIRECT(ADDRESS(ROW()+1,COLUMN(), 4)),Dex!$A$2:$C526,3,false),"")</f>
        <v/>
      </c>
      <c r="E181" s="22" t="str">
        <f t="array" ref="E181">iferror(VLOOKUP(INDIRECT(ADDRESS(ROW()+1,COLUMN(), 4)),Dex!$A$2:$C526,3,false),"")</f>
        <v/>
      </c>
      <c r="F181" s="22" t="str">
        <f t="array" ref="F181">iferror(VLOOKUP(INDIRECT(ADDRESS(ROW()+1,COLUMN(), 4)),Dex!$A$2:$C526,3,false),"")</f>
        <v/>
      </c>
      <c r="G181" s="22" t="str">
        <f t="array" ref="G181">iferror(VLOOKUP(INDIRECT(ADDRESS(ROW()+1,COLUMN(), 4)),Dex!$A$2:$C526,3,false),"")</f>
        <v/>
      </c>
      <c r="H181" s="23" t="str">
        <f t="array" ref="H181">iferror(VLOOKUP("TRAINER_PIC_Pokemon_Ranger_M",Sprites!$A$1:$B526,2,false),"")</f>
        <v/>
      </c>
      <c r="I181" s="24"/>
    </row>
    <row r="182">
      <c r="A182" s="25"/>
      <c r="B182" s="26" t="s">
        <v>1574</v>
      </c>
      <c r="C182" s="26" t="s">
        <v>1084</v>
      </c>
      <c r="D182" s="26" t="s">
        <v>2136</v>
      </c>
      <c r="E182" s="26" t="s">
        <v>321</v>
      </c>
      <c r="F182" s="26" t="s">
        <v>1365</v>
      </c>
      <c r="G182" s="26"/>
      <c r="H182" s="27"/>
    </row>
    <row r="183">
      <c r="A183" s="10" t="s">
        <v>199</v>
      </c>
      <c r="B183" s="22">
        <v>70.0</v>
      </c>
      <c r="C183" s="22" t="s">
        <v>2695</v>
      </c>
      <c r="D183" s="22">
        <v>69.0</v>
      </c>
      <c r="E183" s="22">
        <v>70.0</v>
      </c>
      <c r="F183" s="22">
        <v>69.0</v>
      </c>
      <c r="G183" s="22"/>
      <c r="H183" s="28"/>
    </row>
    <row r="184">
      <c r="A184" s="10" t="s">
        <v>201</v>
      </c>
      <c r="B184" s="29" t="s">
        <v>344</v>
      </c>
      <c r="C184" s="29" t="s">
        <v>645</v>
      </c>
      <c r="D184" s="29" t="s">
        <v>2099</v>
      </c>
      <c r="E184" s="29" t="s">
        <v>408</v>
      </c>
      <c r="F184" s="29" t="s">
        <v>1279</v>
      </c>
      <c r="G184" s="29"/>
      <c r="H184" s="27"/>
    </row>
    <row r="185">
      <c r="A185" s="10" t="s">
        <v>209</v>
      </c>
      <c r="B185" s="22" t="s">
        <v>1528</v>
      </c>
      <c r="C185" s="22" t="s">
        <v>2405</v>
      </c>
      <c r="D185" s="22" t="s">
        <v>2508</v>
      </c>
      <c r="E185" s="22" t="s">
        <v>413</v>
      </c>
      <c r="F185" s="22" t="s">
        <v>1642</v>
      </c>
      <c r="G185" s="22"/>
      <c r="H185" s="27"/>
    </row>
    <row r="186">
      <c r="A186" s="10" t="s">
        <v>215</v>
      </c>
      <c r="B186" s="29" t="s">
        <v>542</v>
      </c>
      <c r="C186" s="29" t="s">
        <v>904</v>
      </c>
      <c r="D186" s="29" t="s">
        <v>220</v>
      </c>
      <c r="E186" s="29" t="s">
        <v>218</v>
      </c>
      <c r="F186" s="29" t="s">
        <v>419</v>
      </c>
      <c r="G186" s="29"/>
      <c r="H186" s="27"/>
    </row>
    <row r="187">
      <c r="A187" s="15" t="s">
        <v>224</v>
      </c>
      <c r="B187" s="22" t="s">
        <v>2697</v>
      </c>
      <c r="C187" s="22" t="s">
        <v>1454</v>
      </c>
      <c r="D187" s="22" t="s">
        <v>2698</v>
      </c>
      <c r="E187" s="22" t="s">
        <v>1030</v>
      </c>
      <c r="F187" s="22" t="s">
        <v>246</v>
      </c>
      <c r="G187" s="22"/>
      <c r="H187" s="27"/>
    </row>
    <row r="188">
      <c r="A188" s="30"/>
      <c r="B188" s="22" t="s">
        <v>940</v>
      </c>
      <c r="C188" s="22" t="s">
        <v>356</v>
      </c>
      <c r="D188" s="22" t="s">
        <v>1224</v>
      </c>
      <c r="E188" s="22" t="s">
        <v>815</v>
      </c>
      <c r="F188" s="22" t="s">
        <v>815</v>
      </c>
      <c r="G188" s="22"/>
      <c r="H188" s="27"/>
    </row>
    <row r="189">
      <c r="A189" s="30"/>
      <c r="B189" s="22" t="s">
        <v>925</v>
      </c>
      <c r="C189" s="22" t="s">
        <v>940</v>
      </c>
      <c r="D189" s="22" t="s">
        <v>576</v>
      </c>
      <c r="E189" s="22" t="s">
        <v>1366</v>
      </c>
      <c r="F189" s="22" t="s">
        <v>1537</v>
      </c>
      <c r="G189" s="22"/>
      <c r="H189" s="27"/>
    </row>
    <row r="190">
      <c r="A190" s="25"/>
      <c r="B190" s="22" t="s">
        <v>463</v>
      </c>
      <c r="C190" s="22" t="s">
        <v>1354</v>
      </c>
      <c r="D190" s="22" t="s">
        <v>2561</v>
      </c>
      <c r="E190" s="22" t="s">
        <v>2699</v>
      </c>
      <c r="F190" s="22" t="s">
        <v>805</v>
      </c>
      <c r="G190" s="22"/>
      <c r="H190" s="41"/>
      <c r="I190" s="32"/>
    </row>
    <row r="191">
      <c r="A191" s="10" t="s">
        <v>5</v>
      </c>
      <c r="B191" s="11" t="s">
        <v>2700</v>
      </c>
      <c r="C191" s="9"/>
      <c r="D191" s="9"/>
      <c r="E191" s="9"/>
      <c r="F191" s="9"/>
      <c r="G191" s="9"/>
      <c r="H191" s="9"/>
      <c r="I191" s="14"/>
    </row>
    <row r="192" ht="60.0" customHeight="1">
      <c r="A192" s="15" t="s">
        <v>16</v>
      </c>
      <c r="B192" s="22" t="str">
        <f t="array" ref="B192">iferror(VLOOKUP(INDIRECT(ADDRESS(ROW()+1,COLUMN(), 4)),Dex!$A$2:$C526,3,false),"")</f>
        <v/>
      </c>
      <c r="C192" s="22" t="str">
        <f t="array" ref="C192">iferror(VLOOKUP(INDIRECT(ADDRESS(ROW()+1,COLUMN(), 4)),Dex!$A$2:$C526,3,false),"")</f>
        <v/>
      </c>
      <c r="D192" s="22" t="str">
        <f t="array" ref="D192">iferror(VLOOKUP(INDIRECT(ADDRESS(ROW()+1,COLUMN(), 4)),Dex!$A$2:$C526,3,false),"")</f>
        <v/>
      </c>
      <c r="E192" s="22" t="str">
        <f t="array" ref="E192">iferror(VLOOKUP(INDIRECT(ADDRESS(ROW()+1,COLUMN(), 4)),Dex!$A$2:$C526,3,false),"")</f>
        <v/>
      </c>
      <c r="F192" s="22" t="str">
        <f t="array" ref="F192">iferror(VLOOKUP(INDIRECT(ADDRESS(ROW()+1,COLUMN(), 4)),Dex!$A$2:$C526,3,false),"")</f>
        <v/>
      </c>
      <c r="G192" s="22" t="str">
        <f t="array" ref="G192">iferror(VLOOKUP(INDIRECT(ADDRESS(ROW()+1,COLUMN(), 4)),Dex!$A$2:$C526,3,false),"")</f>
        <v/>
      </c>
      <c r="H192" s="23" t="str">
        <f t="array" ref="H192">iferror(VLOOKUP("TRAINER_PIC_Expert_M",Sprites!$A$1:$B526,2,false),"")</f>
        <v/>
      </c>
      <c r="I192" s="24"/>
    </row>
    <row r="193">
      <c r="A193" s="25"/>
      <c r="B193" s="26" t="s">
        <v>1968</v>
      </c>
      <c r="C193" s="26" t="s">
        <v>513</v>
      </c>
      <c r="D193" s="26" t="s">
        <v>1180</v>
      </c>
      <c r="E193" s="26" t="s">
        <v>1753</v>
      </c>
      <c r="F193" s="26" t="s">
        <v>1396</v>
      </c>
      <c r="G193" s="26"/>
      <c r="H193" s="27"/>
    </row>
    <row r="194">
      <c r="A194" s="10" t="s">
        <v>199</v>
      </c>
      <c r="B194" s="22">
        <v>70.0</v>
      </c>
      <c r="C194" s="22">
        <v>70.0</v>
      </c>
      <c r="D194" s="22">
        <v>69.0</v>
      </c>
      <c r="E194" s="22">
        <v>70.0</v>
      </c>
      <c r="F194" s="22">
        <v>71.0</v>
      </c>
      <c r="G194" s="22"/>
      <c r="H194" s="28"/>
    </row>
    <row r="195">
      <c r="A195" s="10" t="s">
        <v>201</v>
      </c>
      <c r="B195" s="29" t="s">
        <v>1546</v>
      </c>
      <c r="C195" s="29" t="s">
        <v>2708</v>
      </c>
      <c r="D195" s="29" t="s">
        <v>1456</v>
      </c>
      <c r="E195" s="29" t="s">
        <v>645</v>
      </c>
      <c r="F195" s="29" t="s">
        <v>1635</v>
      </c>
      <c r="G195" s="29"/>
      <c r="H195" s="27"/>
    </row>
    <row r="196">
      <c r="A196" s="10" t="s">
        <v>209</v>
      </c>
      <c r="B196" s="22" t="s">
        <v>219</v>
      </c>
      <c r="C196" s="22" t="s">
        <v>911</v>
      </c>
      <c r="D196" s="22" t="s">
        <v>217</v>
      </c>
      <c r="E196" s="22" t="s">
        <v>2709</v>
      </c>
      <c r="F196" s="22" t="s">
        <v>413</v>
      </c>
      <c r="G196" s="22"/>
      <c r="H196" s="27"/>
    </row>
    <row r="197">
      <c r="A197" s="10" t="s">
        <v>215</v>
      </c>
      <c r="B197" s="29" t="s">
        <v>904</v>
      </c>
      <c r="C197" s="29" t="s">
        <v>231</v>
      </c>
      <c r="D197" s="29" t="s">
        <v>231</v>
      </c>
      <c r="E197" s="29" t="s">
        <v>417</v>
      </c>
      <c r="F197" s="29" t="s">
        <v>419</v>
      </c>
      <c r="G197" s="29"/>
      <c r="H197" s="27"/>
    </row>
    <row r="198">
      <c r="A198" s="15" t="s">
        <v>224</v>
      </c>
      <c r="B198" s="22" t="s">
        <v>2710</v>
      </c>
      <c r="C198" s="22" t="s">
        <v>1069</v>
      </c>
      <c r="D198" s="22" t="s">
        <v>2711</v>
      </c>
      <c r="E198" s="22" t="s">
        <v>2712</v>
      </c>
      <c r="F198" s="22" t="s">
        <v>2397</v>
      </c>
      <c r="G198" s="22"/>
      <c r="H198" s="27"/>
    </row>
    <row r="199">
      <c r="A199" s="30"/>
      <c r="B199" s="22" t="s">
        <v>927</v>
      </c>
      <c r="C199" s="22" t="s">
        <v>813</v>
      </c>
      <c r="D199" s="22" t="s">
        <v>946</v>
      </c>
      <c r="E199" s="22" t="s">
        <v>477</v>
      </c>
      <c r="F199" s="22" t="s">
        <v>585</v>
      </c>
      <c r="G199" s="22"/>
      <c r="H199" s="27"/>
    </row>
    <row r="200">
      <c r="A200" s="30"/>
      <c r="B200" s="22" t="s">
        <v>570</v>
      </c>
      <c r="C200" s="22" t="s">
        <v>1162</v>
      </c>
      <c r="D200" s="22" t="s">
        <v>258</v>
      </c>
      <c r="E200" s="22" t="s">
        <v>2321</v>
      </c>
      <c r="F200" s="22" t="s">
        <v>694</v>
      </c>
      <c r="G200" s="22"/>
      <c r="H200" s="27"/>
    </row>
    <row r="201">
      <c r="A201" s="25"/>
      <c r="B201" s="22" t="s">
        <v>2704</v>
      </c>
      <c r="C201" s="22" t="s">
        <v>940</v>
      </c>
      <c r="D201" s="22" t="s">
        <v>937</v>
      </c>
      <c r="E201" s="22" t="s">
        <v>372</v>
      </c>
      <c r="F201" s="22" t="s">
        <v>1354</v>
      </c>
      <c r="G201" s="22"/>
      <c r="H201" s="41"/>
      <c r="I201" s="32"/>
    </row>
    <row r="202">
      <c r="A202" s="8" t="s">
        <v>2717</v>
      </c>
      <c r="B202" s="9"/>
      <c r="C202" s="9"/>
      <c r="D202" s="9"/>
      <c r="E202" s="9"/>
      <c r="F202" s="9"/>
      <c r="G202" s="9"/>
      <c r="H202" s="9"/>
      <c r="I202" s="34"/>
    </row>
    <row r="203">
      <c r="A203" s="10" t="s">
        <v>5</v>
      </c>
      <c r="B203" s="11" t="s">
        <v>2719</v>
      </c>
      <c r="C203" s="9"/>
      <c r="D203" s="9"/>
      <c r="E203" s="9"/>
      <c r="F203" s="9"/>
      <c r="G203" s="9"/>
      <c r="H203" s="9"/>
      <c r="I203" s="13"/>
    </row>
    <row r="204" ht="60.0" customHeight="1">
      <c r="A204" s="15" t="s">
        <v>16</v>
      </c>
      <c r="B204" s="22" t="str">
        <f t="array" ref="B204">iferror(VLOOKUP(INDIRECT(ADDRESS(ROW()+1,COLUMN(), 4)),Dex!$A$2:$C526,3,false),"")</f>
        <v/>
      </c>
      <c r="C204" s="22" t="str">
        <f t="array" ref="C204">iferror(VLOOKUP(INDIRECT(ADDRESS(ROW()+1,COLUMN(), 4)),Dex!$A$2:$C526,3,false),"")</f>
        <v/>
      </c>
      <c r="D204" s="22" t="str">
        <f t="array" ref="D204">iferror(VLOOKUP(INDIRECT(ADDRESS(ROW()+1,COLUMN(), 4)),Dex!$A$2:$C526,3,false),"")</f>
        <v/>
      </c>
      <c r="E204" s="22" t="str">
        <f t="array" ref="E204">iferror(VLOOKUP(INDIRECT(ADDRESS(ROW()+1,COLUMN(), 4)),Dex!$A$2:$C526,3,false),"")</f>
        <v/>
      </c>
      <c r="F204" s="22" t="str">
        <f t="array" ref="F204">iferror(VLOOKUP(INDIRECT(ADDRESS(ROW()+1,COLUMN(), 4)),Dex!$A$2:$C526,3,false),"")</f>
        <v/>
      </c>
      <c r="G204" s="22" t="str">
        <f t="array" ref="G204">iferror(VLOOKUP(INDIRECT(ADDRESS(ROW()+1,COLUMN(), 4)),Dex!$A$2:$C526,3,false),"")</f>
        <v/>
      </c>
      <c r="H204" s="23" t="str">
        <f t="array" ref="H204">iferror(VLOOKUP("TRAINER_PIC_Magma_Admin_F",Sprites!$A$1:$B526,2,false),"")</f>
        <v/>
      </c>
      <c r="I204" s="24"/>
    </row>
    <row r="205">
      <c r="A205" s="25"/>
      <c r="B205" s="26" t="s">
        <v>470</v>
      </c>
      <c r="C205" s="26" t="s">
        <v>336</v>
      </c>
      <c r="D205" s="26" t="s">
        <v>1076</v>
      </c>
      <c r="E205" s="26" t="s">
        <v>2729</v>
      </c>
      <c r="F205" s="26" t="s">
        <v>2454</v>
      </c>
      <c r="G205" s="26" t="s">
        <v>782</v>
      </c>
      <c r="H205" s="27"/>
    </row>
    <row r="206">
      <c r="A206" s="10" t="s">
        <v>199</v>
      </c>
      <c r="B206" s="22">
        <v>71.0</v>
      </c>
      <c r="C206" s="22">
        <v>70.0</v>
      </c>
      <c r="D206" s="22">
        <v>70.0</v>
      </c>
      <c r="E206" s="22">
        <v>70.0</v>
      </c>
      <c r="F206" s="22">
        <v>70.0</v>
      </c>
      <c r="G206" s="22">
        <v>72.0</v>
      </c>
      <c r="H206" s="27"/>
    </row>
    <row r="207">
      <c r="A207" s="10" t="s">
        <v>201</v>
      </c>
      <c r="B207" s="29" t="s">
        <v>346</v>
      </c>
      <c r="C207" s="29" t="s">
        <v>2493</v>
      </c>
      <c r="D207" s="29" t="s">
        <v>1429</v>
      </c>
      <c r="E207" s="29" t="s">
        <v>1635</v>
      </c>
      <c r="F207" s="29" t="s">
        <v>206</v>
      </c>
      <c r="G207" s="29" t="s">
        <v>2455</v>
      </c>
      <c r="H207" s="28"/>
    </row>
    <row r="208">
      <c r="A208" s="10" t="s">
        <v>209</v>
      </c>
      <c r="B208" s="22" t="s">
        <v>1060</v>
      </c>
      <c r="C208" s="22" t="s">
        <v>1950</v>
      </c>
      <c r="D208" s="22" t="s">
        <v>2437</v>
      </c>
      <c r="E208" s="22" t="s">
        <v>2361</v>
      </c>
      <c r="F208" s="22" t="s">
        <v>2368</v>
      </c>
      <c r="G208" s="22" t="s">
        <v>352</v>
      </c>
      <c r="H208" s="27"/>
    </row>
    <row r="209">
      <c r="A209" s="10" t="s">
        <v>215</v>
      </c>
      <c r="B209" s="29" t="s">
        <v>419</v>
      </c>
      <c r="C209" s="29" t="s">
        <v>1346</v>
      </c>
      <c r="D209" s="29" t="s">
        <v>220</v>
      </c>
      <c r="E209" s="29" t="s">
        <v>419</v>
      </c>
      <c r="F209" s="29" t="s">
        <v>231</v>
      </c>
      <c r="G209" s="29" t="s">
        <v>685</v>
      </c>
      <c r="H209" s="27"/>
    </row>
    <row r="210">
      <c r="A210" s="15" t="s">
        <v>224</v>
      </c>
      <c r="B210" s="22" t="s">
        <v>2731</v>
      </c>
      <c r="C210" s="22" t="s">
        <v>2559</v>
      </c>
      <c r="D210" s="22" t="s">
        <v>356</v>
      </c>
      <c r="E210" s="22" t="s">
        <v>2040</v>
      </c>
      <c r="F210" s="22" t="s">
        <v>1159</v>
      </c>
      <c r="G210" s="22" t="s">
        <v>236</v>
      </c>
      <c r="H210" s="27"/>
    </row>
    <row r="211">
      <c r="A211" s="30"/>
      <c r="B211" s="22" t="s">
        <v>232</v>
      </c>
      <c r="C211" s="22" t="s">
        <v>1958</v>
      </c>
      <c r="D211" s="22" t="s">
        <v>555</v>
      </c>
      <c r="E211" s="22" t="s">
        <v>2555</v>
      </c>
      <c r="F211" s="22" t="s">
        <v>1352</v>
      </c>
      <c r="G211" s="22" t="s">
        <v>357</v>
      </c>
      <c r="H211" s="27"/>
    </row>
    <row r="212">
      <c r="A212" s="30"/>
      <c r="B212" s="22" t="s">
        <v>1664</v>
      </c>
      <c r="C212" s="22" t="s">
        <v>1953</v>
      </c>
      <c r="D212" s="22" t="s">
        <v>2608</v>
      </c>
      <c r="E212" s="22" t="s">
        <v>358</v>
      </c>
      <c r="F212" s="22" t="s">
        <v>555</v>
      </c>
      <c r="G212" s="22" t="s">
        <v>1958</v>
      </c>
      <c r="H212" s="27"/>
    </row>
    <row r="213">
      <c r="A213" s="25"/>
      <c r="B213" s="22" t="s">
        <v>1958</v>
      </c>
      <c r="C213" s="22" t="s">
        <v>246</v>
      </c>
      <c r="D213" s="22" t="s">
        <v>463</v>
      </c>
      <c r="E213" s="22" t="s">
        <v>1958</v>
      </c>
      <c r="F213" s="22" t="s">
        <v>2583</v>
      </c>
      <c r="G213" s="22" t="s">
        <v>1759</v>
      </c>
      <c r="H213" s="41"/>
      <c r="I213" s="32"/>
    </row>
    <row r="214">
      <c r="A214" s="10" t="s">
        <v>5</v>
      </c>
      <c r="B214" s="11" t="s">
        <v>2735</v>
      </c>
      <c r="C214" s="9"/>
      <c r="D214" s="9"/>
      <c r="E214" s="9"/>
      <c r="F214" s="9"/>
      <c r="G214" s="9"/>
      <c r="H214" s="9"/>
      <c r="I214" s="14"/>
    </row>
    <row r="215" ht="60.0" customHeight="1">
      <c r="A215" s="15" t="s">
        <v>16</v>
      </c>
      <c r="B215" s="22" t="str">
        <f t="array" ref="B215">iferror(VLOOKUP(INDIRECT(ADDRESS(ROW()+1,COLUMN(), 4)),Dex!$A$2:$C526,3,false),"")</f>
        <v/>
      </c>
      <c r="C215" s="22" t="str">
        <f t="array" ref="C215">iferror(VLOOKUP(INDIRECT(ADDRESS(ROW()+1,COLUMN(), 4)),Dex!$A$2:$C526,3,false),"")</f>
        <v/>
      </c>
      <c r="D215" s="22" t="str">
        <f t="array" ref="D215">iferror(VLOOKUP(INDIRECT(ADDRESS(ROW()+1,COLUMN(), 4)),Dex!$A$2:$C526,3,false),"")</f>
        <v/>
      </c>
      <c r="E215" s="22" t="str">
        <f t="array" ref="E215">iferror(VLOOKUP(INDIRECT(ADDRESS(ROW()+1,COLUMN(), 4)),Dex!$A$2:$C526,3,false),"")</f>
        <v/>
      </c>
      <c r="F215" s="22" t="str">
        <f t="array" ref="F215">iferror(VLOOKUP(INDIRECT(ADDRESS(ROW()+1,COLUMN(), 4)),Dex!$A$2:$C526,3,false),"")</f>
        <v/>
      </c>
      <c r="G215" s="22" t="str">
        <f t="array" ref="G215">iferror(VLOOKUP(INDIRECT(ADDRESS(ROW()+1,COLUMN(), 4)),Dex!$A$2:$C526,3,false),"")</f>
        <v/>
      </c>
      <c r="H215" s="23" t="str">
        <f t="array" ref="H215">iferror(VLOOKUP("TRAINER_PIC_Fisherman",Sprites!$A$1:$B526,2,false),"")</f>
        <v/>
      </c>
      <c r="I215" s="24"/>
    </row>
    <row r="216">
      <c r="A216" s="25"/>
      <c r="B216" s="26" t="s">
        <v>90</v>
      </c>
      <c r="C216" s="26" t="s">
        <v>502</v>
      </c>
      <c r="D216" s="26" t="s">
        <v>1510</v>
      </c>
      <c r="E216" s="26" t="s">
        <v>257</v>
      </c>
      <c r="F216" s="26" t="s">
        <v>1218</v>
      </c>
      <c r="G216" s="26"/>
      <c r="H216" s="27"/>
    </row>
    <row r="217">
      <c r="A217" s="10" t="s">
        <v>199</v>
      </c>
      <c r="B217" s="22">
        <v>69.0</v>
      </c>
      <c r="C217" s="22">
        <v>70.0</v>
      </c>
      <c r="D217" s="22">
        <v>70.0</v>
      </c>
      <c r="E217" s="22">
        <v>69.0</v>
      </c>
      <c r="F217" s="22">
        <v>69.0</v>
      </c>
      <c r="G217" s="22"/>
      <c r="H217" s="27"/>
    </row>
    <row r="218">
      <c r="A218" s="10" t="s">
        <v>201</v>
      </c>
      <c r="B218" s="29" t="s">
        <v>546</v>
      </c>
      <c r="C218" s="29" t="s">
        <v>206</v>
      </c>
      <c r="D218" s="29" t="s">
        <v>776</v>
      </c>
      <c r="E218" s="29" t="s">
        <v>2748</v>
      </c>
      <c r="F218" s="29" t="s">
        <v>345</v>
      </c>
      <c r="G218" s="29"/>
      <c r="H218" s="28"/>
    </row>
    <row r="219">
      <c r="A219" s="10" t="s">
        <v>209</v>
      </c>
      <c r="B219" s="22" t="s">
        <v>217</v>
      </c>
      <c r="C219" s="22" t="s">
        <v>352</v>
      </c>
      <c r="D219" s="22" t="s">
        <v>2593</v>
      </c>
      <c r="E219" s="22" t="s">
        <v>1152</v>
      </c>
      <c r="F219" s="22" t="s">
        <v>1152</v>
      </c>
      <c r="G219" s="22"/>
      <c r="H219" s="27"/>
    </row>
    <row r="220">
      <c r="A220" s="10" t="s">
        <v>215</v>
      </c>
      <c r="B220" s="29" t="s">
        <v>222</v>
      </c>
      <c r="C220" s="29" t="s">
        <v>231</v>
      </c>
      <c r="D220" s="29" t="s">
        <v>906</v>
      </c>
      <c r="E220" s="29" t="s">
        <v>231</v>
      </c>
      <c r="F220" s="29" t="s">
        <v>1346</v>
      </c>
      <c r="G220" s="29"/>
      <c r="H220" s="27"/>
    </row>
    <row r="221">
      <c r="A221" s="15" t="s">
        <v>224</v>
      </c>
      <c r="B221" s="22" t="s">
        <v>2703</v>
      </c>
      <c r="C221" s="22" t="s">
        <v>587</v>
      </c>
      <c r="D221" s="22" t="s">
        <v>2397</v>
      </c>
      <c r="E221" s="22" t="s">
        <v>241</v>
      </c>
      <c r="F221" s="22" t="s">
        <v>587</v>
      </c>
      <c r="G221" s="22"/>
      <c r="H221" s="27"/>
    </row>
    <row r="222">
      <c r="A222" s="30"/>
      <c r="B222" s="22" t="s">
        <v>474</v>
      </c>
      <c r="C222" s="22" t="s">
        <v>700</v>
      </c>
      <c r="D222" s="22" t="s">
        <v>355</v>
      </c>
      <c r="E222" s="22" t="s">
        <v>2121</v>
      </c>
      <c r="F222" s="22" t="s">
        <v>357</v>
      </c>
      <c r="G222" s="22"/>
      <c r="H222" s="27"/>
    </row>
    <row r="223">
      <c r="A223" s="30"/>
      <c r="B223" s="22" t="s">
        <v>1363</v>
      </c>
      <c r="C223" s="22" t="s">
        <v>431</v>
      </c>
      <c r="D223" s="22" t="s">
        <v>1891</v>
      </c>
      <c r="E223" s="22" t="s">
        <v>946</v>
      </c>
      <c r="F223" s="22" t="s">
        <v>1848</v>
      </c>
      <c r="G223" s="22"/>
      <c r="H223" s="27"/>
    </row>
    <row r="224">
      <c r="A224" s="25"/>
      <c r="B224" s="22" t="s">
        <v>465</v>
      </c>
      <c r="C224" s="22" t="s">
        <v>1043</v>
      </c>
      <c r="D224" s="22" t="s">
        <v>582</v>
      </c>
      <c r="E224" s="22" t="s">
        <v>258</v>
      </c>
      <c r="F224" s="22" t="s">
        <v>700</v>
      </c>
      <c r="G224" s="22"/>
      <c r="H224" s="41"/>
      <c r="I224" s="32"/>
    </row>
    <row r="225">
      <c r="A225" s="10" t="s">
        <v>5</v>
      </c>
      <c r="B225" s="11" t="s">
        <v>2749</v>
      </c>
      <c r="C225" s="9"/>
      <c r="D225" s="9"/>
      <c r="E225" s="9"/>
      <c r="F225" s="9"/>
      <c r="G225" s="9"/>
      <c r="H225" s="9"/>
      <c r="I225" s="14"/>
    </row>
    <row r="226" ht="60.0" customHeight="1">
      <c r="A226" s="15" t="s">
        <v>16</v>
      </c>
      <c r="B226" s="22" t="str">
        <f t="array" ref="B226">iferror(VLOOKUP(INDIRECT(ADDRESS(ROW()+1,COLUMN(), 4)),Dex!$A$2:$C526,3,false),"")</f>
        <v/>
      </c>
      <c r="C226" s="22" t="str">
        <f t="array" ref="C226">iferror(VLOOKUP(INDIRECT(ADDRESS(ROW()+1,COLUMN(), 4)),Dex!$A$2:$C526,3,false),"")</f>
        <v/>
      </c>
      <c r="D226" s="22" t="str">
        <f t="array" ref="D226">iferror(VLOOKUP(INDIRECT(ADDRESS(ROW()+1,COLUMN(), 4)),Dex!$A$2:$C526,3,false),"")</f>
        <v/>
      </c>
      <c r="E226" s="22" t="str">
        <f t="array" ref="E226">iferror(VLOOKUP(INDIRECT(ADDRESS(ROW()+1,COLUMN(), 4)),Dex!$A$2:$C526,3,false),"")</f>
        <v/>
      </c>
      <c r="F226" s="22" t="str">
        <f t="array" ref="F226">iferror(VLOOKUP(INDIRECT(ADDRESS(ROW()+1,COLUMN(), 4)),Dex!$A$2:$C526,3,false),"")</f>
        <v/>
      </c>
      <c r="G226" s="22" t="str">
        <f t="array" ref="G226">iferror(VLOOKUP(INDIRECT(ADDRESS(ROW()+1,COLUMN(), 4)),Dex!$A$2:$C526,3,false),"")</f>
        <v/>
      </c>
      <c r="H226" s="23" t="str">
        <f t="array" ref="H226">iferror(VLOOKUP("TRAINER_PIC_Cooltrainer_F",Sprites!$A$1:$B526,2,false),"")</f>
        <v/>
      </c>
      <c r="I226" s="24"/>
    </row>
    <row r="227">
      <c r="A227" s="25"/>
      <c r="B227" s="26" t="s">
        <v>535</v>
      </c>
      <c r="C227" s="26" t="s">
        <v>713</v>
      </c>
      <c r="D227" s="26" t="s">
        <v>633</v>
      </c>
      <c r="E227" s="26" t="s">
        <v>1100</v>
      </c>
      <c r="F227" s="26" t="s">
        <v>837</v>
      </c>
      <c r="G227" s="26"/>
      <c r="H227" s="27"/>
    </row>
    <row r="228">
      <c r="A228" s="10" t="s">
        <v>199</v>
      </c>
      <c r="B228" s="22">
        <v>69.0</v>
      </c>
      <c r="C228" s="22">
        <v>70.0</v>
      </c>
      <c r="D228" s="22">
        <v>69.0</v>
      </c>
      <c r="E228" s="22">
        <v>70.0</v>
      </c>
      <c r="F228" s="22">
        <v>70.0</v>
      </c>
      <c r="G228" s="22"/>
      <c r="H228" s="27"/>
    </row>
    <row r="229">
      <c r="A229" s="10" t="s">
        <v>201</v>
      </c>
      <c r="B229" s="29" t="s">
        <v>2748</v>
      </c>
      <c r="C229" s="29" t="s">
        <v>545</v>
      </c>
      <c r="D229" s="29" t="s">
        <v>2389</v>
      </c>
      <c r="E229" s="29" t="s">
        <v>345</v>
      </c>
      <c r="F229" s="29" t="s">
        <v>1635</v>
      </c>
      <c r="G229" s="29"/>
      <c r="H229" s="28"/>
    </row>
    <row r="230">
      <c r="A230" s="10" t="s">
        <v>209</v>
      </c>
      <c r="B230" s="22" t="s">
        <v>2101</v>
      </c>
      <c r="C230" s="22" t="s">
        <v>1152</v>
      </c>
      <c r="D230" s="22" t="s">
        <v>1152</v>
      </c>
      <c r="E230" s="22" t="s">
        <v>413</v>
      </c>
      <c r="F230" s="22" t="s">
        <v>1152</v>
      </c>
      <c r="G230" s="22"/>
      <c r="H230" s="27"/>
    </row>
    <row r="231">
      <c r="A231" s="10" t="s">
        <v>215</v>
      </c>
      <c r="B231" s="29" t="s">
        <v>231</v>
      </c>
      <c r="C231" s="29" t="s">
        <v>222</v>
      </c>
      <c r="D231" s="29" t="s">
        <v>419</v>
      </c>
      <c r="E231" s="29" t="s">
        <v>419</v>
      </c>
      <c r="F231" s="29" t="s">
        <v>231</v>
      </c>
      <c r="G231" s="29"/>
      <c r="H231" s="27"/>
    </row>
    <row r="232">
      <c r="A232" s="15" t="s">
        <v>224</v>
      </c>
      <c r="B232" s="22" t="s">
        <v>552</v>
      </c>
      <c r="C232" s="22" t="s">
        <v>584</v>
      </c>
      <c r="D232" s="22" t="s">
        <v>1955</v>
      </c>
      <c r="E232" s="22" t="s">
        <v>694</v>
      </c>
      <c r="F232" s="22" t="s">
        <v>561</v>
      </c>
      <c r="G232" s="22"/>
      <c r="H232" s="27"/>
    </row>
    <row r="233">
      <c r="A233" s="30"/>
      <c r="B233" s="22" t="s">
        <v>227</v>
      </c>
      <c r="C233" s="22" t="s">
        <v>577</v>
      </c>
      <c r="D233" s="22" t="s">
        <v>2397</v>
      </c>
      <c r="E233" s="22" t="s">
        <v>814</v>
      </c>
      <c r="F233" s="22" t="s">
        <v>927</v>
      </c>
      <c r="G233" s="22"/>
      <c r="H233" s="27"/>
    </row>
    <row r="234">
      <c r="A234" s="30"/>
      <c r="B234" s="22" t="s">
        <v>587</v>
      </c>
      <c r="C234" s="22" t="s">
        <v>234</v>
      </c>
      <c r="D234" s="22" t="s">
        <v>2115</v>
      </c>
      <c r="E234" s="22" t="s">
        <v>238</v>
      </c>
      <c r="F234" s="22" t="s">
        <v>555</v>
      </c>
      <c r="G234" s="22"/>
      <c r="H234" s="27"/>
    </row>
    <row r="235">
      <c r="A235" s="25"/>
      <c r="B235" s="22" t="s">
        <v>951</v>
      </c>
      <c r="C235" s="22" t="s">
        <v>926</v>
      </c>
      <c r="D235" s="22" t="s">
        <v>1562</v>
      </c>
      <c r="E235" s="22" t="s">
        <v>2419</v>
      </c>
      <c r="F235" s="22" t="s">
        <v>549</v>
      </c>
      <c r="G235" s="22"/>
      <c r="H235" s="41"/>
      <c r="I235" s="32"/>
    </row>
    <row r="236">
      <c r="A236" s="10" t="s">
        <v>5</v>
      </c>
      <c r="B236" s="11" t="s">
        <v>2758</v>
      </c>
      <c r="C236" s="9"/>
      <c r="D236" s="9"/>
      <c r="E236" s="9"/>
      <c r="F236" s="9"/>
      <c r="G236" s="9"/>
      <c r="H236" s="9"/>
      <c r="I236" s="14"/>
    </row>
    <row r="237" ht="60.0" customHeight="1">
      <c r="A237" s="15" t="s">
        <v>16</v>
      </c>
      <c r="B237" s="22" t="str">
        <f t="array" ref="B237">iferror(VLOOKUP(INDIRECT(ADDRESS(ROW()+1,COLUMN(), 4)),Dex!$A$2:$C526,3,false),"")</f>
        <v/>
      </c>
      <c r="C237" s="22" t="str">
        <f t="array" ref="C237">iferror(VLOOKUP(INDIRECT(ADDRESS(ROW()+1,COLUMN(), 4)),Dex!$A$2:$C526,3,false),"")</f>
        <v/>
      </c>
      <c r="D237" s="22" t="str">
        <f t="array" ref="D237">iferror(VLOOKUP(INDIRECT(ADDRESS(ROW()+1,COLUMN(), 4)),Dex!$A$2:$C526,3,false),"")</f>
        <v/>
      </c>
      <c r="E237" s="22" t="str">
        <f t="array" ref="E237">iferror(VLOOKUP(INDIRECT(ADDRESS(ROW()+1,COLUMN(), 4)),Dex!$A$2:$C526,3,false),"")</f>
        <v/>
      </c>
      <c r="F237" s="22" t="str">
        <f t="array" ref="F237">iferror(VLOOKUP(INDIRECT(ADDRESS(ROW()+1,COLUMN(), 4)),Dex!$A$2:$C526,3,false),"")</f>
        <v/>
      </c>
      <c r="G237" s="22" t="str">
        <f t="array" ref="G237">iferror(VLOOKUP(INDIRECT(ADDRESS(ROW()+1,COLUMN(), 4)),Dex!$A$2:$C526,3,false),"")</f>
        <v/>
      </c>
      <c r="H237" s="23" t="str">
        <f t="array" ref="H237">iferror(VLOOKUP("TRAINER_PIC_Picnicker",Sprites!$A$1:$B526,2,false),"")</f>
        <v/>
      </c>
      <c r="I237" s="24"/>
    </row>
    <row r="238">
      <c r="A238" s="25"/>
      <c r="B238" s="26" t="s">
        <v>1308</v>
      </c>
      <c r="C238" s="26" t="s">
        <v>2155</v>
      </c>
      <c r="D238" s="26" t="s">
        <v>318</v>
      </c>
      <c r="E238" s="26" t="s">
        <v>1901</v>
      </c>
      <c r="F238" s="26" t="s">
        <v>1070</v>
      </c>
      <c r="G238" s="26"/>
      <c r="H238" s="27"/>
    </row>
    <row r="239">
      <c r="A239" s="10" t="s">
        <v>199</v>
      </c>
      <c r="B239" s="22">
        <v>70.0</v>
      </c>
      <c r="C239" s="22">
        <v>69.0</v>
      </c>
      <c r="D239" s="22">
        <v>70.0</v>
      </c>
      <c r="E239" s="22">
        <v>70.0</v>
      </c>
      <c r="F239" s="22">
        <v>71.0</v>
      </c>
      <c r="G239" s="22"/>
      <c r="H239" s="27"/>
    </row>
    <row r="240">
      <c r="A240" s="10" t="s">
        <v>201</v>
      </c>
      <c r="B240" s="29" t="s">
        <v>2520</v>
      </c>
      <c r="C240" s="29" t="s">
        <v>1213</v>
      </c>
      <c r="D240" s="29" t="s">
        <v>1521</v>
      </c>
      <c r="E240" s="29" t="s">
        <v>344</v>
      </c>
      <c r="F240" s="29" t="s">
        <v>2764</v>
      </c>
      <c r="G240" s="29"/>
      <c r="H240" s="28"/>
    </row>
    <row r="241">
      <c r="A241" s="10" t="s">
        <v>209</v>
      </c>
      <c r="B241" s="22" t="s">
        <v>2523</v>
      </c>
      <c r="C241" s="22" t="s">
        <v>1448</v>
      </c>
      <c r="D241" s="22" t="s">
        <v>2203</v>
      </c>
      <c r="E241" s="22" t="s">
        <v>2522</v>
      </c>
      <c r="F241" s="22" t="s">
        <v>2523</v>
      </c>
      <c r="G241" s="22"/>
      <c r="H241" s="27"/>
    </row>
    <row r="242">
      <c r="A242" s="10" t="s">
        <v>215</v>
      </c>
      <c r="B242" s="29" t="s">
        <v>419</v>
      </c>
      <c r="C242" s="29" t="s">
        <v>231</v>
      </c>
      <c r="D242" s="29" t="s">
        <v>220</v>
      </c>
      <c r="E242" s="29" t="s">
        <v>231</v>
      </c>
      <c r="F242" s="29" t="s">
        <v>222</v>
      </c>
      <c r="G242" s="29"/>
      <c r="H242" s="27"/>
    </row>
    <row r="243">
      <c r="A243" s="15" t="s">
        <v>224</v>
      </c>
      <c r="B243" s="22" t="s">
        <v>1363</v>
      </c>
      <c r="C243" s="22" t="s">
        <v>2640</v>
      </c>
      <c r="D243" s="22" t="s">
        <v>1453</v>
      </c>
      <c r="E243" s="22" t="s">
        <v>1549</v>
      </c>
      <c r="F243" s="22" t="s">
        <v>805</v>
      </c>
      <c r="G243" s="22"/>
      <c r="H243" s="27"/>
    </row>
    <row r="244">
      <c r="A244" s="30"/>
      <c r="B244" s="22" t="s">
        <v>1348</v>
      </c>
      <c r="C244" s="22" t="s">
        <v>2387</v>
      </c>
      <c r="D244" s="22" t="s">
        <v>587</v>
      </c>
      <c r="E244" s="22" t="s">
        <v>2268</v>
      </c>
      <c r="F244" s="22" t="s">
        <v>1363</v>
      </c>
      <c r="G244" s="22"/>
      <c r="H244" s="27"/>
    </row>
    <row r="245">
      <c r="A245" s="30"/>
      <c r="B245" s="22" t="s">
        <v>1366</v>
      </c>
      <c r="C245" s="22" t="s">
        <v>356</v>
      </c>
      <c r="D245" s="22" t="s">
        <v>2022</v>
      </c>
      <c r="E245" s="22" t="s">
        <v>796</v>
      </c>
      <c r="F245" s="22" t="s">
        <v>582</v>
      </c>
      <c r="G245" s="22"/>
      <c r="H245" s="27"/>
    </row>
    <row r="246">
      <c r="A246" s="25"/>
      <c r="B246" s="22" t="s">
        <v>1356</v>
      </c>
      <c r="C246" s="22" t="s">
        <v>917</v>
      </c>
      <c r="D246" s="22" t="s">
        <v>1542</v>
      </c>
      <c r="E246" s="22" t="s">
        <v>227</v>
      </c>
      <c r="F246" s="22" t="s">
        <v>2328</v>
      </c>
      <c r="G246" s="22"/>
      <c r="H246" s="41"/>
      <c r="I246" s="32"/>
    </row>
    <row r="247">
      <c r="A247" s="10" t="s">
        <v>5</v>
      </c>
      <c r="B247" s="11" t="s">
        <v>2765</v>
      </c>
      <c r="C247" s="9"/>
      <c r="D247" s="9"/>
      <c r="E247" s="9"/>
      <c r="F247" s="9"/>
      <c r="G247" s="9"/>
      <c r="H247" s="9"/>
      <c r="I247" s="14"/>
    </row>
    <row r="248" ht="60.0" customHeight="1">
      <c r="A248" s="15" t="s">
        <v>16</v>
      </c>
      <c r="B248" s="22" t="str">
        <f t="array" ref="B248">iferror(VLOOKUP(INDIRECT(ADDRESS(ROW()+1,COLUMN(), 4)),Dex!$A$2:$C526,3,false),"")</f>
        <v/>
      </c>
      <c r="C248" s="22" t="str">
        <f t="array" ref="C248">iferror(VLOOKUP(INDIRECT(ADDRESS(ROW()+1,COLUMN(), 4)),Dex!$A$2:$C526,3,false),"")</f>
        <v/>
      </c>
      <c r="D248" s="22" t="str">
        <f t="array" ref="D248">iferror(VLOOKUP(INDIRECT(ADDRESS(ROW()+1,COLUMN(), 4)),Dex!$A$2:$C526,3,false),"")</f>
        <v/>
      </c>
      <c r="E248" s="22" t="str">
        <f t="array" ref="E248">iferror(VLOOKUP(INDIRECT(ADDRESS(ROW()+1,COLUMN(), 4)),Dex!$A$2:$C526,3,false),"")</f>
        <v/>
      </c>
      <c r="F248" s="22" t="str">
        <f t="array" ref="F248">iferror(VLOOKUP(INDIRECT(ADDRESS(ROW()+1,COLUMN(), 4)),Dex!$A$2:$C526,3,false),"")</f>
        <v/>
      </c>
      <c r="G248" s="22" t="str">
        <f t="array" ref="G248">iferror(VLOOKUP(INDIRECT(ADDRESS(ROW()+1,COLUMN(), 4)),Dex!$A$2:$C526,3,false),"")</f>
        <v/>
      </c>
      <c r="H248" s="23" t="str">
        <f t="array" ref="H248">iferror(VLOOKUP("TRAINER_PIC_SR_AND_JR",Sprites!$A$1:$B526,2,false),"")</f>
        <v/>
      </c>
      <c r="I248" s="24"/>
    </row>
    <row r="249">
      <c r="A249" s="25"/>
      <c r="B249" s="26" t="s">
        <v>1377</v>
      </c>
      <c r="C249" s="26" t="s">
        <v>1019</v>
      </c>
      <c r="D249" s="26" t="s">
        <v>1606</v>
      </c>
      <c r="E249" s="26" t="s">
        <v>332</v>
      </c>
      <c r="F249" s="26" t="s">
        <v>1093</v>
      </c>
      <c r="G249" s="26"/>
      <c r="H249" s="27"/>
    </row>
    <row r="250">
      <c r="A250" s="10" t="s">
        <v>199</v>
      </c>
      <c r="B250" s="22">
        <v>69.0</v>
      </c>
      <c r="C250" s="22">
        <v>70.0</v>
      </c>
      <c r="D250" s="22">
        <v>70.0</v>
      </c>
      <c r="E250" s="22">
        <v>69.0</v>
      </c>
      <c r="F250" s="22">
        <v>70.0</v>
      </c>
      <c r="G250" s="22"/>
      <c r="H250" s="27"/>
    </row>
    <row r="251">
      <c r="A251" s="10" t="s">
        <v>201</v>
      </c>
      <c r="B251" s="29" t="s">
        <v>408</v>
      </c>
      <c r="C251" s="29" t="s">
        <v>2410</v>
      </c>
      <c r="D251" s="29" t="s">
        <v>2410</v>
      </c>
      <c r="E251" s="29" t="s">
        <v>1014</v>
      </c>
      <c r="F251" s="29" t="s">
        <v>2778</v>
      </c>
      <c r="G251" s="29"/>
      <c r="H251" s="28"/>
    </row>
    <row r="252">
      <c r="A252" s="10" t="s">
        <v>209</v>
      </c>
      <c r="B252" s="22" t="s">
        <v>1763</v>
      </c>
      <c r="C252" s="22" t="s">
        <v>219</v>
      </c>
      <c r="D252" s="22" t="s">
        <v>2767</v>
      </c>
      <c r="E252" s="22" t="s">
        <v>648</v>
      </c>
      <c r="F252" s="22" t="s">
        <v>2779</v>
      </c>
      <c r="G252" s="22"/>
      <c r="H252" s="27"/>
    </row>
    <row r="253">
      <c r="A253" s="10" t="s">
        <v>215</v>
      </c>
      <c r="B253" s="29" t="s">
        <v>419</v>
      </c>
      <c r="C253" s="29" t="s">
        <v>222</v>
      </c>
      <c r="D253" s="29" t="s">
        <v>222</v>
      </c>
      <c r="E253" s="29" t="s">
        <v>419</v>
      </c>
      <c r="F253" s="29" t="s">
        <v>419</v>
      </c>
      <c r="G253" s="29"/>
      <c r="H253" s="27"/>
    </row>
    <row r="254">
      <c r="A254" s="15" t="s">
        <v>224</v>
      </c>
      <c r="B254" s="22" t="s">
        <v>2780</v>
      </c>
      <c r="C254" s="22" t="s">
        <v>2780</v>
      </c>
      <c r="D254" s="22" t="s">
        <v>2780</v>
      </c>
      <c r="E254" s="22" t="s">
        <v>2780</v>
      </c>
      <c r="F254" s="22" t="s">
        <v>2780</v>
      </c>
      <c r="G254" s="22"/>
      <c r="H254" s="27"/>
    </row>
    <row r="255">
      <c r="A255" s="30"/>
      <c r="B255" s="22" t="s">
        <v>1437</v>
      </c>
      <c r="C255" s="22" t="s">
        <v>2781</v>
      </c>
      <c r="D255" s="22" t="s">
        <v>1873</v>
      </c>
      <c r="E255" s="22" t="s">
        <v>238</v>
      </c>
      <c r="F255" s="22" t="s">
        <v>815</v>
      </c>
      <c r="G255" s="22"/>
      <c r="H255" s="27"/>
    </row>
    <row r="256">
      <c r="A256" s="30"/>
      <c r="B256" s="22" t="s">
        <v>1655</v>
      </c>
      <c r="C256" s="22" t="s">
        <v>1873</v>
      </c>
      <c r="D256" s="22" t="s">
        <v>697</v>
      </c>
      <c r="E256" s="22" t="s">
        <v>2782</v>
      </c>
      <c r="F256" s="22" t="s">
        <v>1873</v>
      </c>
      <c r="G256" s="22"/>
      <c r="H256" s="27"/>
    </row>
    <row r="257">
      <c r="A257" s="25"/>
      <c r="B257" s="22" t="s">
        <v>582</v>
      </c>
      <c r="C257" s="22" t="s">
        <v>357</v>
      </c>
      <c r="D257" s="22" t="s">
        <v>1436</v>
      </c>
      <c r="E257" s="22" t="s">
        <v>1761</v>
      </c>
      <c r="F257" s="22" t="s">
        <v>2550</v>
      </c>
      <c r="G257" s="22"/>
      <c r="H257" s="41"/>
      <c r="I257" s="32"/>
    </row>
    <row r="258">
      <c r="A258" s="10" t="s">
        <v>5</v>
      </c>
      <c r="B258" s="11" t="s">
        <v>2783</v>
      </c>
      <c r="C258" s="9"/>
      <c r="D258" s="9"/>
      <c r="E258" s="9"/>
      <c r="F258" s="9"/>
      <c r="G258" s="9"/>
      <c r="H258" s="9"/>
      <c r="I258" s="13"/>
    </row>
    <row r="259" ht="60.0" customHeight="1">
      <c r="A259" s="15" t="s">
        <v>16</v>
      </c>
      <c r="B259" s="22" t="str">
        <f t="array" ref="B259">iferror(VLOOKUP(INDIRECT(ADDRESS(ROW()+1,COLUMN(), 4)),Dex!$A$2:$C526,3,false),"")</f>
        <v/>
      </c>
      <c r="C259" s="22" t="str">
        <f t="array" ref="C259">iferror(VLOOKUP(INDIRECT(ADDRESS(ROW()+1,COLUMN(), 4)),Dex!$A$2:$C526,3,false),"")</f>
        <v/>
      </c>
      <c r="D259" s="22" t="str">
        <f t="array" ref="D259">iferror(VLOOKUP(INDIRECT(ADDRESS(ROW()+1,COLUMN(), 4)),Dex!$A$2:$C526,3,false),"")</f>
        <v/>
      </c>
      <c r="E259" s="22" t="str">
        <f t="array" ref="E259">iferror(VLOOKUP(INDIRECT(ADDRESS(ROW()+1,COLUMN(), 4)),Dex!$A$2:$C526,3,false),"")</f>
        <v/>
      </c>
      <c r="F259" s="22" t="str">
        <f t="array" ref="F259">iferror(VLOOKUP(INDIRECT(ADDRESS(ROW()+1,COLUMN(), 4)),Dex!$A$2:$C526,3,false),"")</f>
        <v/>
      </c>
      <c r="G259" s="22" t="str">
        <f t="array" ref="G259">iferror(VLOOKUP(INDIRECT(ADDRESS(ROW()+1,COLUMN(), 4)),Dex!$A$2:$C526,3,false),"")</f>
        <v/>
      </c>
      <c r="H259" s="23" t="str">
        <f t="array" ref="H259">iferror(VLOOKUP("TRAINER_PIC_Pokemaniac",Sprites!$A$1:$B526,2,false),"")</f>
        <v/>
      </c>
      <c r="I259" s="24"/>
    </row>
    <row r="260">
      <c r="A260" s="25"/>
      <c r="B260" s="26" t="s">
        <v>992</v>
      </c>
      <c r="C260" s="26" t="s">
        <v>1712</v>
      </c>
      <c r="D260" s="26" t="s">
        <v>1835</v>
      </c>
      <c r="E260" s="26"/>
      <c r="F260" s="26"/>
      <c r="G260" s="26"/>
      <c r="H260" s="27"/>
    </row>
    <row r="261">
      <c r="A261" s="10" t="s">
        <v>199</v>
      </c>
      <c r="B261" s="22">
        <v>69.0</v>
      </c>
      <c r="C261" s="22">
        <v>70.0</v>
      </c>
      <c r="D261" s="22">
        <v>69.0</v>
      </c>
      <c r="E261" s="22"/>
      <c r="F261" s="22"/>
      <c r="G261" s="22"/>
      <c r="H261" s="27"/>
    </row>
    <row r="262">
      <c r="A262" s="10" t="s">
        <v>201</v>
      </c>
      <c r="B262" s="29" t="s">
        <v>1926</v>
      </c>
      <c r="C262" s="29" t="s">
        <v>1122</v>
      </c>
      <c r="D262" s="29" t="s">
        <v>1427</v>
      </c>
      <c r="E262" s="29"/>
      <c r="F262" s="29"/>
      <c r="G262" s="29"/>
      <c r="H262" s="28"/>
    </row>
    <row r="263">
      <c r="A263" s="10" t="s">
        <v>209</v>
      </c>
      <c r="B263" s="22" t="s">
        <v>413</v>
      </c>
      <c r="C263" s="22" t="s">
        <v>2796</v>
      </c>
      <c r="D263" s="22" t="s">
        <v>1525</v>
      </c>
      <c r="E263" s="22"/>
      <c r="F263" s="22"/>
      <c r="G263" s="22"/>
      <c r="H263" s="27"/>
    </row>
    <row r="264">
      <c r="A264" s="10" t="s">
        <v>215</v>
      </c>
      <c r="B264" s="29" t="s">
        <v>419</v>
      </c>
      <c r="C264" s="29" t="s">
        <v>220</v>
      </c>
      <c r="D264" s="29" t="s">
        <v>222</v>
      </c>
      <c r="E264" s="29"/>
      <c r="F264" s="29"/>
      <c r="G264" s="29"/>
      <c r="H264" s="27"/>
    </row>
    <row r="265">
      <c r="A265" s="15" t="s">
        <v>224</v>
      </c>
      <c r="B265" s="22" t="s">
        <v>815</v>
      </c>
      <c r="C265" s="22" t="s">
        <v>1127</v>
      </c>
      <c r="D265" s="22" t="s">
        <v>2397</v>
      </c>
      <c r="E265" s="22"/>
      <c r="F265" s="22"/>
      <c r="G265" s="22"/>
      <c r="H265" s="27"/>
    </row>
    <row r="266">
      <c r="A266" s="30"/>
      <c r="B266" s="22" t="s">
        <v>920</v>
      </c>
      <c r="C266" s="22" t="s">
        <v>1457</v>
      </c>
      <c r="D266" s="22" t="s">
        <v>2797</v>
      </c>
      <c r="E266" s="22"/>
      <c r="F266" s="22"/>
      <c r="G266" s="22"/>
      <c r="H266" s="27"/>
    </row>
    <row r="267">
      <c r="A267" s="30"/>
      <c r="B267" s="22" t="s">
        <v>701</v>
      </c>
      <c r="C267" s="22" t="s">
        <v>356</v>
      </c>
      <c r="D267" s="22" t="s">
        <v>367</v>
      </c>
      <c r="E267" s="22"/>
      <c r="F267" s="22"/>
      <c r="G267" s="22"/>
      <c r="H267" s="27"/>
    </row>
    <row r="268">
      <c r="A268" s="25"/>
      <c r="B268" s="22" t="s">
        <v>2370</v>
      </c>
      <c r="C268" s="22" t="s">
        <v>2049</v>
      </c>
      <c r="D268" s="22" t="s">
        <v>2798</v>
      </c>
      <c r="E268" s="22"/>
      <c r="F268" s="22"/>
      <c r="G268" s="22"/>
      <c r="H268" s="41"/>
      <c r="I268" s="32"/>
    </row>
    <row r="269">
      <c r="A269" s="10" t="s">
        <v>5</v>
      </c>
      <c r="B269" s="11" t="s">
        <v>2799</v>
      </c>
      <c r="C269" s="9"/>
      <c r="D269" s="9"/>
      <c r="E269" s="9"/>
      <c r="F269" s="9"/>
      <c r="G269" s="9"/>
      <c r="H269" s="9"/>
      <c r="I269" s="14"/>
    </row>
    <row r="270" ht="60.0" customHeight="1">
      <c r="A270" s="15" t="s">
        <v>16</v>
      </c>
      <c r="B270" s="22" t="str">
        <f t="array" ref="B270">iferror(VLOOKUP(INDIRECT(ADDRESS(ROW()+1,COLUMN(), 4)),Dex!$A$2:$C526,3,false),"")</f>
        <v/>
      </c>
      <c r="C270" s="22" t="str">
        <f t="array" ref="C270">iferror(VLOOKUP(INDIRECT(ADDRESS(ROW()+1,COLUMN(), 4)),Dex!$A$2:$C526,3,false),"")</f>
        <v/>
      </c>
      <c r="D270" s="22" t="str">
        <f t="array" ref="D270">iferror(VLOOKUP(INDIRECT(ADDRESS(ROW()+1,COLUMN(), 4)),Dex!$A$2:$C526,3,false),"")</f>
        <v/>
      </c>
      <c r="E270" s="22" t="str">
        <f t="array" ref="E270">iferror(VLOOKUP(INDIRECT(ADDRESS(ROW()+1,COLUMN(), 4)),Dex!$A$2:$C526,3,false),"")</f>
        <v/>
      </c>
      <c r="F270" s="22" t="str">
        <f t="array" ref="F270">iferror(VLOOKUP(INDIRECT(ADDRESS(ROW()+1,COLUMN(), 4)),Dex!$A$2:$C526,3,false),"")</f>
        <v/>
      </c>
      <c r="G270" s="22" t="str">
        <f t="array" ref="G270">iferror(VLOOKUP(INDIRECT(ADDRESS(ROW()+1,COLUMN(), 4)),Dex!$A$2:$C526,3,false),"")</f>
        <v/>
      </c>
      <c r="H270" s="23" t="str">
        <f t="array" ref="H270">iferror(VLOOKUP("TRAINER_PIC_Kindler",Sprites!$A$1:$B526,2,false),"")</f>
        <v/>
      </c>
      <c r="I270" s="24"/>
    </row>
    <row r="271">
      <c r="A271" s="25"/>
      <c r="B271" s="26" t="s">
        <v>498</v>
      </c>
      <c r="C271" s="26" t="s">
        <v>423</v>
      </c>
      <c r="D271" s="26" t="s">
        <v>2084</v>
      </c>
      <c r="E271" s="26"/>
      <c r="F271" s="26"/>
      <c r="G271" s="26"/>
      <c r="H271" s="27"/>
    </row>
    <row r="272">
      <c r="A272" s="10" t="s">
        <v>199</v>
      </c>
      <c r="B272" s="22">
        <v>69.0</v>
      </c>
      <c r="C272" s="22">
        <v>69.0</v>
      </c>
      <c r="D272" s="22">
        <v>70.0</v>
      </c>
      <c r="E272" s="22"/>
      <c r="F272" s="22"/>
      <c r="G272" s="22"/>
      <c r="H272" s="27"/>
    </row>
    <row r="273">
      <c r="A273" s="10" t="s">
        <v>201</v>
      </c>
      <c r="B273" s="29" t="s">
        <v>2313</v>
      </c>
      <c r="C273" s="29" t="s">
        <v>2474</v>
      </c>
      <c r="D273" s="29" t="s">
        <v>645</v>
      </c>
      <c r="E273" s="29"/>
      <c r="F273" s="29"/>
      <c r="G273" s="29"/>
      <c r="H273" s="28"/>
    </row>
    <row r="274">
      <c r="A274" s="10" t="s">
        <v>209</v>
      </c>
      <c r="B274" s="22" t="s">
        <v>2354</v>
      </c>
      <c r="C274" s="22" t="s">
        <v>219</v>
      </c>
      <c r="D274" s="22" t="s">
        <v>2360</v>
      </c>
      <c r="E274" s="22"/>
      <c r="F274" s="22"/>
      <c r="G274" s="22"/>
      <c r="H274" s="27"/>
    </row>
    <row r="275">
      <c r="A275" s="10" t="s">
        <v>215</v>
      </c>
      <c r="B275" s="29" t="s">
        <v>419</v>
      </c>
      <c r="C275" s="29" t="s">
        <v>222</v>
      </c>
      <c r="D275" s="29" t="s">
        <v>231</v>
      </c>
      <c r="E275" s="29"/>
      <c r="F275" s="29"/>
      <c r="G275" s="29"/>
      <c r="H275" s="27"/>
    </row>
    <row r="276">
      <c r="A276" s="15" t="s">
        <v>224</v>
      </c>
      <c r="B276" s="22" t="s">
        <v>246</v>
      </c>
      <c r="C276" s="22" t="s">
        <v>2115</v>
      </c>
      <c r="D276" s="22" t="s">
        <v>808</v>
      </c>
      <c r="E276" s="22"/>
      <c r="F276" s="22"/>
      <c r="G276" s="22"/>
      <c r="H276" s="27"/>
    </row>
    <row r="277">
      <c r="A277" s="30"/>
      <c r="B277" s="22" t="s">
        <v>2605</v>
      </c>
      <c r="C277" s="22" t="s">
        <v>814</v>
      </c>
      <c r="D277" s="22" t="s">
        <v>237</v>
      </c>
      <c r="E277" s="22"/>
      <c r="F277" s="22"/>
      <c r="G277" s="22"/>
      <c r="H277" s="27"/>
    </row>
    <row r="278">
      <c r="A278" s="30"/>
      <c r="B278" s="22" t="s">
        <v>1036</v>
      </c>
      <c r="C278" s="22" t="s">
        <v>2555</v>
      </c>
      <c r="D278" s="22" t="s">
        <v>254</v>
      </c>
      <c r="E278" s="22"/>
      <c r="F278" s="22"/>
      <c r="G278" s="22"/>
      <c r="H278" s="27"/>
    </row>
    <row r="279">
      <c r="A279" s="25"/>
      <c r="B279" s="22" t="s">
        <v>2731</v>
      </c>
      <c r="C279" s="22" t="s">
        <v>1891</v>
      </c>
      <c r="D279" s="22" t="s">
        <v>465</v>
      </c>
      <c r="E279" s="22"/>
      <c r="F279" s="22"/>
      <c r="G279" s="22"/>
      <c r="H279" s="41"/>
      <c r="I279" s="32"/>
    </row>
    <row r="280">
      <c r="A280" s="10" t="s">
        <v>5</v>
      </c>
      <c r="B280" s="11" t="s">
        <v>2808</v>
      </c>
      <c r="C280" s="9"/>
      <c r="D280" s="9"/>
      <c r="E280" s="9"/>
      <c r="F280" s="9"/>
      <c r="G280" s="9"/>
      <c r="H280" s="9"/>
      <c r="I280" s="14"/>
    </row>
    <row r="281" ht="60.0" customHeight="1">
      <c r="A281" s="15" t="s">
        <v>16</v>
      </c>
      <c r="B281" s="22" t="str">
        <f t="array" ref="B281">iferror(VLOOKUP(INDIRECT(ADDRESS(ROW()+1,COLUMN(), 4)),Dex!$A$2:$C526,3,false),"")</f>
        <v/>
      </c>
      <c r="C281" s="22" t="str">
        <f t="array" ref="C281">iferror(VLOOKUP(INDIRECT(ADDRESS(ROW()+1,COLUMN(), 4)),Dex!$A$2:$C526,3,false),"")</f>
        <v/>
      </c>
      <c r="D281" s="22" t="str">
        <f t="array" ref="D281">iferror(VLOOKUP(INDIRECT(ADDRESS(ROW()+1,COLUMN(), 4)),Dex!$A$2:$C526,3,false),"")</f>
        <v/>
      </c>
      <c r="E281" s="22" t="str">
        <f t="array" ref="E281">iferror(VLOOKUP(INDIRECT(ADDRESS(ROW()+1,COLUMN(), 4)),Dex!$A$2:$C526,3,false),"")</f>
        <v/>
      </c>
      <c r="F281" s="22" t="str">
        <f t="array" ref="F281">iferror(VLOOKUP(INDIRECT(ADDRESS(ROW()+1,COLUMN(), 4)),Dex!$A$2:$C526,3,false),"")</f>
        <v/>
      </c>
      <c r="G281" s="22" t="str">
        <f t="array" ref="G281">iferror(VLOOKUP(INDIRECT(ADDRESS(ROW()+1,COLUMN(), 4)),Dex!$A$2:$C526,3,false),"")</f>
        <v/>
      </c>
      <c r="H281" s="23" t="str">
        <f t="array" ref="H281">iferror(VLOOKUP("TRAINER_PIC_Hiker",Sprites!$A$1:$B526,2,false),"")</f>
        <v/>
      </c>
      <c r="I281" s="24"/>
    </row>
    <row r="282">
      <c r="A282" s="25"/>
      <c r="B282" s="26" t="s">
        <v>627</v>
      </c>
      <c r="C282" s="26"/>
      <c r="D282" s="26"/>
      <c r="E282" s="26" t="s">
        <v>1719</v>
      </c>
      <c r="F282" s="26" t="s">
        <v>723</v>
      </c>
      <c r="G282" s="26" t="s">
        <v>839</v>
      </c>
      <c r="H282" s="27"/>
    </row>
    <row r="283">
      <c r="A283" s="10" t="s">
        <v>199</v>
      </c>
      <c r="B283" s="22">
        <v>71.0</v>
      </c>
      <c r="C283" s="22"/>
      <c r="D283" s="22"/>
      <c r="E283" s="22">
        <v>69.0</v>
      </c>
      <c r="F283" s="22">
        <v>69.0</v>
      </c>
      <c r="G283" s="22">
        <v>69.0</v>
      </c>
      <c r="H283" s="27"/>
    </row>
    <row r="284">
      <c r="A284" s="10" t="s">
        <v>201</v>
      </c>
      <c r="B284" s="29" t="s">
        <v>544</v>
      </c>
      <c r="C284" s="29"/>
      <c r="D284" s="29"/>
      <c r="E284" s="29" t="s">
        <v>546</v>
      </c>
      <c r="F284" s="29" t="s">
        <v>2032</v>
      </c>
      <c r="G284" s="29" t="s">
        <v>453</v>
      </c>
      <c r="H284" s="28"/>
    </row>
    <row r="285">
      <c r="A285" s="10" t="s">
        <v>209</v>
      </c>
      <c r="B285" s="22" t="s">
        <v>538</v>
      </c>
      <c r="C285" s="22"/>
      <c r="D285" s="22"/>
      <c r="E285" s="22" t="s">
        <v>2553</v>
      </c>
      <c r="F285" s="22" t="s">
        <v>2348</v>
      </c>
      <c r="G285" s="22" t="s">
        <v>2598</v>
      </c>
      <c r="H285" s="27"/>
    </row>
    <row r="286">
      <c r="A286" s="10" t="s">
        <v>215</v>
      </c>
      <c r="B286" s="29" t="s">
        <v>904</v>
      </c>
      <c r="C286" s="29"/>
      <c r="D286" s="29"/>
      <c r="E286" s="29" t="s">
        <v>220</v>
      </c>
      <c r="F286" s="29" t="s">
        <v>419</v>
      </c>
      <c r="G286" s="29" t="s">
        <v>222</v>
      </c>
      <c r="H286" s="27"/>
    </row>
    <row r="287">
      <c r="A287" s="15" t="s">
        <v>224</v>
      </c>
      <c r="B287" s="22" t="s">
        <v>938</v>
      </c>
      <c r="C287" s="22"/>
      <c r="D287" s="22"/>
      <c r="E287" s="22" t="s">
        <v>2217</v>
      </c>
      <c r="F287" s="22" t="s">
        <v>229</v>
      </c>
      <c r="G287" s="22" t="s">
        <v>935</v>
      </c>
      <c r="H287" s="27"/>
    </row>
    <row r="288">
      <c r="A288" s="30"/>
      <c r="B288" s="22" t="s">
        <v>549</v>
      </c>
      <c r="C288" s="22"/>
      <c r="D288" s="22"/>
      <c r="E288" s="22" t="s">
        <v>2819</v>
      </c>
      <c r="F288" s="22" t="s">
        <v>2781</v>
      </c>
      <c r="G288" s="22" t="s">
        <v>1363</v>
      </c>
      <c r="H288" s="27"/>
    </row>
    <row r="289">
      <c r="A289" s="30"/>
      <c r="B289" s="22" t="s">
        <v>652</v>
      </c>
      <c r="C289" s="22"/>
      <c r="D289" s="22"/>
      <c r="E289" s="22" t="s">
        <v>1662</v>
      </c>
      <c r="F289" s="22" t="s">
        <v>1541</v>
      </c>
      <c r="G289" s="22" t="s">
        <v>367</v>
      </c>
      <c r="H289" s="27"/>
    </row>
    <row r="290">
      <c r="A290" s="25"/>
      <c r="B290" s="22" t="s">
        <v>2502</v>
      </c>
      <c r="C290" s="22"/>
      <c r="D290" s="22"/>
      <c r="E290" s="22" t="s">
        <v>946</v>
      </c>
      <c r="F290" s="22" t="s">
        <v>589</v>
      </c>
      <c r="G290" s="22" t="s">
        <v>465</v>
      </c>
      <c r="H290" s="41"/>
      <c r="I290" s="32"/>
    </row>
    <row r="291">
      <c r="A291" s="10" t="s">
        <v>5</v>
      </c>
      <c r="B291" s="11" t="s">
        <v>2821</v>
      </c>
      <c r="C291" s="9"/>
      <c r="D291" s="9"/>
      <c r="E291" s="9"/>
      <c r="F291" s="9"/>
      <c r="G291" s="9"/>
      <c r="H291" s="9"/>
      <c r="I291" s="14"/>
    </row>
    <row r="292" ht="60.0" customHeight="1">
      <c r="A292" s="15" t="s">
        <v>16</v>
      </c>
      <c r="B292" s="22" t="str">
        <f t="array" ref="B292">iferror(VLOOKUP(INDIRECT(ADDRESS(ROW()+1,COLUMN(), 4)),Dex!$A$2:$C526,3,false),"")</f>
        <v/>
      </c>
      <c r="C292" s="22" t="str">
        <f t="array" ref="C292">iferror(VLOOKUP(INDIRECT(ADDRESS(ROW()+1,COLUMN(), 4)),Dex!$A$2:$C526,3,false),"")</f>
        <v/>
      </c>
      <c r="D292" s="22" t="str">
        <f t="array" ref="D292">iferror(VLOOKUP(INDIRECT(ADDRESS(ROW()+1,COLUMN(), 4)),Dex!$A$2:$C526,3,false),"")</f>
        <v/>
      </c>
      <c r="E292" s="22" t="str">
        <f t="array" ref="E292">iferror(VLOOKUP(INDIRECT(ADDRESS(ROW()+1,COLUMN(), 4)),Dex!$A$2:$C526,3,false),"")</f>
        <v/>
      </c>
      <c r="F292" s="22" t="str">
        <f t="array" ref="F292">iferror(VLOOKUP(INDIRECT(ADDRESS(ROW()+1,COLUMN(), 4)),Dex!$A$2:$C526,3,false),"")</f>
        <v/>
      </c>
      <c r="G292" s="22" t="str">
        <f t="array" ref="G292">iferror(VLOOKUP(INDIRECT(ADDRESS(ROW()+1,COLUMN(), 4)),Dex!$A$2:$C526,3,false),"")</f>
        <v/>
      </c>
      <c r="H292" s="23" t="str">
        <f t="array" ref="H292">iferror(VLOOKUP("TRAINER_PIC_Hiker",Sprites!$A$1:$B526,2,false),"")</f>
        <v/>
      </c>
      <c r="I292" s="24"/>
    </row>
    <row r="293">
      <c r="A293" s="25"/>
      <c r="B293" s="26" t="s">
        <v>1516</v>
      </c>
      <c r="C293" s="26" t="s">
        <v>737</v>
      </c>
      <c r="D293" s="26" t="s">
        <v>136</v>
      </c>
      <c r="E293" s="26"/>
      <c r="F293" s="26"/>
      <c r="G293" s="26"/>
      <c r="H293" s="27"/>
    </row>
    <row r="294">
      <c r="A294" s="10" t="s">
        <v>199</v>
      </c>
      <c r="B294" s="22">
        <v>69.0</v>
      </c>
      <c r="C294" s="22">
        <v>70.0</v>
      </c>
      <c r="D294" s="22">
        <v>70.0</v>
      </c>
      <c r="E294" s="22"/>
      <c r="F294" s="22"/>
      <c r="G294" s="22"/>
      <c r="H294" s="27"/>
    </row>
    <row r="295">
      <c r="A295" s="10" t="s">
        <v>201</v>
      </c>
      <c r="B295" s="29" t="s">
        <v>1456</v>
      </c>
      <c r="C295" s="29" t="s">
        <v>2474</v>
      </c>
      <c r="D295" s="29" t="s">
        <v>894</v>
      </c>
      <c r="E295" s="29"/>
      <c r="F295" s="29"/>
      <c r="G295" s="29"/>
      <c r="H295" s="28"/>
    </row>
    <row r="296">
      <c r="A296" s="10" t="s">
        <v>209</v>
      </c>
      <c r="B296" s="22" t="s">
        <v>212</v>
      </c>
      <c r="C296" s="22" t="s">
        <v>2638</v>
      </c>
      <c r="D296" s="22" t="s">
        <v>1339</v>
      </c>
      <c r="E296" s="22"/>
      <c r="F296" s="22"/>
      <c r="G296" s="22"/>
      <c r="H296" s="27"/>
    </row>
    <row r="297">
      <c r="A297" s="10" t="s">
        <v>215</v>
      </c>
      <c r="B297" s="29" t="s">
        <v>231</v>
      </c>
      <c r="C297" s="29" t="s">
        <v>222</v>
      </c>
      <c r="D297" s="29" t="s">
        <v>231</v>
      </c>
      <c r="E297" s="29"/>
      <c r="F297" s="29"/>
      <c r="G297" s="29"/>
      <c r="H297" s="27"/>
    </row>
    <row r="298">
      <c r="A298" s="15" t="s">
        <v>224</v>
      </c>
      <c r="B298" s="22" t="s">
        <v>1536</v>
      </c>
      <c r="C298" s="22" t="s">
        <v>2831</v>
      </c>
      <c r="D298" s="22" t="s">
        <v>2502</v>
      </c>
      <c r="E298" s="22"/>
      <c r="F298" s="22"/>
      <c r="G298" s="22"/>
      <c r="H298" s="27"/>
    </row>
    <row r="299">
      <c r="A299" s="30"/>
      <c r="B299" s="22" t="s">
        <v>2798</v>
      </c>
      <c r="C299" s="22" t="s">
        <v>2332</v>
      </c>
      <c r="D299" s="22" t="s">
        <v>1798</v>
      </c>
      <c r="E299" s="22"/>
      <c r="F299" s="22"/>
      <c r="G299" s="22"/>
      <c r="H299" s="27"/>
    </row>
    <row r="300">
      <c r="A300" s="30"/>
      <c r="B300" s="22" t="s">
        <v>2513</v>
      </c>
      <c r="C300" s="22" t="s">
        <v>814</v>
      </c>
      <c r="D300" s="22" t="s">
        <v>930</v>
      </c>
      <c r="E300" s="22"/>
      <c r="F300" s="22"/>
      <c r="G300" s="22"/>
      <c r="H300" s="28"/>
    </row>
    <row r="301">
      <c r="A301" s="25"/>
      <c r="B301" s="22" t="s">
        <v>366</v>
      </c>
      <c r="C301" s="22" t="s">
        <v>1363</v>
      </c>
      <c r="D301" s="22" t="s">
        <v>2109</v>
      </c>
      <c r="E301" s="22"/>
      <c r="F301" s="22"/>
      <c r="G301" s="22"/>
      <c r="H301" s="31"/>
      <c r="I301" s="32"/>
    </row>
    <row r="302">
      <c r="A302" s="8" t="s">
        <v>2833</v>
      </c>
      <c r="B302" s="9"/>
      <c r="C302" s="9"/>
      <c r="D302" s="9"/>
      <c r="E302" s="9"/>
      <c r="F302" s="9"/>
      <c r="G302" s="9"/>
      <c r="H302" s="9"/>
      <c r="I302" s="34"/>
    </row>
    <row r="303">
      <c r="A303" s="10" t="s">
        <v>5</v>
      </c>
      <c r="B303" s="11" t="s">
        <v>2834</v>
      </c>
      <c r="C303" s="9"/>
      <c r="D303" s="9"/>
      <c r="E303" s="9"/>
      <c r="F303" s="9"/>
      <c r="G303" s="9"/>
      <c r="H303" s="9"/>
      <c r="I303" s="14"/>
    </row>
    <row r="304" ht="60.0" customHeight="1">
      <c r="A304" s="15" t="s">
        <v>16</v>
      </c>
      <c r="B304" s="22" t="str">
        <f t="array" ref="B304">iferror(VLOOKUP(INDIRECT(ADDRESS(ROW()+1,COLUMN(), 4)),Dex!$A$2:$C526,3,false),"")</f>
        <v/>
      </c>
      <c r="C304" s="22" t="str">
        <f t="array" ref="C304">iferror(VLOOKUP(INDIRECT(ADDRESS(ROW()+1,COLUMN(), 4)),Dex!$A$2:$C526,3,false),"")</f>
        <v/>
      </c>
      <c r="D304" s="22" t="str">
        <f t="array" ref="D304">iferror(VLOOKUP(INDIRECT(ADDRESS(ROW()+1,COLUMN(), 4)),Dex!$A$2:$C526,3,false),"")</f>
        <v/>
      </c>
      <c r="E304" s="22" t="str">
        <f t="array" ref="E304">iferror(VLOOKUP(INDIRECT(ADDRESS(ROW()+1,COLUMN(), 4)),Dex!$A$2:$C526,3,false),"")</f>
        <v/>
      </c>
      <c r="F304" s="22" t="str">
        <f t="array" ref="F304">iferror(VLOOKUP(INDIRECT(ADDRESS(ROW()+1,COLUMN(), 4)),Dex!$A$2:$C526,3,false),"")</f>
        <v/>
      </c>
      <c r="G304" s="22" t="str">
        <f t="array" ref="G304">iferror(VLOOKUP(INDIRECT(ADDRESS(ROW()+1,COLUMN(), 4)),Dex!$A$2:$C526,3,false),"")</f>
        <v/>
      </c>
      <c r="H304" s="23" t="str">
        <f t="array" ref="H304">iferror(VLOOKUP("TRAINER_PIC_Black_Belt",Sprites!$A$1:$B526,2,false),"")</f>
        <v/>
      </c>
      <c r="I304" s="24"/>
    </row>
    <row r="305">
      <c r="A305" s="25"/>
      <c r="B305" s="26" t="s">
        <v>1379</v>
      </c>
      <c r="C305" s="26" t="s">
        <v>1212</v>
      </c>
      <c r="D305" s="26" t="s">
        <v>982</v>
      </c>
      <c r="E305" s="26"/>
      <c r="F305" s="26"/>
      <c r="G305" s="26"/>
      <c r="H305" s="28"/>
    </row>
    <row r="306">
      <c r="A306" s="10" t="s">
        <v>199</v>
      </c>
      <c r="B306" s="22">
        <v>69.0</v>
      </c>
      <c r="C306" s="22" t="s">
        <v>2839</v>
      </c>
      <c r="D306" s="22">
        <v>71.0</v>
      </c>
      <c r="E306" s="22"/>
      <c r="F306" s="22"/>
      <c r="G306" s="22"/>
      <c r="H306" s="27"/>
    </row>
    <row r="307">
      <c r="A307" s="10" t="s">
        <v>201</v>
      </c>
      <c r="B307" s="29" t="s">
        <v>1147</v>
      </c>
      <c r="C307" s="29" t="s">
        <v>645</v>
      </c>
      <c r="D307" s="29" t="s">
        <v>1636</v>
      </c>
      <c r="E307" s="29"/>
      <c r="F307" s="29"/>
      <c r="G307" s="29"/>
      <c r="H307" s="27"/>
    </row>
    <row r="308">
      <c r="A308" s="10" t="s">
        <v>209</v>
      </c>
      <c r="B308" s="22" t="s">
        <v>912</v>
      </c>
      <c r="C308" s="22" t="s">
        <v>458</v>
      </c>
      <c r="D308" s="22" t="s">
        <v>1152</v>
      </c>
      <c r="E308" s="22"/>
      <c r="F308" s="22"/>
      <c r="G308" s="22"/>
      <c r="H308" s="28"/>
    </row>
    <row r="309">
      <c r="A309" s="10" t="s">
        <v>215</v>
      </c>
      <c r="B309" s="29" t="s">
        <v>218</v>
      </c>
      <c r="C309" s="29" t="s">
        <v>220</v>
      </c>
      <c r="D309" s="29" t="s">
        <v>231</v>
      </c>
      <c r="E309" s="29"/>
      <c r="F309" s="29"/>
      <c r="G309" s="29"/>
      <c r="H309" s="27"/>
    </row>
    <row r="310">
      <c r="A310" s="15" t="s">
        <v>224</v>
      </c>
      <c r="B310" s="22" t="s">
        <v>1162</v>
      </c>
      <c r="C310" s="22" t="s">
        <v>1224</v>
      </c>
      <c r="D310" s="22" t="s">
        <v>1653</v>
      </c>
      <c r="E310" s="22"/>
      <c r="F310" s="22"/>
      <c r="G310" s="22"/>
      <c r="H310" s="27"/>
    </row>
    <row r="311">
      <c r="A311" s="30"/>
      <c r="B311" s="22" t="s">
        <v>241</v>
      </c>
      <c r="C311" s="22" t="s">
        <v>242</v>
      </c>
      <c r="D311" s="22" t="s">
        <v>467</v>
      </c>
      <c r="E311" s="22"/>
      <c r="F311" s="22"/>
      <c r="G311" s="22"/>
      <c r="H311" s="28"/>
    </row>
    <row r="312">
      <c r="A312" s="30"/>
      <c r="B312" s="22" t="s">
        <v>589</v>
      </c>
      <c r="C312" s="22" t="s">
        <v>473</v>
      </c>
      <c r="D312" s="22" t="s">
        <v>927</v>
      </c>
      <c r="E312" s="22"/>
      <c r="F312" s="22"/>
      <c r="G312" s="22"/>
      <c r="H312" s="27"/>
    </row>
    <row r="313">
      <c r="A313" s="25"/>
      <c r="B313" s="22" t="s">
        <v>1069</v>
      </c>
      <c r="C313" s="22" t="s">
        <v>2573</v>
      </c>
      <c r="D313" s="22" t="s">
        <v>432</v>
      </c>
      <c r="E313" s="22"/>
      <c r="F313" s="22"/>
      <c r="G313" s="22"/>
      <c r="H313" s="31"/>
      <c r="I313" s="32"/>
    </row>
    <row r="314">
      <c r="A314" s="10" t="s">
        <v>5</v>
      </c>
      <c r="B314" s="11" t="s">
        <v>2841</v>
      </c>
      <c r="C314" s="9"/>
      <c r="D314" s="9"/>
      <c r="E314" s="9"/>
      <c r="F314" s="9"/>
      <c r="G314" s="9"/>
      <c r="H314" s="9"/>
      <c r="I314" s="14"/>
    </row>
    <row r="315" ht="60.0" customHeight="1">
      <c r="A315" s="15" t="s">
        <v>16</v>
      </c>
      <c r="B315" s="22" t="str">
        <f t="array" ref="B315">iferror(VLOOKUP(INDIRECT(ADDRESS(ROW()+1,COLUMN(), 4)),Dex!$A$2:$C526,3,false),"")</f>
        <v/>
      </c>
      <c r="C315" s="22" t="str">
        <f t="array" ref="C315">iferror(VLOOKUP(INDIRECT(ADDRESS(ROW()+1,COLUMN(), 4)),Dex!$A$2:$C526,3,false),"")</f>
        <v/>
      </c>
      <c r="D315" s="22" t="str">
        <f t="array" ref="D315">iferror(VLOOKUP(INDIRECT(ADDRESS(ROW()+1,COLUMN(), 4)),Dex!$A$2:$C526,3,false),"")</f>
        <v/>
      </c>
      <c r="E315" s="22" t="str">
        <f t="array" ref="E315">iferror(VLOOKUP(INDIRECT(ADDRESS(ROW()+1,COLUMN(), 4)),Dex!$A$2:$C526,3,false),"")</f>
        <v/>
      </c>
      <c r="F315" s="22" t="str">
        <f t="array" ref="F315">iferror(VLOOKUP(INDIRECT(ADDRESS(ROW()+1,COLUMN(), 4)),Dex!$A$2:$C526,3,false),"")</f>
        <v/>
      </c>
      <c r="G315" s="22" t="str">
        <f t="array" ref="G315">iferror(VLOOKUP(INDIRECT(ADDRESS(ROW()+1,COLUMN(), 4)),Dex!$A$2:$C526,3,false),"")</f>
        <v/>
      </c>
      <c r="H315" s="23" t="str">
        <f t="array" ref="H315">iferror(VLOOKUP("TRAINER_PIC_Collector",Sprites!$A$1:$B526,2,false),"")</f>
        <v/>
      </c>
      <c r="I315" s="24"/>
    </row>
    <row r="316">
      <c r="A316" s="25"/>
      <c r="B316" s="26" t="s">
        <v>596</v>
      </c>
      <c r="C316" s="26"/>
      <c r="D316" s="26"/>
      <c r="E316" s="26"/>
      <c r="F316" s="26"/>
      <c r="G316" s="26"/>
      <c r="H316" s="28"/>
    </row>
    <row r="317">
      <c r="A317" s="10" t="s">
        <v>199</v>
      </c>
      <c r="B317" s="22">
        <v>72.0</v>
      </c>
      <c r="C317" s="22"/>
      <c r="D317" s="22"/>
      <c r="E317" s="22"/>
      <c r="F317" s="22"/>
      <c r="G317" s="22"/>
      <c r="H317" s="27"/>
    </row>
    <row r="318">
      <c r="A318" s="10" t="s">
        <v>201</v>
      </c>
      <c r="B318" s="29" t="s">
        <v>2474</v>
      </c>
      <c r="C318" s="29"/>
      <c r="D318" s="29"/>
      <c r="E318" s="29"/>
      <c r="F318" s="29"/>
      <c r="G318" s="29"/>
      <c r="H318" s="27"/>
    </row>
    <row r="319">
      <c r="A319" s="10" t="s">
        <v>209</v>
      </c>
      <c r="B319" s="22" t="s">
        <v>413</v>
      </c>
      <c r="C319" s="22"/>
      <c r="D319" s="22"/>
      <c r="E319" s="22"/>
      <c r="F319" s="22"/>
      <c r="G319" s="22"/>
      <c r="H319" s="28"/>
    </row>
    <row r="320">
      <c r="A320" s="10" t="s">
        <v>215</v>
      </c>
      <c r="B320" s="29" t="s">
        <v>222</v>
      </c>
      <c r="C320" s="29"/>
      <c r="D320" s="29"/>
      <c r="E320" s="29"/>
      <c r="F320" s="29"/>
      <c r="G320" s="29"/>
      <c r="H320" s="27"/>
    </row>
    <row r="321">
      <c r="A321" s="15" t="s">
        <v>224</v>
      </c>
      <c r="B321" s="22" t="s">
        <v>2793</v>
      </c>
      <c r="C321" s="22"/>
      <c r="D321" s="22"/>
      <c r="E321" s="22"/>
      <c r="F321" s="22"/>
      <c r="G321" s="22"/>
      <c r="H321" s="27"/>
    </row>
    <row r="322">
      <c r="A322" s="30"/>
      <c r="B322" s="22"/>
      <c r="C322" s="22"/>
      <c r="D322" s="22"/>
      <c r="E322" s="22"/>
      <c r="F322" s="22"/>
      <c r="G322" s="22"/>
      <c r="H322" s="28"/>
    </row>
    <row r="323">
      <c r="A323" s="30"/>
      <c r="B323" s="22"/>
      <c r="C323" s="22"/>
      <c r="D323" s="22"/>
      <c r="E323" s="22"/>
      <c r="F323" s="22"/>
      <c r="G323" s="22"/>
      <c r="H323" s="27"/>
    </row>
    <row r="324">
      <c r="A324" s="25"/>
      <c r="B324" s="22"/>
      <c r="C324" s="22"/>
      <c r="D324" s="22"/>
      <c r="E324" s="22"/>
      <c r="F324" s="22"/>
      <c r="G324" s="22"/>
      <c r="H324" s="31"/>
      <c r="I324" s="32"/>
    </row>
    <row r="325">
      <c r="A325" s="10" t="s">
        <v>5</v>
      </c>
      <c r="B325" s="11" t="s">
        <v>2856</v>
      </c>
      <c r="C325" s="9"/>
      <c r="D325" s="9"/>
      <c r="E325" s="9"/>
      <c r="F325" s="9"/>
      <c r="G325" s="9"/>
      <c r="H325" s="9"/>
      <c r="I325" s="13"/>
    </row>
    <row r="326" ht="60.0" customHeight="1">
      <c r="A326" s="15" t="s">
        <v>16</v>
      </c>
      <c r="B326" s="22" t="str">
        <f t="array" ref="B326">iferror(VLOOKUP(INDIRECT(ADDRESS(ROW()+1,COLUMN(), 4)),Dex!$A$2:$C526,3,false),"")</f>
        <v/>
      </c>
      <c r="C326" s="22" t="str">
        <f t="array" ref="C326">iferror(VLOOKUP(INDIRECT(ADDRESS(ROW()+1,COLUMN(), 4)),Dex!$A$2:$C526,3,false),"")</f>
        <v/>
      </c>
      <c r="D326" s="22" t="str">
        <f t="array" ref="D326">iferror(VLOOKUP(INDIRECT(ADDRESS(ROW()+1,COLUMN(), 4)),Dex!$A$2:$C526,3,false),"")</f>
        <v/>
      </c>
      <c r="E326" s="22" t="str">
        <f t="array" ref="E326">iferror(VLOOKUP(INDIRECT(ADDRESS(ROW()+1,COLUMN(), 4)),Dex!$A$2:$C526,3,false),"")</f>
        <v/>
      </c>
      <c r="F326" s="22" t="str">
        <f t="array" ref="F326">iferror(VLOOKUP(INDIRECT(ADDRESS(ROW()+1,COLUMN(), 4)),Dex!$A$2:$C526,3,false),"")</f>
        <v/>
      </c>
      <c r="G326" s="22" t="str">
        <f t="array" ref="G326">iferror(VLOOKUP(INDIRECT(ADDRESS(ROW()+1,COLUMN(), 4)),Dex!$A$2:$C526,3,false),"")</f>
        <v/>
      </c>
      <c r="H326" s="23" t="str">
        <f t="array" ref="H326">iferror(VLOOKUP("TRAINER_PIC_Psychic_F",Sprites!$A$1:$B526,2,false),"")</f>
        <v/>
      </c>
      <c r="I326" s="24"/>
    </row>
    <row r="327">
      <c r="A327" s="25"/>
      <c r="B327" s="26" t="s">
        <v>1492</v>
      </c>
      <c r="C327" s="26" t="s">
        <v>1885</v>
      </c>
      <c r="D327" s="26" t="s">
        <v>384</v>
      </c>
      <c r="E327" s="26" t="s">
        <v>273</v>
      </c>
      <c r="F327" s="26"/>
      <c r="G327" s="26"/>
      <c r="H327" s="28"/>
    </row>
    <row r="328">
      <c r="A328" s="10" t="s">
        <v>199</v>
      </c>
      <c r="B328" s="22">
        <v>69.0</v>
      </c>
      <c r="C328" s="22">
        <v>69.0</v>
      </c>
      <c r="D328" s="22">
        <v>70.0</v>
      </c>
      <c r="E328" s="22">
        <v>71.0</v>
      </c>
      <c r="F328" s="22"/>
      <c r="G328" s="22"/>
      <c r="H328" s="27"/>
    </row>
    <row r="329">
      <c r="A329" s="10" t="s">
        <v>201</v>
      </c>
      <c r="B329" s="29" t="s">
        <v>2869</v>
      </c>
      <c r="C329" s="29" t="s">
        <v>408</v>
      </c>
      <c r="D329" s="29" t="s">
        <v>905</v>
      </c>
      <c r="E329" s="29" t="s">
        <v>453</v>
      </c>
      <c r="F329" s="29"/>
      <c r="G329" s="29"/>
      <c r="H329" s="27"/>
    </row>
    <row r="330">
      <c r="A330" s="10" t="s">
        <v>209</v>
      </c>
      <c r="B330" s="22" t="s">
        <v>2646</v>
      </c>
      <c r="C330" s="22" t="s">
        <v>2497</v>
      </c>
      <c r="D330" s="22" t="s">
        <v>459</v>
      </c>
      <c r="E330" s="22" t="s">
        <v>1449</v>
      </c>
      <c r="F330" s="22"/>
      <c r="G330" s="22"/>
      <c r="H330" s="28"/>
    </row>
    <row r="331">
      <c r="A331" s="10" t="s">
        <v>215</v>
      </c>
      <c r="B331" s="29" t="s">
        <v>419</v>
      </c>
      <c r="C331" s="29" t="s">
        <v>222</v>
      </c>
      <c r="D331" s="29" t="s">
        <v>419</v>
      </c>
      <c r="E331" s="29" t="s">
        <v>419</v>
      </c>
      <c r="F331" s="29"/>
      <c r="G331" s="29"/>
      <c r="H331" s="27"/>
    </row>
    <row r="332">
      <c r="A332" s="15" t="s">
        <v>224</v>
      </c>
      <c r="B332" s="22" t="s">
        <v>1040</v>
      </c>
      <c r="C332" s="22" t="s">
        <v>234</v>
      </c>
      <c r="D332" s="22" t="s">
        <v>362</v>
      </c>
      <c r="E332" s="22" t="s">
        <v>2647</v>
      </c>
      <c r="F332" s="22"/>
      <c r="G332" s="22"/>
      <c r="H332" s="27"/>
    </row>
    <row r="333">
      <c r="A333" s="30"/>
      <c r="B333" s="22" t="s">
        <v>1037</v>
      </c>
      <c r="C333" s="22" t="s">
        <v>694</v>
      </c>
      <c r="D333" s="22" t="s">
        <v>1357</v>
      </c>
      <c r="E333" s="22" t="s">
        <v>805</v>
      </c>
      <c r="F333" s="22"/>
      <c r="G333" s="22"/>
      <c r="H333" s="28"/>
    </row>
    <row r="334">
      <c r="A334" s="30"/>
      <c r="B334" s="22" t="s">
        <v>552</v>
      </c>
      <c r="C334" s="22" t="s">
        <v>1169</v>
      </c>
      <c r="D334" s="22" t="s">
        <v>238</v>
      </c>
      <c r="E334" s="22" t="s">
        <v>2619</v>
      </c>
      <c r="F334" s="22"/>
      <c r="G334" s="22"/>
      <c r="H334" s="27"/>
    </row>
    <row r="335">
      <c r="A335" s="25"/>
      <c r="B335" s="22" t="s">
        <v>1291</v>
      </c>
      <c r="C335" s="22" t="s">
        <v>920</v>
      </c>
      <c r="D335" s="22" t="s">
        <v>253</v>
      </c>
      <c r="E335" s="22" t="s">
        <v>1442</v>
      </c>
      <c r="F335" s="22"/>
      <c r="G335" s="22"/>
      <c r="H335" s="31"/>
      <c r="I335" s="32"/>
    </row>
    <row r="336">
      <c r="A336" s="8" t="s">
        <v>2871</v>
      </c>
      <c r="B336" s="9"/>
      <c r="C336" s="9"/>
      <c r="D336" s="9"/>
      <c r="E336" s="9"/>
      <c r="F336" s="9"/>
      <c r="G336" s="9"/>
      <c r="H336" s="9"/>
      <c r="I336" s="34"/>
    </row>
    <row r="337">
      <c r="A337" s="10" t="s">
        <v>5</v>
      </c>
      <c r="B337" s="11" t="s">
        <v>2872</v>
      </c>
      <c r="C337" s="9"/>
      <c r="D337" s="9"/>
      <c r="E337" s="9"/>
      <c r="F337" s="9"/>
      <c r="G337" s="9"/>
      <c r="H337" s="9"/>
      <c r="I337" s="14"/>
    </row>
    <row r="338" ht="60.0" customHeight="1">
      <c r="A338" s="15" t="s">
        <v>16</v>
      </c>
      <c r="B338" s="22" t="str">
        <f t="array" ref="B338">iferror(VLOOKUP(INDIRECT(ADDRESS(ROW()+1,COLUMN(), 4)),Dex!$A$2:$C526,3,false),"")</f>
        <v/>
      </c>
      <c r="C338" s="22" t="str">
        <f t="array" ref="C338">iferror(VLOOKUP(INDIRECT(ADDRESS(ROW()+1,COLUMN(), 4)),Dex!$A$2:$C526,3,false),"")</f>
        <v/>
      </c>
      <c r="D338" s="22" t="str">
        <f t="array" ref="D338">iferror(VLOOKUP(INDIRECT(ADDRESS(ROW()+1,COLUMN(), 4)),Dex!$A$2:$C526,3,false),"")</f>
        <v/>
      </c>
      <c r="E338" s="22" t="str">
        <f t="array" ref="E338">iferror(VLOOKUP(INDIRECT(ADDRESS(ROW()+1,COLUMN(), 4)),Dex!$A$2:$C526,3,false),"")</f>
        <v/>
      </c>
      <c r="F338" s="22" t="str">
        <f t="array" ref="F338">iferror(VLOOKUP(INDIRECT(ADDRESS(ROW()+1,COLUMN(), 4)),Dex!$A$2:$C526,3,false),"")</f>
        <v/>
      </c>
      <c r="G338" s="22" t="str">
        <f t="array" ref="G338">iferror(VLOOKUP(INDIRECT(ADDRESS(ROW()+1,COLUMN(), 4)),Dex!$A$2:$C526,3,false),"")</f>
        <v/>
      </c>
      <c r="H338" s="23" t="str">
        <f t="array" ref="H338">iferror(VLOOKUP("TRAINER_PIC_Hiker",Sprites!$A$1:$B526,2,false),"")</f>
        <v/>
      </c>
      <c r="I338" s="24"/>
    </row>
    <row r="339">
      <c r="A339" s="25"/>
      <c r="B339" s="26" t="s">
        <v>600</v>
      </c>
      <c r="C339" s="26" t="s">
        <v>403</v>
      </c>
      <c r="D339" s="26" t="s">
        <v>660</v>
      </c>
      <c r="E339" s="26" t="s">
        <v>225</v>
      </c>
      <c r="F339" s="26"/>
      <c r="G339" s="26"/>
      <c r="H339" s="27"/>
    </row>
    <row r="340">
      <c r="A340" s="10" t="s">
        <v>199</v>
      </c>
      <c r="B340" s="22">
        <v>70.0</v>
      </c>
      <c r="C340" s="22">
        <v>70.0</v>
      </c>
      <c r="D340" s="22">
        <v>69.0</v>
      </c>
      <c r="E340" s="22">
        <v>70.0</v>
      </c>
      <c r="F340" s="22"/>
      <c r="G340" s="22"/>
      <c r="H340" s="28"/>
    </row>
    <row r="341">
      <c r="A341" s="10" t="s">
        <v>201</v>
      </c>
      <c r="B341" s="29" t="s">
        <v>544</v>
      </c>
      <c r="C341" s="29" t="s">
        <v>890</v>
      </c>
      <c r="D341" s="29" t="s">
        <v>1122</v>
      </c>
      <c r="E341" s="29" t="s">
        <v>2430</v>
      </c>
      <c r="F341" s="29"/>
      <c r="G341" s="29"/>
      <c r="H341" s="27"/>
    </row>
    <row r="342">
      <c r="A342" s="10" t="s">
        <v>209</v>
      </c>
      <c r="B342" s="22" t="s">
        <v>788</v>
      </c>
      <c r="C342" s="22" t="s">
        <v>416</v>
      </c>
      <c r="D342" s="22" t="s">
        <v>219</v>
      </c>
      <c r="E342" s="22" t="s">
        <v>416</v>
      </c>
      <c r="F342" s="22"/>
      <c r="G342" s="22"/>
      <c r="H342" s="27"/>
    </row>
    <row r="343">
      <c r="A343" s="10" t="s">
        <v>215</v>
      </c>
      <c r="B343" s="29" t="s">
        <v>417</v>
      </c>
      <c r="C343" s="29" t="s">
        <v>231</v>
      </c>
      <c r="D343" s="29" t="s">
        <v>220</v>
      </c>
      <c r="E343" s="29" t="s">
        <v>231</v>
      </c>
      <c r="F343" s="29"/>
      <c r="G343" s="29"/>
      <c r="H343" s="28"/>
    </row>
    <row r="344">
      <c r="A344" s="15" t="s">
        <v>224</v>
      </c>
      <c r="B344" s="22" t="s">
        <v>361</v>
      </c>
      <c r="C344" s="22" t="s">
        <v>2823</v>
      </c>
      <c r="D344" s="22" t="s">
        <v>1844</v>
      </c>
      <c r="E344" s="22" t="s">
        <v>356</v>
      </c>
      <c r="F344" s="22"/>
      <c r="G344" s="22"/>
      <c r="H344" s="27"/>
    </row>
    <row r="345">
      <c r="A345" s="30"/>
      <c r="B345" s="22" t="s">
        <v>570</v>
      </c>
      <c r="C345" s="22" t="s">
        <v>587</v>
      </c>
      <c r="D345" s="22" t="s">
        <v>431</v>
      </c>
      <c r="E345" s="22" t="s">
        <v>363</v>
      </c>
      <c r="F345" s="22"/>
      <c r="G345" s="22"/>
      <c r="H345" s="28"/>
    </row>
    <row r="346">
      <c r="A346" s="30"/>
      <c r="B346" s="22" t="s">
        <v>576</v>
      </c>
      <c r="C346" s="22" t="s">
        <v>946</v>
      </c>
      <c r="D346" s="22" t="s">
        <v>2549</v>
      </c>
      <c r="E346" s="22" t="s">
        <v>1844</v>
      </c>
      <c r="F346" s="22"/>
      <c r="G346" s="22"/>
      <c r="H346" s="27"/>
    </row>
    <row r="347">
      <c r="A347" s="25"/>
      <c r="B347" s="22" t="s">
        <v>1366</v>
      </c>
      <c r="C347" s="22" t="s">
        <v>422</v>
      </c>
      <c r="D347" s="22"/>
      <c r="E347" s="22" t="s">
        <v>1351</v>
      </c>
      <c r="F347" s="22"/>
      <c r="G347" s="22"/>
      <c r="H347" s="31"/>
      <c r="I347" s="32"/>
    </row>
    <row r="348">
      <c r="A348" s="10" t="s">
        <v>5</v>
      </c>
      <c r="B348" s="11" t="s">
        <v>2881</v>
      </c>
      <c r="C348" s="9"/>
      <c r="D348" s="9"/>
      <c r="E348" s="9"/>
      <c r="F348" s="9"/>
      <c r="G348" s="9"/>
      <c r="H348" s="9"/>
      <c r="I348" s="14"/>
    </row>
    <row r="349" ht="60.0" customHeight="1">
      <c r="A349" s="15" t="s">
        <v>16</v>
      </c>
      <c r="B349" s="22" t="str">
        <f t="array" ref="B349">iferror(VLOOKUP(INDIRECT(ADDRESS(ROW()+1,COLUMN(), 4)),Dex!$A$2:$C526,3,false),"")</f>
        <v/>
      </c>
      <c r="C349" s="22" t="str">
        <f t="array" ref="C349">iferror(VLOOKUP(INDIRECT(ADDRESS(ROW()+1,COLUMN(), 4)),Dex!$A$2:$C526,3,false),"")</f>
        <v/>
      </c>
      <c r="D349" s="22" t="str">
        <f t="array" ref="D349">iferror(VLOOKUP(INDIRECT(ADDRESS(ROW()+1,COLUMN(), 4)),Dex!$A$2:$C526,3,false),"")</f>
        <v/>
      </c>
      <c r="E349" s="22" t="str">
        <f t="array" ref="E349">iferror(VLOOKUP(INDIRECT(ADDRESS(ROW()+1,COLUMN(), 4)),Dex!$A$2:$C526,3,false),"")</f>
        <v/>
      </c>
      <c r="F349" s="22" t="str">
        <f t="array" ref="F349">iferror(VLOOKUP(INDIRECT(ADDRESS(ROW()+1,COLUMN(), 4)),Dex!$A$2:$C526,3,false),"")</f>
        <v/>
      </c>
      <c r="G349" s="22" t="str">
        <f t="array" ref="G349">iferror(VLOOKUP(INDIRECT(ADDRESS(ROW()+1,COLUMN(), 4)),Dex!$A$2:$C526,3,false),"")</f>
        <v/>
      </c>
      <c r="H349" s="23" t="str">
        <f t="array" ref="H349">iferror(VLOOKUP("TRAINER_PIC_Hiker",Sprites!$A$1:$B526,2,false),"")</f>
        <v/>
      </c>
      <c r="I349" s="24"/>
    </row>
    <row r="350">
      <c r="A350" s="25"/>
      <c r="B350" s="26" t="s">
        <v>999</v>
      </c>
      <c r="C350" s="26" t="s">
        <v>1912</v>
      </c>
      <c r="D350" s="26" t="s">
        <v>750</v>
      </c>
      <c r="E350" s="26" t="s">
        <v>1907</v>
      </c>
      <c r="F350" s="26" t="s">
        <v>1749</v>
      </c>
      <c r="G350" s="26"/>
      <c r="H350" s="27"/>
    </row>
    <row r="351">
      <c r="A351" s="10" t="s">
        <v>199</v>
      </c>
      <c r="B351" s="22">
        <v>70.0</v>
      </c>
      <c r="C351" s="22">
        <v>70.0</v>
      </c>
      <c r="D351" s="22">
        <v>70.0</v>
      </c>
      <c r="E351" s="22">
        <v>70.0</v>
      </c>
      <c r="F351" s="22">
        <v>71.0</v>
      </c>
      <c r="G351" s="22"/>
      <c r="H351" s="28"/>
    </row>
    <row r="352">
      <c r="A352" s="10" t="s">
        <v>201</v>
      </c>
      <c r="B352" s="29" t="s">
        <v>644</v>
      </c>
      <c r="C352" s="29" t="s">
        <v>451</v>
      </c>
      <c r="D352" s="29" t="s">
        <v>1546</v>
      </c>
      <c r="E352" s="29" t="s">
        <v>344</v>
      </c>
      <c r="F352" s="29" t="s">
        <v>1521</v>
      </c>
      <c r="G352" s="29"/>
      <c r="H352" s="27"/>
    </row>
    <row r="353">
      <c r="A353" s="10" t="s">
        <v>209</v>
      </c>
      <c r="B353" s="22" t="s">
        <v>2890</v>
      </c>
      <c r="C353" s="22" t="s">
        <v>2890</v>
      </c>
      <c r="D353" s="22" t="s">
        <v>2890</v>
      </c>
      <c r="E353" s="22" t="s">
        <v>2890</v>
      </c>
      <c r="F353" s="22" t="s">
        <v>2890</v>
      </c>
      <c r="G353" s="22"/>
      <c r="H353" s="27"/>
    </row>
    <row r="354">
      <c r="A354" s="10" t="s">
        <v>215</v>
      </c>
      <c r="B354" s="29" t="s">
        <v>417</v>
      </c>
      <c r="C354" s="29" t="s">
        <v>461</v>
      </c>
      <c r="D354" s="29" t="s">
        <v>461</v>
      </c>
      <c r="E354" s="29" t="s">
        <v>461</v>
      </c>
      <c r="F354" s="29" t="s">
        <v>220</v>
      </c>
      <c r="G354" s="29"/>
      <c r="H354" s="28"/>
    </row>
    <row r="355">
      <c r="A355" s="15" t="s">
        <v>224</v>
      </c>
      <c r="B355" s="22" t="s">
        <v>2387</v>
      </c>
      <c r="C355" s="22" t="s">
        <v>2578</v>
      </c>
      <c r="D355" s="22" t="s">
        <v>2387</v>
      </c>
      <c r="E355" s="22" t="s">
        <v>2387</v>
      </c>
      <c r="F355" s="22" t="s">
        <v>2387</v>
      </c>
      <c r="G355" s="22"/>
      <c r="H355" s="27"/>
    </row>
    <row r="356">
      <c r="A356" s="30"/>
      <c r="B356" s="22" t="s">
        <v>689</v>
      </c>
      <c r="C356" s="22" t="s">
        <v>469</v>
      </c>
      <c r="D356" s="22" t="s">
        <v>363</v>
      </c>
      <c r="E356" s="22" t="s">
        <v>2608</v>
      </c>
      <c r="F356" s="22" t="s">
        <v>2608</v>
      </c>
      <c r="G356" s="22"/>
      <c r="H356" s="28"/>
    </row>
    <row r="357">
      <c r="A357" s="30"/>
      <c r="B357" s="22" t="s">
        <v>1366</v>
      </c>
      <c r="C357" s="22" t="s">
        <v>565</v>
      </c>
      <c r="D357" s="22" t="s">
        <v>565</v>
      </c>
      <c r="E357" s="22" t="s">
        <v>917</v>
      </c>
      <c r="F357" s="22" t="s">
        <v>356</v>
      </c>
      <c r="G357" s="22"/>
      <c r="H357" s="27"/>
    </row>
    <row r="358">
      <c r="A358" s="25"/>
      <c r="B358" s="22" t="s">
        <v>253</v>
      </c>
      <c r="C358" s="22" t="s">
        <v>361</v>
      </c>
      <c r="D358" s="22" t="s">
        <v>700</v>
      </c>
      <c r="E358" s="22" t="s">
        <v>356</v>
      </c>
      <c r="F358" s="22" t="s">
        <v>363</v>
      </c>
      <c r="G358" s="22"/>
      <c r="H358" s="31"/>
      <c r="I358" s="32"/>
    </row>
    <row r="359">
      <c r="A359" s="8" t="s">
        <v>2893</v>
      </c>
      <c r="B359" s="9"/>
      <c r="C359" s="9"/>
      <c r="D359" s="9"/>
      <c r="E359" s="9"/>
      <c r="F359" s="9"/>
      <c r="G359" s="9"/>
      <c r="H359" s="9"/>
      <c r="I359" s="34"/>
    </row>
    <row r="360">
      <c r="A360" s="10" t="s">
        <v>5</v>
      </c>
      <c r="B360" s="11" t="s">
        <v>2895</v>
      </c>
      <c r="C360" s="9"/>
      <c r="D360" s="9"/>
      <c r="E360" s="9"/>
      <c r="F360" s="9"/>
      <c r="G360" s="9"/>
      <c r="H360" s="9"/>
      <c r="I360" s="13"/>
    </row>
    <row r="361" ht="60.0" customHeight="1">
      <c r="A361" s="15" t="s">
        <v>16</v>
      </c>
      <c r="B361" s="22" t="str">
        <f t="array" ref="B361">iferror(VLOOKUP(INDIRECT(ADDRESS(ROW()+1,COLUMN(), 4)),Dex!$A$2:$C526,3,false),"")</f>
        <v/>
      </c>
      <c r="C361" s="22" t="str">
        <f t="array" ref="C361">iferror(VLOOKUP(INDIRECT(ADDRESS(ROW()+1,COLUMN(), 4)),Dex!$A$2:$C526,3,false),"")</f>
        <v/>
      </c>
      <c r="D361" s="22" t="str">
        <f t="array" ref="D361">iferror(VLOOKUP(INDIRECT(ADDRESS(ROW()+1,COLUMN(), 4)),Dex!$A$2:$C526,3,false),"")</f>
        <v/>
      </c>
      <c r="E361" s="22" t="str">
        <f t="array" ref="E361">iferror(VLOOKUP(INDIRECT(ADDRESS(ROW()+1,COLUMN(), 4)),Dex!$A$2:$C526,3,false),"")</f>
        <v/>
      </c>
      <c r="F361" s="22" t="str">
        <f t="array" ref="F361">iferror(VLOOKUP(INDIRECT(ADDRESS(ROW()+1,COLUMN(), 4)),Dex!$A$2:$C526,3,false),"")</f>
        <v/>
      </c>
      <c r="G361" s="22" t="str">
        <f t="array" ref="G361">iferror(VLOOKUP(INDIRECT(ADDRESS(ROW()+1,COLUMN(), 4)),Dex!$A$2:$C526,3,false),"")</f>
        <v/>
      </c>
      <c r="H361" s="23" t="str">
        <f t="array" ref="H361">iferror(VLOOKUP("TRAINER_PIC_Magma_Grunt_M",Sprites!$A$1:$B526,2,false),"")</f>
        <v/>
      </c>
      <c r="I361" s="24"/>
    </row>
    <row r="362">
      <c r="A362" s="25"/>
      <c r="B362" s="26" t="s">
        <v>1819</v>
      </c>
      <c r="C362" s="26" t="s">
        <v>1274</v>
      </c>
      <c r="D362" s="26" t="s">
        <v>765</v>
      </c>
      <c r="E362" s="26" t="s">
        <v>611</v>
      </c>
      <c r="F362" s="26" t="s">
        <v>1257</v>
      </c>
      <c r="G362" s="26"/>
      <c r="H362" s="27"/>
    </row>
    <row r="363">
      <c r="A363" s="10" t="s">
        <v>199</v>
      </c>
      <c r="B363" s="22">
        <v>70.0</v>
      </c>
      <c r="C363" s="22">
        <v>70.0</v>
      </c>
      <c r="D363" s="22">
        <v>70.0</v>
      </c>
      <c r="E363" s="22">
        <v>70.0</v>
      </c>
      <c r="F363" s="22">
        <v>71.0</v>
      </c>
      <c r="G363" s="22"/>
      <c r="H363" s="27"/>
    </row>
    <row r="364">
      <c r="A364" s="10" t="s">
        <v>201</v>
      </c>
      <c r="B364" s="29" t="s">
        <v>776</v>
      </c>
      <c r="C364" s="29" t="s">
        <v>407</v>
      </c>
      <c r="D364" s="29" t="s">
        <v>1518</v>
      </c>
      <c r="E364" s="29" t="s">
        <v>2351</v>
      </c>
      <c r="F364" s="29" t="s">
        <v>777</v>
      </c>
      <c r="G364" s="29"/>
      <c r="H364" s="28"/>
    </row>
    <row r="365">
      <c r="A365" s="10" t="s">
        <v>209</v>
      </c>
      <c r="B365" s="22" t="s">
        <v>1059</v>
      </c>
      <c r="C365" s="22" t="s">
        <v>2734</v>
      </c>
      <c r="D365" s="22" t="s">
        <v>212</v>
      </c>
      <c r="E365" s="22" t="s">
        <v>538</v>
      </c>
      <c r="F365" s="22" t="s">
        <v>2909</v>
      </c>
      <c r="G365" s="22"/>
      <c r="H365" s="27"/>
    </row>
    <row r="366">
      <c r="A366" s="10" t="s">
        <v>215</v>
      </c>
      <c r="B366" s="29" t="s">
        <v>419</v>
      </c>
      <c r="C366" s="29" t="s">
        <v>417</v>
      </c>
      <c r="D366" s="29" t="s">
        <v>220</v>
      </c>
      <c r="E366" s="29" t="s">
        <v>542</v>
      </c>
      <c r="F366" s="29" t="s">
        <v>1868</v>
      </c>
      <c r="G366" s="29"/>
      <c r="H366" s="27"/>
    </row>
    <row r="367">
      <c r="A367" s="15" t="s">
        <v>224</v>
      </c>
      <c r="B367" s="22" t="s">
        <v>428</v>
      </c>
      <c r="C367" s="22" t="s">
        <v>924</v>
      </c>
      <c r="D367" s="22" t="s">
        <v>811</v>
      </c>
      <c r="E367" s="22" t="s">
        <v>2267</v>
      </c>
      <c r="F367" s="22" t="s">
        <v>246</v>
      </c>
      <c r="G367" s="22"/>
      <c r="H367" s="28"/>
    </row>
    <row r="368">
      <c r="A368" s="30"/>
      <c r="B368" s="22" t="s">
        <v>2910</v>
      </c>
      <c r="C368" s="22" t="s">
        <v>1716</v>
      </c>
      <c r="D368" s="22" t="s">
        <v>1064</v>
      </c>
      <c r="E368" s="22" t="s">
        <v>1163</v>
      </c>
      <c r="F368" s="22" t="s">
        <v>920</v>
      </c>
      <c r="G368" s="22"/>
      <c r="H368" s="28"/>
    </row>
    <row r="369">
      <c r="A369" s="30"/>
      <c r="B369" s="22" t="s">
        <v>585</v>
      </c>
      <c r="C369" s="22" t="s">
        <v>565</v>
      </c>
      <c r="D369" s="22" t="s">
        <v>355</v>
      </c>
      <c r="E369" s="22" t="s">
        <v>555</v>
      </c>
      <c r="F369" s="22" t="s">
        <v>465</v>
      </c>
      <c r="G369" s="22"/>
      <c r="H369" s="27"/>
    </row>
    <row r="370">
      <c r="A370" s="25"/>
      <c r="B370" s="22" t="s">
        <v>253</v>
      </c>
      <c r="C370" s="22" t="s">
        <v>1878</v>
      </c>
      <c r="D370" s="22" t="s">
        <v>1366</v>
      </c>
      <c r="E370" s="22" t="s">
        <v>356</v>
      </c>
      <c r="F370" s="22" t="s">
        <v>253</v>
      </c>
      <c r="G370" s="22"/>
      <c r="H370" s="31"/>
      <c r="I370" s="32"/>
    </row>
    <row r="371">
      <c r="A371" s="10" t="s">
        <v>5</v>
      </c>
      <c r="B371" s="11" t="s">
        <v>2911</v>
      </c>
      <c r="C371" s="9"/>
      <c r="D371" s="9"/>
      <c r="E371" s="9"/>
      <c r="F371" s="9"/>
      <c r="G371" s="9"/>
      <c r="H371" s="9"/>
      <c r="I371" s="14"/>
    </row>
    <row r="372" ht="60.0" customHeight="1">
      <c r="A372" s="15" t="s">
        <v>16</v>
      </c>
      <c r="B372" s="22" t="str">
        <f t="array" ref="B372">iferror(VLOOKUP(INDIRECT(ADDRESS(ROW()+1,COLUMN(), 4)),Dex!$A$2:$C526,3,false),"")</f>
        <v/>
      </c>
      <c r="C372" s="22" t="str">
        <f t="array" ref="C372">iferror(VLOOKUP(INDIRECT(ADDRESS(ROW()+1,COLUMN(), 4)),Dex!$A$2:$C526,3,false),"")</f>
        <v/>
      </c>
      <c r="D372" s="22" t="str">
        <f t="array" ref="D372">iferror(VLOOKUP(INDIRECT(ADDRESS(ROW()+1,COLUMN(), 4)),Dex!$A$2:$C526,3,false),"")</f>
        <v/>
      </c>
      <c r="E372" s="22" t="str">
        <f t="array" ref="E372">iferror(VLOOKUP(INDIRECT(ADDRESS(ROW()+1,COLUMN(), 4)),Dex!$A$2:$C526,3,false),"")</f>
        <v/>
      </c>
      <c r="F372" s="22" t="str">
        <f t="array" ref="F372">iferror(VLOOKUP(INDIRECT(ADDRESS(ROW()+1,COLUMN(), 4)),Dex!$A$2:$C526,3,false),"")</f>
        <v/>
      </c>
      <c r="G372" s="22" t="str">
        <f t="array" ref="G372">iferror(VLOOKUP(INDIRECT(ADDRESS(ROW()+1,COLUMN(), 4)),Dex!$A$2:$C526,3,false),"")</f>
        <v/>
      </c>
      <c r="H372" s="23" t="str">
        <f t="array" ref="H372">iferror(VLOOKUP("TRAINER_PIC_Magma_Grunt_F",Sprites!$A$1:$B526,2,false),"")</f>
        <v/>
      </c>
      <c r="I372" s="24"/>
    </row>
    <row r="373">
      <c r="A373" s="25"/>
      <c r="B373" s="26" t="s">
        <v>757</v>
      </c>
      <c r="C373" s="26" t="s">
        <v>1583</v>
      </c>
      <c r="D373" s="26" t="s">
        <v>340</v>
      </c>
      <c r="E373" s="26" t="s">
        <v>1046</v>
      </c>
      <c r="F373" s="26" t="s">
        <v>1603</v>
      </c>
      <c r="G373" s="26" t="s">
        <v>1075</v>
      </c>
      <c r="H373" s="27"/>
    </row>
    <row r="374">
      <c r="A374" s="10" t="s">
        <v>199</v>
      </c>
      <c r="B374" s="22">
        <v>72.0</v>
      </c>
      <c r="C374" s="22">
        <v>71.0</v>
      </c>
      <c r="D374" s="22">
        <v>71.0</v>
      </c>
      <c r="E374" s="22">
        <v>71.0</v>
      </c>
      <c r="F374" s="22">
        <v>70.0</v>
      </c>
      <c r="G374" s="22">
        <v>71.0</v>
      </c>
      <c r="H374" s="27"/>
    </row>
    <row r="375">
      <c r="A375" s="10" t="s">
        <v>201</v>
      </c>
      <c r="B375" s="29" t="s">
        <v>2924</v>
      </c>
      <c r="C375" s="29" t="s">
        <v>2435</v>
      </c>
      <c r="D375" s="29" t="s">
        <v>1122</v>
      </c>
      <c r="E375" s="29" t="s">
        <v>780</v>
      </c>
      <c r="F375" s="29" t="s">
        <v>409</v>
      </c>
      <c r="G375" s="29" t="s">
        <v>1521</v>
      </c>
      <c r="H375" s="28"/>
    </row>
    <row r="376">
      <c r="A376" s="10" t="s">
        <v>209</v>
      </c>
      <c r="B376" s="22" t="s">
        <v>219</v>
      </c>
      <c r="C376" s="22" t="s">
        <v>2801</v>
      </c>
      <c r="D376" s="22" t="s">
        <v>352</v>
      </c>
      <c r="E376" s="22" t="s">
        <v>1060</v>
      </c>
      <c r="F376" s="22" t="s">
        <v>219</v>
      </c>
      <c r="G376" s="22" t="s">
        <v>2663</v>
      </c>
      <c r="H376" s="27"/>
    </row>
    <row r="377">
      <c r="A377" s="10" t="s">
        <v>215</v>
      </c>
      <c r="B377" s="29" t="s">
        <v>419</v>
      </c>
      <c r="C377" s="29" t="s">
        <v>218</v>
      </c>
      <c r="D377" s="29" t="s">
        <v>231</v>
      </c>
      <c r="E377" s="29" t="s">
        <v>231</v>
      </c>
      <c r="F377" s="29" t="s">
        <v>220</v>
      </c>
      <c r="G377" s="29" t="s">
        <v>1343</v>
      </c>
      <c r="H377" s="27"/>
    </row>
    <row r="378">
      <c r="A378" s="15" t="s">
        <v>224</v>
      </c>
      <c r="B378" s="22" t="s">
        <v>2332</v>
      </c>
      <c r="C378" s="22" t="s">
        <v>246</v>
      </c>
      <c r="D378" s="22" t="s">
        <v>1162</v>
      </c>
      <c r="E378" s="22" t="s">
        <v>1162</v>
      </c>
      <c r="F378" s="22" t="s">
        <v>241</v>
      </c>
      <c r="G378" s="22" t="s">
        <v>1366</v>
      </c>
      <c r="H378" s="28"/>
    </row>
    <row r="379">
      <c r="A379" s="30"/>
      <c r="B379" s="22" t="s">
        <v>588</v>
      </c>
      <c r="C379" s="22" t="s">
        <v>1069</v>
      </c>
      <c r="D379" s="22" t="s">
        <v>2549</v>
      </c>
      <c r="E379" s="22" t="s">
        <v>2327</v>
      </c>
      <c r="F379" s="22" t="s">
        <v>1227</v>
      </c>
      <c r="G379" s="22" t="s">
        <v>2555</v>
      </c>
      <c r="H379" s="28"/>
    </row>
    <row r="380">
      <c r="A380" s="30"/>
      <c r="B380" s="22" t="s">
        <v>474</v>
      </c>
      <c r="C380" s="22" t="s">
        <v>2538</v>
      </c>
      <c r="D380" s="22"/>
      <c r="E380" s="22" t="s">
        <v>2491</v>
      </c>
      <c r="F380" s="22" t="s">
        <v>1223</v>
      </c>
      <c r="G380" s="22" t="s">
        <v>1941</v>
      </c>
      <c r="H380" s="27"/>
    </row>
    <row r="381">
      <c r="A381" s="25"/>
      <c r="B381" s="22" t="s">
        <v>424</v>
      </c>
      <c r="C381" s="22" t="s">
        <v>1162</v>
      </c>
      <c r="D381" s="22"/>
      <c r="E381" s="22" t="s">
        <v>1354</v>
      </c>
      <c r="F381" s="22" t="s">
        <v>931</v>
      </c>
      <c r="G381" s="22" t="s">
        <v>356</v>
      </c>
      <c r="H381" s="31"/>
      <c r="I381" s="32"/>
    </row>
    <row r="382">
      <c r="A382" s="10" t="s">
        <v>5</v>
      </c>
      <c r="B382" s="11" t="s">
        <v>2925</v>
      </c>
      <c r="C382" s="9"/>
      <c r="D382" s="9"/>
      <c r="E382" s="9"/>
      <c r="F382" s="9"/>
      <c r="G382" s="9"/>
      <c r="H382" s="9"/>
      <c r="I382" s="14"/>
    </row>
    <row r="383" ht="60.0" customHeight="1">
      <c r="A383" s="15" t="s">
        <v>16</v>
      </c>
      <c r="B383" s="22" t="str">
        <f t="array" ref="B383">iferror(VLOOKUP(INDIRECT(ADDRESS(ROW()+1,COLUMN(), 4)),Dex!$A$2:$C526,3,false),"")</f>
        <v/>
      </c>
      <c r="C383" s="22" t="str">
        <f t="array" ref="C383">iferror(VLOOKUP(INDIRECT(ADDRESS(ROW()+1,COLUMN(), 4)),Dex!$A$2:$C526,3,false),"")</f>
        <v/>
      </c>
      <c r="D383" s="22" t="str">
        <f t="array" ref="D383">iferror(VLOOKUP(INDIRECT(ADDRESS(ROW()+1,COLUMN(), 4)),Dex!$A$2:$C526,3,false),"")</f>
        <v/>
      </c>
      <c r="E383" s="22" t="str">
        <f t="array" ref="E383">iferror(VLOOKUP(INDIRECT(ADDRESS(ROW()+1,COLUMN(), 4)),Dex!$A$2:$C526,3,false),"")</f>
        <v/>
      </c>
      <c r="F383" s="22" t="str">
        <f t="array" ref="F383">iferror(VLOOKUP(INDIRECT(ADDRESS(ROW()+1,COLUMN(), 4)),Dex!$A$2:$C526,3,false),"")</f>
        <v/>
      </c>
      <c r="G383" s="22" t="str">
        <f t="array" ref="G383">iferror(VLOOKUP(INDIRECT(ADDRESS(ROW()+1,COLUMN(), 4)),Dex!$A$2:$C526,3,false),"")</f>
        <v/>
      </c>
      <c r="H383" s="23" t="str">
        <f t="array" ref="H383">iferror(VLOOKUP("TRAINER_PIC_Magma_Admin",Sprites!$A$1:$B526,2,false),"")</f>
        <v/>
      </c>
      <c r="I383" s="24"/>
    </row>
    <row r="384">
      <c r="A384" s="25"/>
      <c r="B384" s="26" t="s">
        <v>877</v>
      </c>
      <c r="C384" s="26" t="s">
        <v>2054</v>
      </c>
      <c r="D384" s="26" t="s">
        <v>404</v>
      </c>
      <c r="E384" s="26" t="s">
        <v>180</v>
      </c>
      <c r="F384" s="26" t="s">
        <v>1097</v>
      </c>
      <c r="G384" s="26" t="s">
        <v>610</v>
      </c>
      <c r="H384" s="27"/>
    </row>
    <row r="385">
      <c r="A385" s="10" t="s">
        <v>199</v>
      </c>
      <c r="B385" s="22">
        <v>72.0</v>
      </c>
      <c r="C385" s="22">
        <v>72.0</v>
      </c>
      <c r="D385" s="22">
        <v>71.0</v>
      </c>
      <c r="E385" s="22">
        <v>72.0</v>
      </c>
      <c r="F385" s="22">
        <v>71.0</v>
      </c>
      <c r="G385" s="22">
        <v>73.0</v>
      </c>
      <c r="H385" s="27"/>
    </row>
    <row r="386">
      <c r="A386" s="10" t="s">
        <v>201</v>
      </c>
      <c r="B386" s="29" t="s">
        <v>2939</v>
      </c>
      <c r="C386" s="29" t="s">
        <v>545</v>
      </c>
      <c r="D386" s="29" t="s">
        <v>2546</v>
      </c>
      <c r="E386" s="29" t="s">
        <v>206</v>
      </c>
      <c r="F386" s="29" t="s">
        <v>645</v>
      </c>
      <c r="G386" s="29" t="s">
        <v>2940</v>
      </c>
      <c r="H386" s="28"/>
    </row>
    <row r="387">
      <c r="A387" s="10" t="s">
        <v>209</v>
      </c>
      <c r="B387" s="22" t="s">
        <v>413</v>
      </c>
      <c r="C387" s="22" t="s">
        <v>2354</v>
      </c>
      <c r="D387" s="22" t="s">
        <v>219</v>
      </c>
      <c r="E387" s="22" t="s">
        <v>352</v>
      </c>
      <c r="F387" s="22" t="s">
        <v>413</v>
      </c>
      <c r="G387" s="22" t="s">
        <v>541</v>
      </c>
      <c r="H387" s="27"/>
    </row>
    <row r="388">
      <c r="A388" s="10" t="s">
        <v>215</v>
      </c>
      <c r="B388" s="29" t="s">
        <v>419</v>
      </c>
      <c r="C388" s="29" t="s">
        <v>419</v>
      </c>
      <c r="D388" s="29" t="s">
        <v>231</v>
      </c>
      <c r="E388" s="29" t="s">
        <v>419</v>
      </c>
      <c r="F388" s="29" t="s">
        <v>419</v>
      </c>
      <c r="G388" s="29" t="s">
        <v>220</v>
      </c>
      <c r="H388" s="27"/>
    </row>
    <row r="389">
      <c r="A389" s="15" t="s">
        <v>224</v>
      </c>
      <c r="B389" s="22" t="s">
        <v>701</v>
      </c>
      <c r="C389" s="22" t="s">
        <v>2852</v>
      </c>
      <c r="D389" s="22" t="s">
        <v>2104</v>
      </c>
      <c r="E389" s="22" t="s">
        <v>246</v>
      </c>
      <c r="F389" s="22" t="s">
        <v>2332</v>
      </c>
      <c r="G389" s="22" t="s">
        <v>549</v>
      </c>
      <c r="H389" s="28"/>
    </row>
    <row r="390">
      <c r="A390" s="30"/>
      <c r="B390" s="22" t="s">
        <v>2397</v>
      </c>
      <c r="C390" s="22" t="s">
        <v>2793</v>
      </c>
      <c r="D390" s="22" t="s">
        <v>1352</v>
      </c>
      <c r="E390" s="22" t="s">
        <v>357</v>
      </c>
      <c r="F390" s="22" t="s">
        <v>238</v>
      </c>
      <c r="G390" s="22" t="s">
        <v>1029</v>
      </c>
      <c r="H390" s="28"/>
    </row>
    <row r="391">
      <c r="A391" s="30"/>
      <c r="B391" s="22" t="s">
        <v>938</v>
      </c>
      <c r="C391" s="22" t="s">
        <v>924</v>
      </c>
      <c r="D391" s="22" t="s">
        <v>1036</v>
      </c>
      <c r="E391" s="22" t="s">
        <v>2040</v>
      </c>
      <c r="F391" s="22" t="s">
        <v>805</v>
      </c>
      <c r="G391" s="22" t="s">
        <v>2941</v>
      </c>
      <c r="H391" s="27"/>
    </row>
    <row r="392">
      <c r="A392" s="25"/>
      <c r="B392" s="22" t="s">
        <v>2863</v>
      </c>
      <c r="C392" s="22" t="s">
        <v>357</v>
      </c>
      <c r="D392" s="22" t="s">
        <v>1759</v>
      </c>
      <c r="E392" s="22" t="s">
        <v>234</v>
      </c>
      <c r="F392" s="22" t="s">
        <v>1560</v>
      </c>
      <c r="G392" s="22" t="s">
        <v>1354</v>
      </c>
      <c r="H392" s="31"/>
      <c r="I392" s="32"/>
    </row>
    <row r="393">
      <c r="A393" s="10" t="s">
        <v>5</v>
      </c>
      <c r="B393" s="11" t="s">
        <v>2942</v>
      </c>
      <c r="C393" s="9"/>
      <c r="D393" s="9"/>
      <c r="E393" s="9"/>
      <c r="F393" s="9"/>
      <c r="G393" s="9"/>
      <c r="H393" s="9"/>
      <c r="I393" s="13"/>
    </row>
    <row r="394" ht="60.0" customHeight="1">
      <c r="A394" s="15" t="s">
        <v>16</v>
      </c>
      <c r="B394" s="22" t="str">
        <f t="array" ref="B394">iferror(VLOOKUP(INDIRECT(ADDRESS(ROW()+1,COLUMN(), 4)),Dex!$A$2:$C526,3,false),"")</f>
        <v/>
      </c>
      <c r="C394" s="22" t="str">
        <f t="array" ref="C394">iferror(VLOOKUP(INDIRECT(ADDRESS(ROW()+1,COLUMN(), 4)),Dex!$A$2:$C526,3,false),"")</f>
        <v/>
      </c>
      <c r="D394" s="22" t="str">
        <f t="array" ref="D394">iferror(VLOOKUP(INDIRECT(ADDRESS(ROW()+1,COLUMN(), 4)),Dex!$A$2:$C526,3,false),"")</f>
        <v/>
      </c>
      <c r="E394" s="22" t="str">
        <f t="array" ref="E394">iferror(VLOOKUP(INDIRECT(ADDRESS(ROW()+1,COLUMN(), 4)),Dex!$A$2:$C526,3,false),"")</f>
        <v/>
      </c>
      <c r="F394" s="22" t="str">
        <f t="array" ref="F394">iferror(VLOOKUP(INDIRECT(ADDRESS(ROW()+1,COLUMN(), 4)),Dex!$A$2:$C526,3,false),"")</f>
        <v/>
      </c>
      <c r="G394" s="22" t="str">
        <f t="array" ref="G394">iferror(VLOOKUP(INDIRECT(ADDRESS(ROW()+1,COLUMN(), 4)),Dex!$A$2:$C526,3,false),"")</f>
        <v/>
      </c>
      <c r="H394" s="23" t="str">
        <f t="array" ref="H394">iferror(VLOOKUP("TRAINER_PIC_Magma_Leader_Maxie",Sprites!$A$1:$B526,2,false),"")</f>
        <v/>
      </c>
      <c r="I394" s="24"/>
    </row>
    <row r="395">
      <c r="A395" s="25"/>
      <c r="B395" s="26" t="s">
        <v>2250</v>
      </c>
      <c r="C395" s="26"/>
      <c r="D395" s="26"/>
      <c r="E395" s="26"/>
      <c r="F395" s="26"/>
      <c r="G395" s="26"/>
      <c r="H395" s="27"/>
    </row>
    <row r="396">
      <c r="A396" s="10" t="s">
        <v>199</v>
      </c>
      <c r="B396" s="22">
        <v>72.0</v>
      </c>
      <c r="C396" s="22"/>
      <c r="D396" s="22"/>
      <c r="E396" s="22"/>
      <c r="F396" s="22"/>
      <c r="G396" s="22"/>
      <c r="H396" s="27"/>
    </row>
    <row r="397">
      <c r="A397" s="10" t="s">
        <v>201</v>
      </c>
      <c r="B397" s="29" t="s">
        <v>2939</v>
      </c>
      <c r="C397" s="29"/>
      <c r="D397" s="29"/>
      <c r="E397" s="29"/>
      <c r="F397" s="29"/>
      <c r="G397" s="29"/>
      <c r="H397" s="28"/>
    </row>
    <row r="398">
      <c r="A398" s="10" t="s">
        <v>209</v>
      </c>
      <c r="B398" s="22" t="s">
        <v>2953</v>
      </c>
      <c r="C398" s="22"/>
      <c r="D398" s="22"/>
      <c r="E398" s="22"/>
      <c r="F398" s="22"/>
      <c r="G398" s="22"/>
      <c r="H398" s="27"/>
    </row>
    <row r="399">
      <c r="A399" s="10" t="s">
        <v>215</v>
      </c>
      <c r="B399" s="29" t="s">
        <v>231</v>
      </c>
      <c r="C399" s="29"/>
      <c r="D399" s="29"/>
      <c r="E399" s="29"/>
      <c r="F399" s="29"/>
      <c r="G399" s="29"/>
      <c r="H399" s="27"/>
    </row>
    <row r="400">
      <c r="A400" s="15" t="s">
        <v>224</v>
      </c>
      <c r="B400" s="22" t="s">
        <v>2955</v>
      </c>
      <c r="C400" s="22"/>
      <c r="D400" s="22"/>
      <c r="E400" s="22"/>
      <c r="F400" s="22"/>
      <c r="G400" s="22"/>
      <c r="H400" s="28"/>
    </row>
    <row r="401">
      <c r="A401" s="30"/>
      <c r="B401" s="22" t="s">
        <v>2387</v>
      </c>
      <c r="C401" s="22"/>
      <c r="D401" s="22"/>
      <c r="E401" s="22"/>
      <c r="F401" s="22"/>
      <c r="G401" s="22"/>
      <c r="H401" s="28"/>
    </row>
    <row r="402">
      <c r="A402" s="30"/>
      <c r="B402" s="22" t="s">
        <v>2327</v>
      </c>
      <c r="C402" s="22"/>
      <c r="D402" s="22"/>
      <c r="E402" s="22"/>
      <c r="F402" s="22"/>
      <c r="G402" s="22"/>
      <c r="H402" s="27"/>
    </row>
    <row r="403">
      <c r="A403" s="25"/>
      <c r="B403" s="22" t="s">
        <v>937</v>
      </c>
      <c r="C403" s="22"/>
      <c r="D403" s="22"/>
      <c r="E403" s="22"/>
      <c r="F403" s="22"/>
      <c r="G403" s="22"/>
      <c r="H403" s="31"/>
      <c r="I403" s="32"/>
    </row>
    <row r="404">
      <c r="A404" s="8" t="s">
        <v>2957</v>
      </c>
      <c r="B404" s="9"/>
      <c r="C404" s="9"/>
      <c r="D404" s="9"/>
      <c r="E404" s="9"/>
      <c r="F404" s="9"/>
      <c r="G404" s="9"/>
      <c r="H404" s="9"/>
      <c r="I404" s="34"/>
    </row>
    <row r="405">
      <c r="A405" s="10" t="s">
        <v>5</v>
      </c>
      <c r="B405" s="11" t="s">
        <v>2958</v>
      </c>
      <c r="C405" s="9"/>
      <c r="D405" s="9"/>
      <c r="E405" s="9"/>
      <c r="F405" s="9"/>
      <c r="G405" s="9"/>
      <c r="H405" s="9"/>
      <c r="I405" s="14"/>
    </row>
    <row r="406" ht="60.0" customHeight="1">
      <c r="A406" s="15" t="s">
        <v>16</v>
      </c>
      <c r="B406" s="22" t="str">
        <f t="array" ref="B406">iferror(VLOOKUP(INDIRECT(ADDRESS(ROW()+1,COLUMN(), 4)),Dex!$A$2:$C526,3,false),"")</f>
        <v/>
      </c>
      <c r="C406" s="22" t="str">
        <f t="array" ref="C406">iferror(VLOOKUP(INDIRECT(ADDRESS(ROW()+1,COLUMN(), 4)),Dex!$A$2:$C526,3,false),"")</f>
        <v/>
      </c>
      <c r="D406" s="22" t="str">
        <f t="array" ref="D406">iferror(VLOOKUP(INDIRECT(ADDRESS(ROW()+1,COLUMN(), 4)),Dex!$A$2:$C526,3,false),"")</f>
        <v/>
      </c>
      <c r="E406" s="22" t="str">
        <f t="array" ref="E406">iferror(VLOOKUP(INDIRECT(ADDRESS(ROW()+1,COLUMN(), 4)),Dex!$A$2:$C526,3,false),"")</f>
        <v/>
      </c>
      <c r="F406" s="22" t="str">
        <f t="array" ref="F406">iferror(VLOOKUP(INDIRECT(ADDRESS(ROW()+1,COLUMN(), 4)),Dex!$A$2:$C526,3,false),"")</f>
        <v/>
      </c>
      <c r="G406" s="22" t="str">
        <f t="array" ref="G406">iferror(VLOOKUP(INDIRECT(ADDRESS(ROW()+1,COLUMN(), 4)),Dex!$A$2:$C526,3,false),"")</f>
        <v/>
      </c>
      <c r="H406" s="23" t="str">
        <f t="array" ref="H406">iferror(VLOOKUP("TRAINER_PIC_Hiker",Sprites!$A$1:$B526,2,false),"")</f>
        <v/>
      </c>
      <c r="I406" s="24"/>
    </row>
    <row r="407">
      <c r="A407" s="25"/>
      <c r="B407" s="26" t="s">
        <v>1285</v>
      </c>
      <c r="C407" s="26" t="s">
        <v>1253</v>
      </c>
      <c r="D407" s="26" t="s">
        <v>1312</v>
      </c>
      <c r="E407" s="26" t="s">
        <v>1581</v>
      </c>
      <c r="F407" s="26" t="s">
        <v>1627</v>
      </c>
      <c r="G407" s="26"/>
      <c r="H407" s="27"/>
    </row>
    <row r="408">
      <c r="A408" s="10" t="s">
        <v>199</v>
      </c>
      <c r="B408" s="22">
        <v>71.0</v>
      </c>
      <c r="C408" s="22">
        <v>71.0</v>
      </c>
      <c r="D408" s="22">
        <v>71.0</v>
      </c>
      <c r="E408" s="22">
        <v>73.0</v>
      </c>
      <c r="F408" s="22">
        <v>72.0</v>
      </c>
      <c r="G408" s="22"/>
      <c r="H408" s="27"/>
    </row>
    <row r="409">
      <c r="A409" s="10" t="s">
        <v>201</v>
      </c>
      <c r="B409" s="29" t="s">
        <v>1015</v>
      </c>
      <c r="C409" s="29" t="s">
        <v>644</v>
      </c>
      <c r="D409" s="29" t="s">
        <v>1521</v>
      </c>
      <c r="E409" s="29" t="s">
        <v>205</v>
      </c>
      <c r="F409" s="29" t="s">
        <v>2410</v>
      </c>
      <c r="G409" s="29"/>
      <c r="H409" s="27"/>
    </row>
    <row r="410">
      <c r="A410" s="10" t="s">
        <v>209</v>
      </c>
      <c r="B410" s="22" t="s">
        <v>2401</v>
      </c>
      <c r="C410" s="22" t="s">
        <v>219</v>
      </c>
      <c r="D410" s="22" t="s">
        <v>415</v>
      </c>
      <c r="E410" s="22" t="s">
        <v>538</v>
      </c>
      <c r="F410" s="22" t="s">
        <v>2636</v>
      </c>
      <c r="G410" s="22"/>
      <c r="H410" s="28"/>
    </row>
    <row r="411">
      <c r="A411" s="10" t="s">
        <v>215</v>
      </c>
      <c r="B411" s="29" t="s">
        <v>231</v>
      </c>
      <c r="C411" s="29" t="s">
        <v>231</v>
      </c>
      <c r="D411" s="29" t="s">
        <v>220</v>
      </c>
      <c r="E411" s="29" t="s">
        <v>220</v>
      </c>
      <c r="F411" s="29" t="s">
        <v>419</v>
      </c>
      <c r="G411" s="29"/>
      <c r="H411" s="27"/>
    </row>
    <row r="412">
      <c r="A412" s="15" t="s">
        <v>224</v>
      </c>
      <c r="B412" s="22" t="s">
        <v>2220</v>
      </c>
      <c r="C412" s="22" t="s">
        <v>1223</v>
      </c>
      <c r="D412" s="22" t="s">
        <v>2470</v>
      </c>
      <c r="E412" s="22" t="s">
        <v>1231</v>
      </c>
      <c r="F412" s="22" t="s">
        <v>2968</v>
      </c>
      <c r="G412" s="22"/>
      <c r="H412" s="27"/>
    </row>
    <row r="413">
      <c r="A413" s="30"/>
      <c r="B413" s="22" t="s">
        <v>570</v>
      </c>
      <c r="C413" s="22" t="s">
        <v>567</v>
      </c>
      <c r="D413" s="22" t="s">
        <v>652</v>
      </c>
      <c r="E413" s="22" t="s">
        <v>1350</v>
      </c>
      <c r="F413" s="22" t="s">
        <v>1658</v>
      </c>
      <c r="G413" s="22"/>
      <c r="H413" s="28"/>
    </row>
    <row r="414">
      <c r="A414" s="30"/>
      <c r="B414" s="22" t="s">
        <v>463</v>
      </c>
      <c r="C414" s="22" t="s">
        <v>698</v>
      </c>
      <c r="D414" s="22" t="s">
        <v>477</v>
      </c>
      <c r="E414" s="22" t="s">
        <v>565</v>
      </c>
      <c r="F414" s="22" t="s">
        <v>2969</v>
      </c>
      <c r="G414" s="22"/>
      <c r="H414" s="27"/>
    </row>
    <row r="415">
      <c r="A415" s="25"/>
      <c r="B415" s="22" t="s">
        <v>1366</v>
      </c>
      <c r="C415" s="22" t="s">
        <v>1036</v>
      </c>
      <c r="D415" s="22" t="s">
        <v>1352</v>
      </c>
      <c r="E415" s="22" t="s">
        <v>367</v>
      </c>
      <c r="F415" s="22" t="s">
        <v>2970</v>
      </c>
      <c r="G415" s="22"/>
      <c r="H415" s="31"/>
      <c r="I415" s="32"/>
    </row>
    <row r="416">
      <c r="A416" s="10" t="s">
        <v>5</v>
      </c>
      <c r="B416" s="11" t="s">
        <v>2971</v>
      </c>
      <c r="C416" s="9"/>
      <c r="D416" s="9"/>
      <c r="E416" s="9"/>
      <c r="F416" s="9"/>
      <c r="G416" s="9"/>
      <c r="H416" s="9"/>
      <c r="I416" s="13"/>
    </row>
    <row r="417" ht="60.0" customHeight="1">
      <c r="A417" s="15" t="s">
        <v>16</v>
      </c>
      <c r="B417" s="22" t="str">
        <f t="array" ref="B417">iferror(VLOOKUP(INDIRECT(ADDRESS(ROW()+1,COLUMN(), 4)),Dex!$A$2:$C526,3,false),"")</f>
        <v/>
      </c>
      <c r="C417" s="22" t="str">
        <f t="array" ref="C417">iferror(VLOOKUP(INDIRECT(ADDRESS(ROW()+1,COLUMN(), 4)),Dex!$A$2:$C526,3,false),"")</f>
        <v/>
      </c>
      <c r="D417" s="22" t="str">
        <f t="array" ref="D417">iferror(VLOOKUP(INDIRECT(ADDRESS(ROW()+1,COLUMN(), 4)),Dex!$A$2:$C526,3,false),"")</f>
        <v/>
      </c>
      <c r="E417" s="22" t="str">
        <f t="array" ref="E417">iferror(VLOOKUP(INDIRECT(ADDRESS(ROW()+1,COLUMN(), 4)),Dex!$A$2:$C526,3,false),"")</f>
        <v/>
      </c>
      <c r="F417" s="22" t="str">
        <f t="array" ref="F417">iferror(VLOOKUP(INDIRECT(ADDRESS(ROW()+1,COLUMN(), 4)),Dex!$A$2:$C526,3,false),"")</f>
        <v/>
      </c>
      <c r="G417" s="22" t="str">
        <f t="array" ref="G417">iferror(VLOOKUP(INDIRECT(ADDRESS(ROW()+1,COLUMN(), 4)),Dex!$A$2:$C526,3,false),"")</f>
        <v/>
      </c>
      <c r="H417" s="23" t="str">
        <f t="array" ref="H417">iferror(VLOOKUP("TRAINER_PIC_Magma_Grunt_M",Sprites!$A$1:$B526,2,false),"")</f>
        <v/>
      </c>
      <c r="I417" s="24"/>
    </row>
    <row r="418">
      <c r="A418" s="25"/>
      <c r="B418" s="26" t="s">
        <v>282</v>
      </c>
      <c r="C418" s="26" t="s">
        <v>1579</v>
      </c>
      <c r="D418" s="26" t="s">
        <v>618</v>
      </c>
      <c r="E418" s="26" t="s">
        <v>716</v>
      </c>
      <c r="F418" s="26"/>
      <c r="G418" s="26"/>
      <c r="H418" s="27"/>
    </row>
    <row r="419">
      <c r="A419" s="10" t="s">
        <v>199</v>
      </c>
      <c r="B419" s="22">
        <v>71.0</v>
      </c>
      <c r="C419" s="22">
        <v>71.0</v>
      </c>
      <c r="D419" s="22">
        <v>71.0</v>
      </c>
      <c r="E419" s="22">
        <v>70.0</v>
      </c>
      <c r="F419" s="22"/>
      <c r="G419" s="22"/>
      <c r="H419" s="27"/>
    </row>
    <row r="420">
      <c r="A420" s="10" t="s">
        <v>201</v>
      </c>
      <c r="B420" s="29" t="s">
        <v>2985</v>
      </c>
      <c r="C420" s="29" t="s">
        <v>344</v>
      </c>
      <c r="D420" s="29" t="s">
        <v>777</v>
      </c>
      <c r="E420" s="29" t="s">
        <v>2351</v>
      </c>
      <c r="F420" s="29"/>
      <c r="G420" s="29"/>
      <c r="H420" s="27"/>
    </row>
    <row r="421">
      <c r="A421" s="10" t="s">
        <v>209</v>
      </c>
      <c r="B421" s="22" t="s">
        <v>1550</v>
      </c>
      <c r="C421" s="22" t="s">
        <v>1341</v>
      </c>
      <c r="D421" s="22" t="s">
        <v>1523</v>
      </c>
      <c r="E421" s="22" t="s">
        <v>2554</v>
      </c>
      <c r="F421" s="22"/>
      <c r="G421" s="22"/>
      <c r="H421" s="28"/>
    </row>
    <row r="422">
      <c r="A422" s="10" t="s">
        <v>215</v>
      </c>
      <c r="B422" s="29" t="s">
        <v>2600</v>
      </c>
      <c r="C422" s="29" t="s">
        <v>220</v>
      </c>
      <c r="D422" s="29" t="s">
        <v>222</v>
      </c>
      <c r="E422" s="29" t="s">
        <v>231</v>
      </c>
      <c r="F422" s="29"/>
      <c r="G422" s="29"/>
      <c r="H422" s="27"/>
    </row>
    <row r="423">
      <c r="A423" s="15" t="s">
        <v>224</v>
      </c>
      <c r="B423" s="22" t="s">
        <v>365</v>
      </c>
      <c r="C423" s="22" t="s">
        <v>249</v>
      </c>
      <c r="D423" s="22" t="s">
        <v>2457</v>
      </c>
      <c r="E423" s="22" t="s">
        <v>237</v>
      </c>
      <c r="F423" s="22"/>
      <c r="G423" s="22"/>
      <c r="H423" s="27"/>
    </row>
    <row r="424">
      <c r="A424" s="30"/>
      <c r="B424" s="22" t="s">
        <v>1848</v>
      </c>
      <c r="C424" s="22" t="s">
        <v>237</v>
      </c>
      <c r="D424" s="22" t="s">
        <v>2320</v>
      </c>
      <c r="E424" s="22" t="s">
        <v>1788</v>
      </c>
      <c r="F424" s="22"/>
      <c r="G424" s="22"/>
      <c r="H424" s="28"/>
    </row>
    <row r="425">
      <c r="A425" s="30"/>
      <c r="B425" s="22" t="s">
        <v>2220</v>
      </c>
      <c r="C425" s="22" t="s">
        <v>1752</v>
      </c>
      <c r="D425" s="22" t="s">
        <v>357</v>
      </c>
      <c r="E425" s="22" t="s">
        <v>698</v>
      </c>
      <c r="F425" s="22"/>
      <c r="G425" s="22"/>
      <c r="H425" s="27"/>
    </row>
    <row r="426">
      <c r="A426" s="25"/>
      <c r="B426" s="22" t="s">
        <v>572</v>
      </c>
      <c r="C426" s="22" t="s">
        <v>1366</v>
      </c>
      <c r="D426" s="22" t="s">
        <v>2020</v>
      </c>
      <c r="E426" s="22" t="s">
        <v>366</v>
      </c>
      <c r="F426" s="22"/>
      <c r="G426" s="22"/>
      <c r="H426" s="31"/>
      <c r="I426" s="32"/>
    </row>
    <row r="427">
      <c r="A427" s="10" t="s">
        <v>5</v>
      </c>
      <c r="B427" s="11" t="s">
        <v>2990</v>
      </c>
      <c r="C427" s="9"/>
      <c r="D427" s="9"/>
      <c r="E427" s="9"/>
      <c r="F427" s="9"/>
      <c r="G427" s="9"/>
      <c r="H427" s="9"/>
      <c r="I427" s="14"/>
    </row>
    <row r="428" ht="60.0" customHeight="1">
      <c r="A428" s="15" t="s">
        <v>16</v>
      </c>
      <c r="B428" s="55" t="str">
        <f t="array" ref="B428">iferror(VLOOKUP(INDIRECT(ADDRESS(ROW()+1,COLUMN(), 4)),Dex!$A$2:$C526,3,false),"")</f>
        <v/>
      </c>
      <c r="C428" s="22" t="str">
        <f t="array" ref="C428">iferror(VLOOKUP(INDIRECT(ADDRESS(ROW()+1,COLUMN(), 4)),Dex!$A$2:$C526,3,false),"")</f>
        <v/>
      </c>
      <c r="D428" s="22" t="str">
        <f t="array" ref="D428">iferror(VLOOKUP(INDIRECT(ADDRESS(ROW()+1,COLUMN(), 4)),Dex!$A$2:$C526,3,false),"")</f>
        <v/>
      </c>
      <c r="E428" s="22" t="str">
        <f t="array" ref="E428">iferror(VLOOKUP(INDIRECT(ADDRESS(ROW()+1,COLUMN(), 4)),Dex!$A$2:$C526,3,false),"")</f>
        <v/>
      </c>
      <c r="F428" s="22" t="str">
        <f t="array" ref="F428">iferror(VLOOKUP(INDIRECT(ADDRESS(ROW()+1,COLUMN(), 4)),Dex!$A$2:$C526,3,false),"")</f>
        <v/>
      </c>
      <c r="G428" s="22" t="str">
        <f t="array" ref="G428">iferror(VLOOKUP(INDIRECT(ADDRESS(ROW()+1,COLUMN(), 4)),Dex!$A$2:$C526,3,false),"")</f>
        <v/>
      </c>
      <c r="H428" s="23" t="str">
        <f t="array" ref="H428">iferror(VLOOKUP("TRAINER_PIC_Picnicker",Sprites!$A$1:$B526,2,false),"")</f>
        <v/>
      </c>
      <c r="I428" s="24"/>
    </row>
    <row r="429">
      <c r="A429" s="25"/>
      <c r="B429" s="26" t="s">
        <v>1295</v>
      </c>
      <c r="C429" s="26" t="s">
        <v>2118</v>
      </c>
      <c r="D429" s="26" t="s">
        <v>1099</v>
      </c>
      <c r="E429" s="26" t="s">
        <v>1634</v>
      </c>
      <c r="F429" s="26"/>
      <c r="G429" s="26"/>
      <c r="H429" s="27"/>
    </row>
    <row r="430">
      <c r="A430" s="10" t="s">
        <v>199</v>
      </c>
      <c r="B430" s="22">
        <v>71.0</v>
      </c>
      <c r="C430" s="22">
        <v>70.0</v>
      </c>
      <c r="D430" s="22">
        <v>71.0</v>
      </c>
      <c r="E430" s="22">
        <v>71.0</v>
      </c>
      <c r="F430" s="22"/>
      <c r="G430" s="22"/>
      <c r="H430" s="27"/>
    </row>
    <row r="431">
      <c r="A431" s="10" t="s">
        <v>201</v>
      </c>
      <c r="B431" s="29" t="s">
        <v>536</v>
      </c>
      <c r="C431" s="29" t="s">
        <v>455</v>
      </c>
      <c r="D431" s="29" t="s">
        <v>645</v>
      </c>
      <c r="E431" s="29" t="s">
        <v>1635</v>
      </c>
      <c r="F431" s="29"/>
      <c r="G431" s="29"/>
      <c r="H431" s="27"/>
    </row>
    <row r="432">
      <c r="A432" s="10" t="s">
        <v>209</v>
      </c>
      <c r="B432" s="22" t="s">
        <v>541</v>
      </c>
      <c r="C432" s="22" t="s">
        <v>2840</v>
      </c>
      <c r="D432" s="22" t="s">
        <v>413</v>
      </c>
      <c r="E432" s="22" t="s">
        <v>899</v>
      </c>
      <c r="F432" s="22"/>
      <c r="G432" s="22"/>
      <c r="H432" s="28"/>
    </row>
    <row r="433">
      <c r="A433" s="10" t="s">
        <v>215</v>
      </c>
      <c r="B433" s="29" t="s">
        <v>231</v>
      </c>
      <c r="C433" s="29" t="s">
        <v>220</v>
      </c>
      <c r="D433" s="29" t="s">
        <v>419</v>
      </c>
      <c r="E433" s="29" t="s">
        <v>419</v>
      </c>
      <c r="F433" s="29"/>
      <c r="G433" s="29"/>
      <c r="H433" s="27"/>
    </row>
    <row r="434">
      <c r="A434" s="15" t="s">
        <v>224</v>
      </c>
      <c r="B434" s="22" t="s">
        <v>2449</v>
      </c>
      <c r="C434" s="22" t="s">
        <v>2993</v>
      </c>
      <c r="D434" s="22" t="s">
        <v>232</v>
      </c>
      <c r="E434" s="22" t="s">
        <v>371</v>
      </c>
      <c r="F434" s="22"/>
      <c r="G434" s="22"/>
      <c r="H434" s="27"/>
    </row>
    <row r="435">
      <c r="A435" s="30"/>
      <c r="B435" s="22" t="s">
        <v>2452</v>
      </c>
      <c r="C435" s="22" t="s">
        <v>799</v>
      </c>
      <c r="D435" s="22" t="s">
        <v>238</v>
      </c>
      <c r="E435" s="22" t="s">
        <v>697</v>
      </c>
      <c r="F435" s="22"/>
      <c r="G435" s="22"/>
      <c r="H435" s="28"/>
    </row>
    <row r="436">
      <c r="A436" s="30"/>
      <c r="B436" s="22" t="s">
        <v>2111</v>
      </c>
      <c r="C436" s="22" t="s">
        <v>361</v>
      </c>
      <c r="D436" s="22" t="s">
        <v>924</v>
      </c>
      <c r="E436" s="22" t="s">
        <v>360</v>
      </c>
      <c r="F436" s="22"/>
      <c r="G436" s="22"/>
      <c r="H436" s="27"/>
    </row>
    <row r="437">
      <c r="A437" s="25"/>
      <c r="B437" s="22" t="s">
        <v>1772</v>
      </c>
      <c r="C437" s="22" t="s">
        <v>428</v>
      </c>
      <c r="D437" s="22" t="s">
        <v>428</v>
      </c>
      <c r="E437" s="22" t="s">
        <v>426</v>
      </c>
      <c r="F437" s="22"/>
      <c r="G437" s="22"/>
      <c r="H437" s="31"/>
      <c r="I437" s="32"/>
    </row>
    <row r="438">
      <c r="A438" s="10" t="s">
        <v>5</v>
      </c>
      <c r="B438" s="11" t="s">
        <v>3004</v>
      </c>
      <c r="C438" s="9"/>
      <c r="D438" s="9"/>
      <c r="E438" s="9"/>
      <c r="F438" s="9"/>
      <c r="G438" s="9"/>
      <c r="H438" s="9"/>
      <c r="I438" s="13"/>
    </row>
    <row r="439" ht="60.0" customHeight="1">
      <c r="A439" s="15" t="s">
        <v>16</v>
      </c>
      <c r="B439" s="22" t="str">
        <f t="array" ref="B439">iferror(VLOOKUP(INDIRECT(ADDRESS(ROW()+1,COLUMN(), 4)),Dex!$A$2:$C526,3,false),"")</f>
        <v/>
      </c>
      <c r="C439" s="22" t="str">
        <f t="array" ref="C439">iferror(VLOOKUP(INDIRECT(ADDRESS(ROW()+1,COLUMN(), 4)),Dex!$A$2:$C526,3,false),"")</f>
        <v/>
      </c>
      <c r="D439" s="22" t="str">
        <f t="array" ref="D439">iferror(VLOOKUP(INDIRECT(ADDRESS(ROW()+1,COLUMN(), 4)),Dex!$A$2:$C526,3,false),"")</f>
        <v/>
      </c>
      <c r="E439" s="22" t="str">
        <f t="array" ref="E439">iferror(VLOOKUP(INDIRECT(ADDRESS(ROW()+1,COLUMN(), 4)),Dex!$A$2:$C526,3,false),"")</f>
        <v/>
      </c>
      <c r="F439" s="22" t="str">
        <f t="array" ref="F439">iferror(VLOOKUP(INDIRECT(ADDRESS(ROW()+1,COLUMN(), 4)),Dex!$A$2:$C526,3,false),"")</f>
        <v/>
      </c>
      <c r="G439" s="22" t="str">
        <f t="array" ref="G439">iferror(VLOOKUP(INDIRECT(ADDRESS(ROW()+1,COLUMN(), 4)),Dex!$A$2:$C526,3,false),"")</f>
        <v/>
      </c>
      <c r="H439" s="23" t="str">
        <f t="array" ref="H439">iferror(VLOOKUP("TRAINER_PIC_Cycling_Triathlete_M",Sprites!$A$1:$B526,2,false),"")</f>
        <v/>
      </c>
      <c r="I439" s="24"/>
    </row>
    <row r="440">
      <c r="A440" s="25"/>
      <c r="B440" s="26" t="s">
        <v>864</v>
      </c>
      <c r="C440" s="26" t="s">
        <v>1314</v>
      </c>
      <c r="D440" s="26" t="s">
        <v>397</v>
      </c>
      <c r="E440" s="26" t="s">
        <v>1645</v>
      </c>
      <c r="F440" s="26" t="s">
        <v>326</v>
      </c>
      <c r="G440" s="26"/>
      <c r="H440" s="27"/>
    </row>
    <row r="441">
      <c r="A441" s="10" t="s">
        <v>199</v>
      </c>
      <c r="B441" s="22">
        <v>71.0</v>
      </c>
      <c r="C441" s="22">
        <v>70.0</v>
      </c>
      <c r="D441" s="22">
        <v>71.0</v>
      </c>
      <c r="E441" s="22">
        <v>71.0</v>
      </c>
      <c r="F441" s="22">
        <v>72.0</v>
      </c>
      <c r="G441" s="22"/>
      <c r="H441" s="27"/>
    </row>
    <row r="442">
      <c r="A442" s="10" t="s">
        <v>201</v>
      </c>
      <c r="B442" s="29" t="s">
        <v>1022</v>
      </c>
      <c r="C442" s="29" t="s">
        <v>2099</v>
      </c>
      <c r="D442" s="29" t="s">
        <v>406</v>
      </c>
      <c r="E442" s="29" t="s">
        <v>776</v>
      </c>
      <c r="F442" s="29" t="s">
        <v>1926</v>
      </c>
      <c r="G442" s="29"/>
      <c r="H442" s="27"/>
    </row>
    <row r="443">
      <c r="A443" s="10" t="s">
        <v>209</v>
      </c>
      <c r="B443" s="22" t="s">
        <v>538</v>
      </c>
      <c r="C443" s="22" t="s">
        <v>1783</v>
      </c>
      <c r="D443" s="22" t="s">
        <v>219</v>
      </c>
      <c r="E443" s="22" t="s">
        <v>2342</v>
      </c>
      <c r="F443" s="22" t="s">
        <v>911</v>
      </c>
      <c r="G443" s="22"/>
      <c r="H443" s="28"/>
    </row>
    <row r="444">
      <c r="A444" s="10" t="s">
        <v>215</v>
      </c>
      <c r="B444" s="29" t="s">
        <v>220</v>
      </c>
      <c r="C444" s="29" t="s">
        <v>906</v>
      </c>
      <c r="D444" s="29" t="s">
        <v>231</v>
      </c>
      <c r="E444" s="29" t="s">
        <v>231</v>
      </c>
      <c r="F444" s="29" t="s">
        <v>906</v>
      </c>
      <c r="G444" s="29"/>
      <c r="H444" s="27"/>
    </row>
    <row r="445">
      <c r="A445" s="15" t="s">
        <v>224</v>
      </c>
      <c r="B445" s="22" t="s">
        <v>361</v>
      </c>
      <c r="C445" s="22" t="s">
        <v>1769</v>
      </c>
      <c r="D445" s="22" t="s">
        <v>1127</v>
      </c>
      <c r="E445" s="22" t="s">
        <v>363</v>
      </c>
      <c r="F445" s="22" t="s">
        <v>552</v>
      </c>
      <c r="G445" s="22"/>
      <c r="H445" s="28"/>
    </row>
    <row r="446">
      <c r="A446" s="30"/>
      <c r="B446" s="22" t="s">
        <v>2268</v>
      </c>
      <c r="C446" s="22" t="s">
        <v>355</v>
      </c>
      <c r="D446" s="22" t="s">
        <v>1538</v>
      </c>
      <c r="E446" s="22" t="s">
        <v>3015</v>
      </c>
      <c r="F446" s="22" t="s">
        <v>2793</v>
      </c>
      <c r="G446" s="22"/>
      <c r="H446" s="28"/>
    </row>
    <row r="447">
      <c r="A447" s="30"/>
      <c r="B447" s="22" t="s">
        <v>1125</v>
      </c>
      <c r="C447" s="22" t="s">
        <v>926</v>
      </c>
      <c r="D447" s="22" t="s">
        <v>363</v>
      </c>
      <c r="E447" s="22" t="s">
        <v>567</v>
      </c>
      <c r="F447" s="22" t="s">
        <v>2814</v>
      </c>
      <c r="G447" s="22"/>
      <c r="H447" s="27"/>
    </row>
    <row r="448">
      <c r="A448" s="25"/>
      <c r="B448" s="22"/>
      <c r="C448" s="22" t="s">
        <v>428</v>
      </c>
      <c r="D448" s="22" t="s">
        <v>1036</v>
      </c>
      <c r="E448" s="22" t="s">
        <v>549</v>
      </c>
      <c r="F448" s="22" t="s">
        <v>1458</v>
      </c>
      <c r="G448" s="22"/>
      <c r="H448" s="31"/>
      <c r="I448" s="32"/>
    </row>
    <row r="449">
      <c r="A449" s="8" t="s">
        <v>3016</v>
      </c>
      <c r="B449" s="9"/>
      <c r="C449" s="9"/>
      <c r="D449" s="9"/>
      <c r="E449" s="9"/>
      <c r="F449" s="9"/>
      <c r="G449" s="9"/>
      <c r="H449" s="9"/>
      <c r="I449" s="34"/>
    </row>
    <row r="450">
      <c r="A450" s="10" t="s">
        <v>5</v>
      </c>
      <c r="B450" s="11" t="s">
        <v>3017</v>
      </c>
      <c r="C450" s="9"/>
      <c r="D450" s="9"/>
      <c r="E450" s="9"/>
      <c r="F450" s="9"/>
      <c r="G450" s="9"/>
      <c r="H450" s="9"/>
      <c r="I450" s="14"/>
    </row>
    <row r="451" ht="60.0" customHeight="1">
      <c r="A451" s="15" t="s">
        <v>16</v>
      </c>
      <c r="B451" s="22" t="str">
        <f t="array" ref="B451">iferror(VLOOKUP(INDIRECT(ADDRESS(ROW()+1,COLUMN(), 4)),Dex!$A$2:$C526,3,false),"")</f>
        <v/>
      </c>
      <c r="C451" s="22" t="str">
        <f t="array" ref="C451">iferror(VLOOKUP(INDIRECT(ADDRESS(ROW()+1,COLUMN(), 4)),Dex!$A$2:$C526,3,false),"")</f>
        <v/>
      </c>
      <c r="D451" s="22" t="str">
        <f t="array" ref="D451">iferror(VLOOKUP(INDIRECT(ADDRESS(ROW()+1,COLUMN(), 4)),Dex!$A$2:$C526,3,false),"")</f>
        <v/>
      </c>
      <c r="E451" s="22" t="str">
        <f t="array" ref="E451">iferror(VLOOKUP(INDIRECT(ADDRESS(ROW()+1,COLUMN(), 4)),Dex!$A$2:$C526,3,false),"")</f>
        <v/>
      </c>
      <c r="F451" s="22" t="str">
        <f t="array" ref="F451">iferror(VLOOKUP(INDIRECT(ADDRESS(ROW()+1,COLUMN(), 4)),Dex!$A$2:$C526,3,false),"")</f>
        <v/>
      </c>
      <c r="G451" s="22" t="str">
        <f t="array" ref="G451">iferror(VLOOKUP(INDIRECT(ADDRESS(ROW()+1,COLUMN(), 4)),Dex!$A$2:$C526,3,false),"")</f>
        <v/>
      </c>
      <c r="H451" s="23" t="str">
        <f t="array" ref="H451">iferror(VLOOKUP("TRAINER_PIC_Hiker",Sprites!$A$1:$B526,2,false),"")</f>
        <v/>
      </c>
      <c r="I451" s="24"/>
    </row>
    <row r="452">
      <c r="A452" s="25"/>
      <c r="B452" s="26" t="s">
        <v>187</v>
      </c>
      <c r="C452" s="26" t="s">
        <v>3029</v>
      </c>
      <c r="D452" s="26" t="s">
        <v>1603</v>
      </c>
      <c r="E452" s="26" t="s">
        <v>2086</v>
      </c>
      <c r="F452" s="26" t="s">
        <v>1373</v>
      </c>
      <c r="G452" s="26"/>
      <c r="H452" s="28"/>
    </row>
    <row r="453">
      <c r="A453" s="10" t="s">
        <v>199</v>
      </c>
      <c r="B453" s="22">
        <v>72.0</v>
      </c>
      <c r="C453" s="22">
        <v>71.0</v>
      </c>
      <c r="D453" s="22">
        <v>71.0</v>
      </c>
      <c r="E453" s="22">
        <v>71.0</v>
      </c>
      <c r="F453" s="22">
        <v>72.0</v>
      </c>
      <c r="G453" s="22"/>
      <c r="H453" s="27"/>
    </row>
    <row r="454">
      <c r="A454" s="10" t="s">
        <v>201</v>
      </c>
      <c r="B454" s="29" t="s">
        <v>2323</v>
      </c>
      <c r="C454" s="29" t="s">
        <v>1635</v>
      </c>
      <c r="D454" s="29" t="s">
        <v>1521</v>
      </c>
      <c r="E454" s="29" t="s">
        <v>3030</v>
      </c>
      <c r="F454" s="29" t="s">
        <v>2939</v>
      </c>
      <c r="G454" s="29"/>
      <c r="H454" s="27"/>
    </row>
    <row r="455">
      <c r="A455" s="10" t="s">
        <v>209</v>
      </c>
      <c r="B455" s="22" t="s">
        <v>2353</v>
      </c>
      <c r="C455" s="22" t="s">
        <v>2368</v>
      </c>
      <c r="D455" s="22" t="s">
        <v>219</v>
      </c>
      <c r="E455" s="22" t="s">
        <v>1950</v>
      </c>
      <c r="F455" s="22" t="s">
        <v>1641</v>
      </c>
      <c r="G455" s="22"/>
      <c r="H455" s="27"/>
    </row>
    <row r="456">
      <c r="A456" s="10" t="s">
        <v>215</v>
      </c>
      <c r="B456" s="29" t="s">
        <v>419</v>
      </c>
      <c r="C456" s="29" t="s">
        <v>419</v>
      </c>
      <c r="D456" s="29" t="s">
        <v>220</v>
      </c>
      <c r="E456" s="29" t="s">
        <v>218</v>
      </c>
      <c r="F456" s="29" t="s">
        <v>231</v>
      </c>
      <c r="G456" s="29"/>
      <c r="H456" s="28"/>
    </row>
    <row r="457">
      <c r="A457" s="15" t="s">
        <v>224</v>
      </c>
      <c r="B457" s="22" t="s">
        <v>2555</v>
      </c>
      <c r="C457" s="22" t="s">
        <v>238</v>
      </c>
      <c r="D457" s="22" t="s">
        <v>2327</v>
      </c>
      <c r="E457" s="22" t="s">
        <v>1953</v>
      </c>
      <c r="F457" s="22" t="s">
        <v>1460</v>
      </c>
      <c r="G457" s="22"/>
      <c r="H457" s="28"/>
    </row>
    <row r="458">
      <c r="A458" s="30"/>
      <c r="B458" s="22" t="s">
        <v>1958</v>
      </c>
      <c r="C458" s="22" t="s">
        <v>2605</v>
      </c>
      <c r="D458" s="22" t="s">
        <v>1223</v>
      </c>
      <c r="E458" s="22" t="s">
        <v>2705</v>
      </c>
      <c r="F458" s="22" t="s">
        <v>2464</v>
      </c>
      <c r="G458" s="22"/>
      <c r="H458" s="27"/>
    </row>
    <row r="459">
      <c r="A459" s="30"/>
      <c r="B459" s="22" t="s">
        <v>552</v>
      </c>
      <c r="C459" s="22" t="s">
        <v>361</v>
      </c>
      <c r="D459" s="22" t="s">
        <v>2002</v>
      </c>
      <c r="E459" s="22" t="s">
        <v>2583</v>
      </c>
      <c r="F459" s="22" t="s">
        <v>2583</v>
      </c>
      <c r="G459" s="22"/>
      <c r="H459" s="28"/>
    </row>
    <row r="460">
      <c r="A460" s="25"/>
      <c r="B460" s="22" t="s">
        <v>2605</v>
      </c>
      <c r="C460" s="22" t="s">
        <v>570</v>
      </c>
      <c r="D460" s="22" t="s">
        <v>1162</v>
      </c>
      <c r="E460" s="22" t="s">
        <v>2605</v>
      </c>
      <c r="F460" s="22" t="s">
        <v>652</v>
      </c>
      <c r="G460" s="22"/>
      <c r="H460" s="31"/>
      <c r="I460" s="32"/>
    </row>
    <row r="461">
      <c r="A461" s="10" t="s">
        <v>5</v>
      </c>
      <c r="B461" s="11" t="s">
        <v>3032</v>
      </c>
      <c r="C461" s="9"/>
      <c r="D461" s="9"/>
      <c r="E461" s="9"/>
      <c r="F461" s="9"/>
      <c r="G461" s="9"/>
      <c r="H461" s="9"/>
      <c r="I461" s="14"/>
    </row>
    <row r="462" ht="60.0" customHeight="1">
      <c r="A462" s="15" t="s">
        <v>16</v>
      </c>
      <c r="B462" s="22" t="str">
        <f t="array" ref="B462">iferror(VLOOKUP(INDIRECT(ADDRESS(ROW()+1,COLUMN(), 4)),Dex!$A$2:$C526,3,false),"")</f>
        <v/>
      </c>
      <c r="C462" s="22" t="str">
        <f t="array" ref="C462">iferror(VLOOKUP(INDIRECT(ADDRESS(ROW()+1,COLUMN(), 4)),Dex!$A$2:$C526,3,false),"")</f>
        <v/>
      </c>
      <c r="D462" s="22" t="str">
        <f t="array" ref="D462">iferror(VLOOKUP(INDIRECT(ADDRESS(ROW()+1,COLUMN(), 4)),Dex!$A$2:$C526,3,false),"")</f>
        <v/>
      </c>
      <c r="E462" s="22" t="str">
        <f t="array" ref="E462">iferror(VLOOKUP(INDIRECT(ADDRESS(ROW()+1,COLUMN(), 4)),Dex!$A$2:$C526,3,false),"")</f>
        <v/>
      </c>
      <c r="F462" s="22" t="str">
        <f t="array" ref="F462">iferror(VLOOKUP(INDIRECT(ADDRESS(ROW()+1,COLUMN(), 4)),Dex!$A$2:$C526,3,false),"")</f>
        <v/>
      </c>
      <c r="G462" s="22" t="str">
        <f t="array" ref="G462">iferror(VLOOKUP(INDIRECT(ADDRESS(ROW()+1,COLUMN(), 4)),Dex!$A$2:$C526,3,false),"")</f>
        <v/>
      </c>
      <c r="H462" s="23" t="str">
        <f t="array" ref="H462">iferror(VLOOKUP("TRAINER_PIC_Kindler",Sprites!$A$1:$B526,2,false),"")</f>
        <v/>
      </c>
      <c r="I462" s="24"/>
    </row>
    <row r="463">
      <c r="A463" s="25"/>
      <c r="B463" s="26" t="s">
        <v>949</v>
      </c>
      <c r="C463" s="26" t="s">
        <v>624</v>
      </c>
      <c r="D463" s="26" t="s">
        <v>1079</v>
      </c>
      <c r="E463" s="26" t="s">
        <v>336</v>
      </c>
      <c r="F463" s="26" t="s">
        <v>1009</v>
      </c>
      <c r="G463" s="26"/>
      <c r="H463" s="28"/>
    </row>
    <row r="464">
      <c r="A464" s="10" t="s">
        <v>199</v>
      </c>
      <c r="B464" s="22">
        <v>72.0</v>
      </c>
      <c r="C464" s="22">
        <v>72.0</v>
      </c>
      <c r="D464" s="22">
        <v>71.0</v>
      </c>
      <c r="E464" s="22">
        <v>71.0</v>
      </c>
      <c r="F464" s="22">
        <v>72.0</v>
      </c>
      <c r="G464" s="22"/>
      <c r="H464" s="27"/>
    </row>
    <row r="465">
      <c r="A465" s="10" t="s">
        <v>201</v>
      </c>
      <c r="B465" s="29" t="s">
        <v>1150</v>
      </c>
      <c r="C465" s="29" t="s">
        <v>408</v>
      </c>
      <c r="D465" s="29" t="s">
        <v>1521</v>
      </c>
      <c r="E465" s="29" t="s">
        <v>455</v>
      </c>
      <c r="F465" s="29" t="s">
        <v>776</v>
      </c>
      <c r="G465" s="29"/>
      <c r="H465" s="27"/>
    </row>
    <row r="466">
      <c r="A466" s="10" t="s">
        <v>209</v>
      </c>
      <c r="B466" s="22" t="s">
        <v>1153</v>
      </c>
      <c r="C466" s="22" t="s">
        <v>1339</v>
      </c>
      <c r="D466" s="22" t="s">
        <v>1060</v>
      </c>
      <c r="E466" s="22" t="s">
        <v>1528</v>
      </c>
      <c r="F466" s="22" t="s">
        <v>2473</v>
      </c>
      <c r="G466" s="22"/>
      <c r="H466" s="27"/>
    </row>
    <row r="467">
      <c r="A467" s="10" t="s">
        <v>215</v>
      </c>
      <c r="B467" s="29" t="s">
        <v>231</v>
      </c>
      <c r="C467" s="29" t="s">
        <v>222</v>
      </c>
      <c r="D467" s="29" t="s">
        <v>419</v>
      </c>
      <c r="E467" s="29" t="s">
        <v>222</v>
      </c>
      <c r="F467" s="29" t="s">
        <v>419</v>
      </c>
      <c r="G467" s="29"/>
      <c r="H467" s="28"/>
    </row>
    <row r="468">
      <c r="A468" s="15" t="s">
        <v>224</v>
      </c>
      <c r="B468" s="22" t="s">
        <v>477</v>
      </c>
      <c r="C468" s="22" t="s">
        <v>2937</v>
      </c>
      <c r="D468" s="22" t="s">
        <v>3048</v>
      </c>
      <c r="E468" s="22" t="s">
        <v>2578</v>
      </c>
      <c r="F468" s="22" t="s">
        <v>814</v>
      </c>
      <c r="G468" s="22"/>
      <c r="H468" s="28"/>
    </row>
    <row r="469">
      <c r="A469" s="30"/>
      <c r="B469" s="22" t="s">
        <v>702</v>
      </c>
      <c r="C469" s="22" t="s">
        <v>1441</v>
      </c>
      <c r="D469" s="22" t="s">
        <v>582</v>
      </c>
      <c r="E469" s="22" t="s">
        <v>577</v>
      </c>
      <c r="F469" s="22" t="s">
        <v>2584</v>
      </c>
      <c r="G469" s="22"/>
      <c r="H469" s="27"/>
    </row>
    <row r="470">
      <c r="A470" s="30"/>
      <c r="B470" s="22" t="s">
        <v>692</v>
      </c>
      <c r="C470" s="22" t="s">
        <v>1291</v>
      </c>
      <c r="D470" s="22" t="s">
        <v>2605</v>
      </c>
      <c r="E470" s="22" t="s">
        <v>365</v>
      </c>
      <c r="F470" s="22" t="s">
        <v>234</v>
      </c>
      <c r="G470" s="22"/>
      <c r="H470" s="28"/>
    </row>
    <row r="471">
      <c r="A471" s="25"/>
      <c r="B471" s="22" t="s">
        <v>811</v>
      </c>
      <c r="C471" s="22" t="s">
        <v>3049</v>
      </c>
      <c r="D471" s="22" t="s">
        <v>1655</v>
      </c>
      <c r="E471" s="22" t="s">
        <v>1031</v>
      </c>
      <c r="F471" s="22" t="s">
        <v>253</v>
      </c>
      <c r="G471" s="22"/>
      <c r="H471" s="31"/>
      <c r="I471" s="32"/>
    </row>
    <row r="472">
      <c r="A472" s="10" t="s">
        <v>5</v>
      </c>
      <c r="B472" s="11" t="s">
        <v>3050</v>
      </c>
      <c r="C472" s="9"/>
      <c r="D472" s="9"/>
      <c r="E472" s="9"/>
      <c r="F472" s="9"/>
      <c r="G472" s="9"/>
      <c r="H472" s="9"/>
      <c r="I472" s="14"/>
    </row>
    <row r="473" ht="60.0" customHeight="1">
      <c r="A473" s="15" t="s">
        <v>16</v>
      </c>
      <c r="B473" s="22" t="str">
        <f t="array" ref="B473">iferror(VLOOKUP(INDIRECT(ADDRESS(ROW()+1,COLUMN(), 4)),Dex!$A$2:$C526,3,false),"")</f>
        <v/>
      </c>
      <c r="C473" s="22" t="str">
        <f t="array" ref="C473">iferror(VLOOKUP(INDIRECT(ADDRESS(ROW()+1,COLUMN(), 4)),Dex!$A$2:$C526,3,false),"")</f>
        <v/>
      </c>
      <c r="D473" s="22" t="str">
        <f t="array" ref="D473">iferror(VLOOKUP(INDIRECT(ADDRESS(ROW()+1,COLUMN(), 4)),Dex!$A$2:$C526,3,false),"")</f>
        <v/>
      </c>
      <c r="E473" s="22" t="str">
        <f t="array" ref="E473">iferror(VLOOKUP(INDIRECT(ADDRESS(ROW()+1,COLUMN(), 4)),Dex!$A$2:$C526,3,false),"")</f>
        <v/>
      </c>
      <c r="F473" s="22" t="str">
        <f t="array" ref="F473">iferror(VLOOKUP(INDIRECT(ADDRESS(ROW()+1,COLUMN(), 4)),Dex!$A$2:$C526,3,false),"")</f>
        <v/>
      </c>
      <c r="G473" s="22" t="str">
        <f t="array" ref="G473">iferror(VLOOKUP(INDIRECT(ADDRESS(ROW()+1,COLUMN(), 4)),Dex!$A$2:$C526,3,false),"")</f>
        <v/>
      </c>
      <c r="H473" s="23" t="str">
        <f t="array" ref="H473">iferror(VLOOKUP("TRAINER_PIC_Kindler",Sprites!$A$1:$B526,2,false),"")</f>
        <v/>
      </c>
      <c r="I473" s="24"/>
    </row>
    <row r="474">
      <c r="A474" s="25"/>
      <c r="B474" s="26" t="s">
        <v>783</v>
      </c>
      <c r="C474" s="26" t="s">
        <v>888</v>
      </c>
      <c r="D474" s="26"/>
      <c r="E474" s="26" t="s">
        <v>984</v>
      </c>
      <c r="F474" s="26" t="s">
        <v>1246</v>
      </c>
      <c r="G474" s="26" t="s">
        <v>1077</v>
      </c>
      <c r="H474" s="28"/>
    </row>
    <row r="475">
      <c r="A475" s="10" t="s">
        <v>199</v>
      </c>
      <c r="B475" s="22">
        <v>72.0</v>
      </c>
      <c r="C475" s="22">
        <v>72.0</v>
      </c>
      <c r="D475" s="22"/>
      <c r="E475" s="22">
        <v>71.0</v>
      </c>
      <c r="F475" s="22">
        <v>72.0</v>
      </c>
      <c r="G475" s="22">
        <v>72.0</v>
      </c>
      <c r="H475" s="27"/>
    </row>
    <row r="476">
      <c r="A476" s="10" t="s">
        <v>201</v>
      </c>
      <c r="B476" s="29" t="s">
        <v>2032</v>
      </c>
      <c r="C476" s="29" t="s">
        <v>2365</v>
      </c>
      <c r="D476" s="29"/>
      <c r="E476" s="29" t="s">
        <v>408</v>
      </c>
      <c r="F476" s="29" t="s">
        <v>455</v>
      </c>
      <c r="G476" s="29" t="s">
        <v>344</v>
      </c>
      <c r="H476" s="27"/>
    </row>
    <row r="477">
      <c r="A477" s="10" t="s">
        <v>209</v>
      </c>
      <c r="B477" s="22" t="s">
        <v>2353</v>
      </c>
      <c r="C477" s="22" t="s">
        <v>2473</v>
      </c>
      <c r="D477" s="22"/>
      <c r="E477" s="22" t="s">
        <v>3061</v>
      </c>
      <c r="F477" s="22" t="s">
        <v>1950</v>
      </c>
      <c r="G477" s="22" t="s">
        <v>1950</v>
      </c>
      <c r="H477" s="27"/>
    </row>
    <row r="478">
      <c r="A478" s="10" t="s">
        <v>215</v>
      </c>
      <c r="B478" s="29" t="s">
        <v>461</v>
      </c>
      <c r="C478" s="29" t="s">
        <v>1346</v>
      </c>
      <c r="D478" s="29"/>
      <c r="E478" s="29" t="s">
        <v>419</v>
      </c>
      <c r="F478" s="29" t="s">
        <v>231</v>
      </c>
      <c r="G478" s="29" t="s">
        <v>218</v>
      </c>
      <c r="H478" s="28"/>
    </row>
    <row r="479">
      <c r="A479" s="15" t="s">
        <v>224</v>
      </c>
      <c r="B479" s="22" t="s">
        <v>2583</v>
      </c>
      <c r="C479" s="22" t="s">
        <v>2583</v>
      </c>
      <c r="D479" s="22"/>
      <c r="E479" s="22" t="s">
        <v>465</v>
      </c>
      <c r="F479" s="22" t="s">
        <v>2773</v>
      </c>
      <c r="G479" s="22" t="s">
        <v>477</v>
      </c>
      <c r="H479" s="28"/>
    </row>
    <row r="480">
      <c r="A480" s="30"/>
      <c r="B480" s="22" t="s">
        <v>2500</v>
      </c>
      <c r="C480" s="22" t="s">
        <v>2220</v>
      </c>
      <c r="D480" s="22"/>
      <c r="E480" s="22" t="s">
        <v>1958</v>
      </c>
      <c r="F480" s="22" t="s">
        <v>2041</v>
      </c>
      <c r="G480" s="22" t="s">
        <v>555</v>
      </c>
      <c r="H480" s="27"/>
    </row>
    <row r="481">
      <c r="A481" s="30"/>
      <c r="B481" s="22" t="s">
        <v>363</v>
      </c>
      <c r="C481" s="22" t="s">
        <v>2660</v>
      </c>
      <c r="D481" s="22"/>
      <c r="E481" s="22" t="s">
        <v>1955</v>
      </c>
      <c r="F481" s="22" t="s">
        <v>1954</v>
      </c>
      <c r="G481" s="22" t="s">
        <v>365</v>
      </c>
      <c r="H481" s="28"/>
    </row>
    <row r="482">
      <c r="A482" s="25"/>
      <c r="B482" s="22" t="s">
        <v>473</v>
      </c>
      <c r="C482" s="22" t="s">
        <v>1033</v>
      </c>
      <c r="D482" s="22"/>
      <c r="E482" s="22" t="s">
        <v>2041</v>
      </c>
      <c r="F482" s="22" t="s">
        <v>2111</v>
      </c>
      <c r="G482" s="22" t="s">
        <v>2659</v>
      </c>
      <c r="H482" s="31"/>
      <c r="I482" s="32"/>
    </row>
    <row r="483">
      <c r="A483" s="10" t="s">
        <v>5</v>
      </c>
      <c r="B483" s="11" t="s">
        <v>3062</v>
      </c>
      <c r="C483" s="9"/>
      <c r="D483" s="9"/>
      <c r="E483" s="9"/>
      <c r="F483" s="9"/>
      <c r="G483" s="9"/>
      <c r="H483" s="9"/>
      <c r="I483" s="14"/>
    </row>
    <row r="484" ht="60.0" customHeight="1">
      <c r="A484" s="15" t="s">
        <v>16</v>
      </c>
      <c r="B484" s="22" t="str">
        <f t="array" ref="B484">iferror(VLOOKUP(INDIRECT(ADDRESS(ROW()+1,COLUMN(), 4)),Dex!$A$2:$C526,3,false),"")</f>
        <v/>
      </c>
      <c r="C484" s="22" t="str">
        <f t="array" ref="C484">iferror(VLOOKUP(INDIRECT(ADDRESS(ROW()+1,COLUMN(), 4)),Dex!$A$2:$C526,3,false),"")</f>
        <v/>
      </c>
      <c r="D484" s="22" t="str">
        <f t="array" ref="D484">iferror(VLOOKUP(INDIRECT(ADDRESS(ROW()+1,COLUMN(), 4)),Dex!$A$2:$C526,3,false),"")</f>
        <v/>
      </c>
      <c r="E484" s="22" t="str">
        <f t="array" ref="E484">iferror(VLOOKUP(INDIRECT(ADDRESS(ROW()+1,COLUMN(), 4)),Dex!$A$2:$C526,3,false),"")</f>
        <v/>
      </c>
      <c r="F484" s="22" t="str">
        <f t="array" ref="F484">iferror(VLOOKUP(INDIRECT(ADDRESS(ROW()+1,COLUMN(), 4)),Dex!$A$2:$C526,3,false),"")</f>
        <v/>
      </c>
      <c r="G484" s="22" t="str">
        <f t="array" ref="G484">iferror(VLOOKUP(INDIRECT(ADDRESS(ROW()+1,COLUMN(), 4)),Dex!$A$2:$C526,3,false),"")</f>
        <v/>
      </c>
      <c r="H484" s="23" t="str">
        <f t="array" ref="H484">iferror(VLOOKUP("TRAINER_PIC_Dragon_Tamer",Sprites!$A$1:$B526,2,false),"")</f>
        <v/>
      </c>
      <c r="I484" s="24"/>
    </row>
    <row r="485">
      <c r="A485" s="25"/>
      <c r="B485" s="26" t="s">
        <v>296</v>
      </c>
      <c r="C485" s="26" t="s">
        <v>1916</v>
      </c>
      <c r="D485" s="26" t="s">
        <v>562</v>
      </c>
      <c r="E485" s="26" t="s">
        <v>1238</v>
      </c>
      <c r="F485" s="26" t="s">
        <v>1398</v>
      </c>
      <c r="G485" s="26"/>
      <c r="H485" s="28"/>
    </row>
    <row r="486">
      <c r="A486" s="10" t="s">
        <v>199</v>
      </c>
      <c r="B486" s="22">
        <v>72.0</v>
      </c>
      <c r="C486" s="22">
        <v>72.0</v>
      </c>
      <c r="D486" s="22">
        <v>71.0</v>
      </c>
      <c r="E486" s="22">
        <v>71.0</v>
      </c>
      <c r="F486" s="22">
        <v>72.0</v>
      </c>
      <c r="G486" s="22"/>
      <c r="H486" s="27"/>
    </row>
    <row r="487">
      <c r="A487" s="10" t="s">
        <v>201</v>
      </c>
      <c r="B487" s="29" t="s">
        <v>2323</v>
      </c>
      <c r="C487" s="29" t="s">
        <v>1014</v>
      </c>
      <c r="D487" s="29" t="s">
        <v>408</v>
      </c>
      <c r="E487" s="29" t="s">
        <v>455</v>
      </c>
      <c r="F487" s="29" t="s">
        <v>1635</v>
      </c>
      <c r="G487" s="29"/>
      <c r="H487" s="27"/>
    </row>
    <row r="488">
      <c r="A488" s="10" t="s">
        <v>209</v>
      </c>
      <c r="B488" s="22" t="s">
        <v>1060</v>
      </c>
      <c r="C488" s="22" t="s">
        <v>2317</v>
      </c>
      <c r="D488" s="22" t="s">
        <v>1950</v>
      </c>
      <c r="E488" s="22" t="s">
        <v>3076</v>
      </c>
      <c r="F488" s="22" t="s">
        <v>1060</v>
      </c>
      <c r="G488" s="22"/>
      <c r="H488" s="27"/>
    </row>
    <row r="489">
      <c r="A489" s="10" t="s">
        <v>215</v>
      </c>
      <c r="B489" s="29" t="s">
        <v>231</v>
      </c>
      <c r="C489" s="29" t="s">
        <v>419</v>
      </c>
      <c r="D489" s="29" t="s">
        <v>419</v>
      </c>
      <c r="E489" s="29" t="s">
        <v>419</v>
      </c>
      <c r="F489" s="29" t="s">
        <v>419</v>
      </c>
      <c r="G489" s="29"/>
      <c r="H489" s="28"/>
    </row>
    <row r="490">
      <c r="A490" s="15" t="s">
        <v>224</v>
      </c>
      <c r="B490" s="22" t="s">
        <v>1952</v>
      </c>
      <c r="C490" s="22" t="s">
        <v>2397</v>
      </c>
      <c r="D490" s="22" t="s">
        <v>1958</v>
      </c>
      <c r="E490" s="22" t="s">
        <v>1955</v>
      </c>
      <c r="F490" s="22" t="s">
        <v>2307</v>
      </c>
      <c r="G490" s="22"/>
      <c r="H490" s="27"/>
    </row>
    <row r="491">
      <c r="A491" s="30"/>
      <c r="B491" s="22" t="s">
        <v>2327</v>
      </c>
      <c r="C491" s="22" t="s">
        <v>815</v>
      </c>
      <c r="D491" s="22" t="s">
        <v>1953</v>
      </c>
      <c r="E491" s="22" t="s">
        <v>588</v>
      </c>
      <c r="F491" s="22" t="s">
        <v>358</v>
      </c>
      <c r="G491" s="22"/>
      <c r="H491" s="27"/>
    </row>
    <row r="492">
      <c r="A492" s="30"/>
      <c r="B492" s="22" t="s">
        <v>567</v>
      </c>
      <c r="C492" s="22" t="s">
        <v>246</v>
      </c>
      <c r="D492" s="22" t="s">
        <v>1955</v>
      </c>
      <c r="E492" s="22" t="s">
        <v>2386</v>
      </c>
      <c r="F492" s="22" t="s">
        <v>360</v>
      </c>
      <c r="G492" s="22"/>
      <c r="H492" s="28"/>
    </row>
    <row r="493">
      <c r="A493" s="25"/>
      <c r="B493" s="22" t="s">
        <v>1035</v>
      </c>
      <c r="C493" s="22" t="s">
        <v>1952</v>
      </c>
      <c r="D493" s="22" t="s">
        <v>357</v>
      </c>
      <c r="E493" s="22" t="s">
        <v>253</v>
      </c>
      <c r="F493" s="22" t="s">
        <v>371</v>
      </c>
      <c r="G493" s="22"/>
      <c r="H493" s="31"/>
      <c r="I493" s="32"/>
    </row>
    <row r="494">
      <c r="A494" s="10" t="s">
        <v>5</v>
      </c>
      <c r="B494" s="11" t="s">
        <v>3078</v>
      </c>
      <c r="C494" s="9"/>
      <c r="D494" s="9"/>
      <c r="E494" s="9"/>
      <c r="F494" s="9"/>
      <c r="G494" s="9"/>
      <c r="H494" s="9"/>
      <c r="I494" s="14"/>
    </row>
    <row r="495" ht="60.0" customHeight="1">
      <c r="A495" s="15" t="s">
        <v>16</v>
      </c>
      <c r="B495" s="22" t="str">
        <f t="array" ref="B495">iferror(VLOOKUP(INDIRECT(ADDRESS(ROW()+1,COLUMN(), 4)),Dex!$A$2:$C526,3,false),"")</f>
        <v/>
      </c>
      <c r="C495" s="22" t="str">
        <f t="array" ref="C495">iferror(VLOOKUP(INDIRECT(ADDRESS(ROW()+1,COLUMN(), 4)),Dex!$A$2:$C526,3,false),"")</f>
        <v/>
      </c>
      <c r="D495" s="22" t="str">
        <f t="array" ref="D495">iferror(VLOOKUP(INDIRECT(ADDRESS(ROW()+1,COLUMN(), 4)),Dex!$A$2:$C526,3,false),"")</f>
        <v/>
      </c>
      <c r="E495" s="22" t="str">
        <f t="array" ref="E495">iferror(VLOOKUP(INDIRECT(ADDRESS(ROW()+1,COLUMN(), 4)),Dex!$A$2:$C526,3,false),"")</f>
        <v/>
      </c>
      <c r="F495" s="22" t="str">
        <f t="array" ref="F495">iferror(VLOOKUP(INDIRECT(ADDRESS(ROW()+1,COLUMN(), 4)),Dex!$A$2:$C526,3,false),"")</f>
        <v/>
      </c>
      <c r="G495" s="22" t="str">
        <f t="array" ref="G495">iferror(VLOOKUP(INDIRECT(ADDRESS(ROW()+1,COLUMN(), 4)),Dex!$A$2:$C526,3,false),"")</f>
        <v/>
      </c>
      <c r="H495" s="23" t="str">
        <f t="array" ref="H495">iferror(VLOOKUP("TRAINER_PIC_Cooltrainer_M",Sprites!$A$1:$B526,2,false),"")</f>
        <v/>
      </c>
      <c r="I495" s="24"/>
    </row>
    <row r="496">
      <c r="A496" s="25"/>
      <c r="B496" s="26" t="s">
        <v>342</v>
      </c>
      <c r="C496" s="26" t="s">
        <v>592</v>
      </c>
      <c r="D496" s="26" t="s">
        <v>1261</v>
      </c>
      <c r="E496" s="26" t="s">
        <v>1696</v>
      </c>
      <c r="F496" s="26" t="s">
        <v>439</v>
      </c>
      <c r="G496" s="26"/>
      <c r="H496" s="28"/>
    </row>
    <row r="497">
      <c r="A497" s="10" t="s">
        <v>199</v>
      </c>
      <c r="B497" s="22">
        <v>71.0</v>
      </c>
      <c r="C497" s="22">
        <v>71.0</v>
      </c>
      <c r="D497" s="22">
        <v>72.0</v>
      </c>
      <c r="E497" s="22">
        <v>72.0</v>
      </c>
      <c r="F497" s="22">
        <v>72.0</v>
      </c>
      <c r="G497" s="22"/>
      <c r="H497" s="27"/>
    </row>
    <row r="498">
      <c r="A498" s="10" t="s">
        <v>201</v>
      </c>
      <c r="B498" s="29" t="s">
        <v>675</v>
      </c>
      <c r="C498" s="29" t="s">
        <v>3085</v>
      </c>
      <c r="D498" s="29" t="s">
        <v>206</v>
      </c>
      <c r="E498" s="29" t="s">
        <v>3086</v>
      </c>
      <c r="F498" s="29" t="s">
        <v>2409</v>
      </c>
      <c r="G498" s="29"/>
      <c r="H498" s="27"/>
    </row>
    <row r="499">
      <c r="A499" s="10" t="s">
        <v>209</v>
      </c>
      <c r="B499" s="22" t="s">
        <v>1283</v>
      </c>
      <c r="C499" s="22" t="s">
        <v>912</v>
      </c>
      <c r="D499" s="22" t="s">
        <v>2909</v>
      </c>
      <c r="E499" s="22" t="s">
        <v>2669</v>
      </c>
      <c r="F499" s="22" t="s">
        <v>2354</v>
      </c>
      <c r="G499" s="22"/>
      <c r="H499" s="27"/>
    </row>
    <row r="500">
      <c r="A500" s="10" t="s">
        <v>215</v>
      </c>
      <c r="B500" s="29" t="s">
        <v>231</v>
      </c>
      <c r="C500" s="29" t="s">
        <v>222</v>
      </c>
      <c r="D500" s="29" t="s">
        <v>231</v>
      </c>
      <c r="E500" s="29" t="s">
        <v>1346</v>
      </c>
      <c r="F500" s="29" t="s">
        <v>1346</v>
      </c>
      <c r="G500" s="29"/>
      <c r="H500" s="28"/>
    </row>
    <row r="501">
      <c r="A501" s="15" t="s">
        <v>224</v>
      </c>
      <c r="B501" s="22" t="s">
        <v>3045</v>
      </c>
      <c r="C501" s="22" t="s">
        <v>246</v>
      </c>
      <c r="D501" s="22" t="s">
        <v>1549</v>
      </c>
      <c r="E501" s="22" t="s">
        <v>246</v>
      </c>
      <c r="F501" s="22" t="s">
        <v>3090</v>
      </c>
      <c r="G501" s="22"/>
      <c r="H501" s="27"/>
    </row>
    <row r="502">
      <c r="A502" s="30"/>
      <c r="B502" s="22" t="s">
        <v>931</v>
      </c>
      <c r="C502" s="22" t="s">
        <v>234</v>
      </c>
      <c r="D502" s="22" t="s">
        <v>2327</v>
      </c>
      <c r="E502" s="22" t="s">
        <v>2670</v>
      </c>
      <c r="F502" s="22" t="s">
        <v>249</v>
      </c>
      <c r="G502" s="22"/>
      <c r="H502" s="27"/>
    </row>
    <row r="503">
      <c r="A503" s="30"/>
      <c r="B503" s="22" t="s">
        <v>3046</v>
      </c>
      <c r="C503" s="22" t="s">
        <v>1458</v>
      </c>
      <c r="D503" s="22" t="s">
        <v>356</v>
      </c>
      <c r="E503" s="22" t="s">
        <v>238</v>
      </c>
      <c r="F503" s="22" t="s">
        <v>808</v>
      </c>
      <c r="G503" s="22"/>
      <c r="H503" s="28"/>
    </row>
    <row r="504">
      <c r="A504" s="25"/>
      <c r="B504" s="22" t="s">
        <v>1158</v>
      </c>
      <c r="C504" s="22" t="s">
        <v>1661</v>
      </c>
      <c r="D504" s="22" t="s">
        <v>476</v>
      </c>
      <c r="E504" s="22" t="s">
        <v>2047</v>
      </c>
      <c r="F504" s="22" t="s">
        <v>1436</v>
      </c>
      <c r="G504" s="22"/>
      <c r="H504" s="31"/>
      <c r="I504" s="32"/>
    </row>
    <row r="505">
      <c r="A505" s="10" t="s">
        <v>5</v>
      </c>
      <c r="B505" s="11" t="s">
        <v>3093</v>
      </c>
      <c r="C505" s="9"/>
      <c r="D505" s="9"/>
      <c r="E505" s="9"/>
      <c r="F505" s="9"/>
      <c r="G505" s="9"/>
      <c r="H505" s="9"/>
      <c r="I505" s="14"/>
    </row>
    <row r="506" ht="60.0" customHeight="1">
      <c r="A506" s="15" t="s">
        <v>16</v>
      </c>
      <c r="B506" s="22" t="str">
        <f t="array" ref="B506">iferror(VLOOKUP(INDIRECT(ADDRESS(ROW()+1,COLUMN(), 4)),Dex!$A$2:$C526,3,false),"")</f>
        <v/>
      </c>
      <c r="C506" s="22" t="str">
        <f t="array" ref="C506">iferror(VLOOKUP(INDIRECT(ADDRESS(ROW()+1,COLUMN(), 4)),Dex!$A$2:$C526,3,false),"")</f>
        <v/>
      </c>
      <c r="D506" s="22" t="str">
        <f t="array" ref="D506">iferror(VLOOKUP(INDIRECT(ADDRESS(ROW()+1,COLUMN(), 4)),Dex!$A$2:$C526,3,false),"")</f>
        <v/>
      </c>
      <c r="E506" s="22" t="str">
        <f t="array" ref="E506">iferror(VLOOKUP(INDIRECT(ADDRESS(ROW()+1,COLUMN(), 4)),Dex!$A$2:$C526,3,false),"")</f>
        <v/>
      </c>
      <c r="F506" s="22" t="str">
        <f t="array" ref="F506">iferror(VLOOKUP(INDIRECT(ADDRESS(ROW()+1,COLUMN(), 4)),Dex!$A$2:$C526,3,false),"")</f>
        <v/>
      </c>
      <c r="G506" s="22" t="str">
        <f t="array" ref="G506">iferror(VLOOKUP(INDIRECT(ADDRESS(ROW()+1,COLUMN(), 4)),Dex!$A$2:$C526,3,false),"")</f>
        <v/>
      </c>
      <c r="H506" s="23" t="str">
        <f t="array" ref="H506">iferror(VLOOKUP("TRAINER_PIC_Expert_M",Sprites!$A$1:$B526,2,false),"")</f>
        <v/>
      </c>
      <c r="I506" s="24"/>
    </row>
    <row r="507">
      <c r="A507" s="25"/>
      <c r="B507" s="26" t="s">
        <v>364</v>
      </c>
      <c r="C507" s="26" t="s">
        <v>2973</v>
      </c>
      <c r="D507" s="26" t="s">
        <v>1443</v>
      </c>
      <c r="E507" s="26" t="s">
        <v>1714</v>
      </c>
      <c r="F507" s="26" t="s">
        <v>988</v>
      </c>
      <c r="G507" s="26" t="s">
        <v>1597</v>
      </c>
      <c r="H507" s="28"/>
    </row>
    <row r="508">
      <c r="A508" s="10" t="s">
        <v>199</v>
      </c>
      <c r="B508" s="22">
        <v>71.0</v>
      </c>
      <c r="C508" s="22">
        <v>72.0</v>
      </c>
      <c r="D508" s="22">
        <v>72.0</v>
      </c>
      <c r="E508" s="22">
        <v>72.0</v>
      </c>
      <c r="F508" s="22">
        <v>72.0</v>
      </c>
      <c r="G508" s="22">
        <v>72.0</v>
      </c>
      <c r="H508" s="27"/>
    </row>
    <row r="509">
      <c r="A509" s="10" t="s">
        <v>201</v>
      </c>
      <c r="B509" s="29" t="s">
        <v>2408</v>
      </c>
      <c r="C509" s="29" t="s">
        <v>2474</v>
      </c>
      <c r="D509" s="29" t="s">
        <v>3085</v>
      </c>
      <c r="E509" s="29" t="s">
        <v>2715</v>
      </c>
      <c r="F509" s="29" t="s">
        <v>453</v>
      </c>
      <c r="G509" s="29" t="s">
        <v>1635</v>
      </c>
      <c r="H509" s="27"/>
    </row>
    <row r="510">
      <c r="A510" s="10" t="s">
        <v>209</v>
      </c>
      <c r="B510" s="22" t="s">
        <v>3101</v>
      </c>
      <c r="C510" s="22" t="s">
        <v>2368</v>
      </c>
      <c r="D510" s="22" t="s">
        <v>2369</v>
      </c>
      <c r="E510" s="22" t="s">
        <v>897</v>
      </c>
      <c r="F510" s="22" t="s">
        <v>3102</v>
      </c>
      <c r="G510" s="22" t="s">
        <v>901</v>
      </c>
      <c r="H510" s="27"/>
    </row>
    <row r="511">
      <c r="A511" s="10" t="s">
        <v>215</v>
      </c>
      <c r="B511" s="29" t="s">
        <v>904</v>
      </c>
      <c r="C511" s="29" t="s">
        <v>419</v>
      </c>
      <c r="D511" s="29" t="s">
        <v>906</v>
      </c>
      <c r="E511" s="29" t="s">
        <v>419</v>
      </c>
      <c r="F511" s="29" t="s">
        <v>419</v>
      </c>
      <c r="G511" s="29" t="s">
        <v>222</v>
      </c>
      <c r="H511" s="28"/>
    </row>
    <row r="512">
      <c r="A512" s="15" t="s">
        <v>224</v>
      </c>
      <c r="B512" s="22" t="s">
        <v>937</v>
      </c>
      <c r="C512" s="22" t="s">
        <v>2370</v>
      </c>
      <c r="D512" s="22" t="s">
        <v>701</v>
      </c>
      <c r="E512" s="22" t="s">
        <v>2020</v>
      </c>
      <c r="F512" s="22" t="s">
        <v>2370</v>
      </c>
      <c r="G512" s="22" t="s">
        <v>2937</v>
      </c>
      <c r="H512" s="27"/>
    </row>
    <row r="513">
      <c r="A513" s="30"/>
      <c r="B513" s="22" t="s">
        <v>2220</v>
      </c>
      <c r="C513" s="22"/>
      <c r="D513" s="22" t="s">
        <v>3103</v>
      </c>
      <c r="E513" s="22" t="s">
        <v>246</v>
      </c>
      <c r="F513" s="22" t="s">
        <v>465</v>
      </c>
      <c r="G513" s="22" t="s">
        <v>236</v>
      </c>
      <c r="H513" s="27"/>
    </row>
    <row r="514">
      <c r="A514" s="30"/>
      <c r="B514" s="22" t="s">
        <v>799</v>
      </c>
      <c r="C514" s="22"/>
      <c r="D514" s="22" t="s">
        <v>552</v>
      </c>
      <c r="E514" s="22" t="s">
        <v>357</v>
      </c>
      <c r="F514" s="22" t="s">
        <v>815</v>
      </c>
      <c r="G514" s="22" t="s">
        <v>572</v>
      </c>
      <c r="H514" s="28"/>
    </row>
    <row r="515">
      <c r="A515" s="25"/>
      <c r="B515" s="22" t="s">
        <v>2370</v>
      </c>
      <c r="C515" s="22"/>
      <c r="D515" s="22" t="s">
        <v>920</v>
      </c>
      <c r="E515" s="22" t="s">
        <v>2397</v>
      </c>
      <c r="F515" s="22" t="s">
        <v>232</v>
      </c>
      <c r="G515" s="22" t="s">
        <v>3104</v>
      </c>
      <c r="H515" s="31"/>
      <c r="I515" s="32"/>
    </row>
    <row r="516">
      <c r="A516" s="10" t="s">
        <v>5</v>
      </c>
      <c r="B516" s="11" t="s">
        <v>3105</v>
      </c>
      <c r="C516" s="9"/>
      <c r="D516" s="9"/>
      <c r="E516" s="9"/>
      <c r="F516" s="9"/>
      <c r="G516" s="9"/>
      <c r="H516" s="9"/>
      <c r="I516" s="14"/>
    </row>
    <row r="517" ht="60.0" customHeight="1">
      <c r="A517" s="15" t="s">
        <v>16</v>
      </c>
      <c r="B517" s="22" t="str">
        <f t="array" ref="B517">iferror(VLOOKUP(INDIRECT(ADDRESS(ROW()+1,COLUMN(), 4)),Dex!$A$2:$C526,3,false),"")</f>
        <v/>
      </c>
      <c r="C517" s="22" t="str">
        <f t="array" ref="C517">iferror(VLOOKUP(INDIRECT(ADDRESS(ROW()+1,COLUMN(), 4)),Dex!$A$2:$C526,3,false),"")</f>
        <v/>
      </c>
      <c r="D517" s="22" t="str">
        <f t="array" ref="D517">iferror(VLOOKUP(INDIRECT(ADDRESS(ROW()+1,COLUMN(), 4)),Dex!$A$2:$C526,3,false),"")</f>
        <v/>
      </c>
      <c r="E517" s="22" t="str">
        <f t="array" ref="E517">iferror(VLOOKUP(INDIRECT(ADDRESS(ROW()+1,COLUMN(), 4)),Dex!$A$2:$C526,3,false),"")</f>
        <v/>
      </c>
      <c r="F517" s="22" t="str">
        <f t="array" ref="F517">iferror(VLOOKUP(INDIRECT(ADDRESS(ROW()+1,COLUMN(), 4)),Dex!$A$2:$C526,3,false),"")</f>
        <v/>
      </c>
      <c r="G517" s="22" t="str">
        <f t="array" ref="G517">iferror(VLOOKUP(INDIRECT(ADDRESS(ROW()+1,COLUMN(), 4)),Dex!$A$2:$C526,3,false),"")</f>
        <v/>
      </c>
      <c r="H517" s="23" t="str">
        <f t="array" ref="H517">iferror(VLOOKUP("TRAINER_PIC_Leader_Flannery",Sprites!$A$1:$B526,2,false),"")</f>
        <v/>
      </c>
      <c r="I517" s="24"/>
    </row>
    <row r="518">
      <c r="A518" s="25"/>
      <c r="B518" s="26" t="s">
        <v>1011</v>
      </c>
      <c r="C518" s="26" t="s">
        <v>783</v>
      </c>
      <c r="D518" s="26" t="s">
        <v>663</v>
      </c>
      <c r="E518" s="26" t="s">
        <v>3115</v>
      </c>
      <c r="F518" s="26" t="s">
        <v>1981</v>
      </c>
      <c r="G518" s="26" t="s">
        <v>632</v>
      </c>
      <c r="H518" s="28"/>
    </row>
    <row r="519">
      <c r="A519" s="10" t="s">
        <v>199</v>
      </c>
      <c r="B519" s="22">
        <v>71.0</v>
      </c>
      <c r="C519" s="22">
        <v>73.0</v>
      </c>
      <c r="D519" s="22">
        <v>72.0</v>
      </c>
      <c r="E519" s="22">
        <v>72.0</v>
      </c>
      <c r="F519" s="22">
        <v>72.0</v>
      </c>
      <c r="G519" s="22">
        <v>72.0</v>
      </c>
      <c r="H519" s="27"/>
    </row>
    <row r="520">
      <c r="A520" s="10" t="s">
        <v>201</v>
      </c>
      <c r="B520" s="29" t="s">
        <v>2546</v>
      </c>
      <c r="C520" s="29" t="s">
        <v>2323</v>
      </c>
      <c r="D520" s="29" t="s">
        <v>1635</v>
      </c>
      <c r="E520" s="29" t="s">
        <v>2591</v>
      </c>
      <c r="F520" s="29" t="s">
        <v>777</v>
      </c>
      <c r="G520" s="29" t="s">
        <v>3116</v>
      </c>
      <c r="H520" s="27"/>
    </row>
    <row r="521">
      <c r="A521" s="10" t="s">
        <v>209</v>
      </c>
      <c r="B521" s="22" t="s">
        <v>1018</v>
      </c>
      <c r="C521" s="22" t="s">
        <v>2353</v>
      </c>
      <c r="D521" s="22" t="s">
        <v>912</v>
      </c>
      <c r="E521" s="22" t="s">
        <v>2368</v>
      </c>
      <c r="F521" s="22" t="s">
        <v>2369</v>
      </c>
      <c r="G521" s="22" t="s">
        <v>3076</v>
      </c>
      <c r="H521" s="27"/>
    </row>
    <row r="522">
      <c r="A522" s="10" t="s">
        <v>215</v>
      </c>
      <c r="B522" s="29" t="s">
        <v>419</v>
      </c>
      <c r="C522" s="29" t="s">
        <v>417</v>
      </c>
      <c r="D522" s="29" t="s">
        <v>231</v>
      </c>
      <c r="E522" s="29" t="s">
        <v>220</v>
      </c>
      <c r="F522" s="29" t="s">
        <v>222</v>
      </c>
      <c r="G522" s="29" t="s">
        <v>419</v>
      </c>
      <c r="H522" s="28"/>
    </row>
    <row r="523">
      <c r="A523" s="15" t="s">
        <v>224</v>
      </c>
      <c r="B523" s="22" t="s">
        <v>576</v>
      </c>
      <c r="C523" s="22" t="s">
        <v>361</v>
      </c>
      <c r="D523" s="22" t="s">
        <v>2962</v>
      </c>
      <c r="E523" s="22" t="s">
        <v>549</v>
      </c>
      <c r="F523" s="22" t="s">
        <v>2969</v>
      </c>
      <c r="G523" s="22" t="s">
        <v>694</v>
      </c>
      <c r="H523" s="27"/>
    </row>
    <row r="524">
      <c r="A524" s="30"/>
      <c r="B524" s="22" t="s">
        <v>2332</v>
      </c>
      <c r="C524" s="22" t="s">
        <v>236</v>
      </c>
      <c r="D524" s="22" t="s">
        <v>2491</v>
      </c>
      <c r="E524" s="22" t="s">
        <v>366</v>
      </c>
      <c r="F524" s="22" t="s">
        <v>793</v>
      </c>
      <c r="G524" s="22" t="s">
        <v>1958</v>
      </c>
      <c r="H524" s="27"/>
    </row>
    <row r="525">
      <c r="A525" s="30"/>
      <c r="B525" s="22" t="s">
        <v>424</v>
      </c>
      <c r="C525" s="22" t="s">
        <v>1958</v>
      </c>
      <c r="D525" s="22" t="s">
        <v>2221</v>
      </c>
      <c r="E525" s="22" t="s">
        <v>477</v>
      </c>
      <c r="F525" s="22" t="s">
        <v>815</v>
      </c>
      <c r="G525" s="22" t="s">
        <v>2555</v>
      </c>
      <c r="H525" s="28"/>
    </row>
    <row r="526">
      <c r="A526" s="25"/>
      <c r="B526" s="22" t="s">
        <v>1655</v>
      </c>
      <c r="C526" s="22" t="s">
        <v>1366</v>
      </c>
      <c r="D526" s="22" t="s">
        <v>356</v>
      </c>
      <c r="E526" s="22" t="s">
        <v>420</v>
      </c>
      <c r="F526" s="22" t="s">
        <v>357</v>
      </c>
      <c r="G526" s="22" t="s">
        <v>2936</v>
      </c>
      <c r="H526" s="31"/>
      <c r="I526" s="32"/>
    </row>
  </sheetData>
  <mergeCells count="197">
    <mergeCell ref="H81:I90"/>
    <mergeCell ref="H92:I101"/>
    <mergeCell ref="H103:I112"/>
    <mergeCell ref="H114:I123"/>
    <mergeCell ref="H125:I134"/>
    <mergeCell ref="H137:I146"/>
    <mergeCell ref="H148:I157"/>
    <mergeCell ref="H159:I168"/>
    <mergeCell ref="H170:I179"/>
    <mergeCell ref="H181:I190"/>
    <mergeCell ref="H192:I201"/>
    <mergeCell ref="H204:I213"/>
    <mergeCell ref="H215:I224"/>
    <mergeCell ref="H226:I235"/>
    <mergeCell ref="H237:I246"/>
    <mergeCell ref="H248:I257"/>
    <mergeCell ref="H259:I268"/>
    <mergeCell ref="H270:I279"/>
    <mergeCell ref="H281:I290"/>
    <mergeCell ref="H292:I301"/>
    <mergeCell ref="H304:I313"/>
    <mergeCell ref="H315:I324"/>
    <mergeCell ref="H326:I335"/>
    <mergeCell ref="H338:I347"/>
    <mergeCell ref="H349:I358"/>
    <mergeCell ref="H361:I370"/>
    <mergeCell ref="H372:I381"/>
    <mergeCell ref="H383:I392"/>
    <mergeCell ref="H473:I482"/>
    <mergeCell ref="H484:I493"/>
    <mergeCell ref="H495:I504"/>
    <mergeCell ref="H506:I515"/>
    <mergeCell ref="H517:I526"/>
    <mergeCell ref="H394:I403"/>
    <mergeCell ref="H406:I415"/>
    <mergeCell ref="H417:I426"/>
    <mergeCell ref="H428:I437"/>
    <mergeCell ref="H439:I448"/>
    <mergeCell ref="H451:I460"/>
    <mergeCell ref="H462:I471"/>
    <mergeCell ref="B225:H225"/>
    <mergeCell ref="B236:H236"/>
    <mergeCell ref="B247:H247"/>
    <mergeCell ref="B258:H258"/>
    <mergeCell ref="B269:H269"/>
    <mergeCell ref="B280:H280"/>
    <mergeCell ref="B291:H291"/>
    <mergeCell ref="A302:I302"/>
    <mergeCell ref="B303:H303"/>
    <mergeCell ref="B314:H314"/>
    <mergeCell ref="B325:H325"/>
    <mergeCell ref="A336:I336"/>
    <mergeCell ref="B337:H337"/>
    <mergeCell ref="B348:H348"/>
    <mergeCell ref="A359:I359"/>
    <mergeCell ref="B360:H360"/>
    <mergeCell ref="B371:H371"/>
    <mergeCell ref="B382:H382"/>
    <mergeCell ref="B393:H393"/>
    <mergeCell ref="A404:I404"/>
    <mergeCell ref="B405:H405"/>
    <mergeCell ref="B483:H483"/>
    <mergeCell ref="B494:H494"/>
    <mergeCell ref="B505:H505"/>
    <mergeCell ref="B516:H516"/>
    <mergeCell ref="B416:H416"/>
    <mergeCell ref="B427:H427"/>
    <mergeCell ref="B438:H438"/>
    <mergeCell ref="A449:I449"/>
    <mergeCell ref="B450:H450"/>
    <mergeCell ref="B461:H461"/>
    <mergeCell ref="B472:H472"/>
    <mergeCell ref="B1:H1"/>
    <mergeCell ref="A2:I2"/>
    <mergeCell ref="B3:H3"/>
    <mergeCell ref="A4:A5"/>
    <mergeCell ref="A10:A13"/>
    <mergeCell ref="B14:H14"/>
    <mergeCell ref="A15:A16"/>
    <mergeCell ref="B58:H58"/>
    <mergeCell ref="B69:H69"/>
    <mergeCell ref="B80:H80"/>
    <mergeCell ref="B91:H91"/>
    <mergeCell ref="B102:H102"/>
    <mergeCell ref="B113:H113"/>
    <mergeCell ref="B124:H124"/>
    <mergeCell ref="A21:A24"/>
    <mergeCell ref="B25:H25"/>
    <mergeCell ref="A26:A27"/>
    <mergeCell ref="A32:A35"/>
    <mergeCell ref="B36:H36"/>
    <mergeCell ref="A37:A38"/>
    <mergeCell ref="B47:H47"/>
    <mergeCell ref="H4:I13"/>
    <mergeCell ref="H15:I24"/>
    <mergeCell ref="H26:I35"/>
    <mergeCell ref="H37:I46"/>
    <mergeCell ref="H48:I57"/>
    <mergeCell ref="H59:I68"/>
    <mergeCell ref="H70:I79"/>
    <mergeCell ref="A143:A146"/>
    <mergeCell ref="A148:A149"/>
    <mergeCell ref="A154:A157"/>
    <mergeCell ref="A159:A160"/>
    <mergeCell ref="A165:A168"/>
    <mergeCell ref="A170:A171"/>
    <mergeCell ref="A120:A123"/>
    <mergeCell ref="A125:A126"/>
    <mergeCell ref="A131:A134"/>
    <mergeCell ref="A135:I135"/>
    <mergeCell ref="B136:H136"/>
    <mergeCell ref="A137:A138"/>
    <mergeCell ref="B147:H147"/>
    <mergeCell ref="B158:H158"/>
    <mergeCell ref="B169:H169"/>
    <mergeCell ref="B180:H180"/>
    <mergeCell ref="B191:H191"/>
    <mergeCell ref="A202:I202"/>
    <mergeCell ref="B203:H203"/>
    <mergeCell ref="B214:H214"/>
    <mergeCell ref="A332:A335"/>
    <mergeCell ref="A338:A339"/>
    <mergeCell ref="A344:A347"/>
    <mergeCell ref="A349:A350"/>
    <mergeCell ref="A355:A358"/>
    <mergeCell ref="A361:A362"/>
    <mergeCell ref="A367:A370"/>
    <mergeCell ref="A372:A373"/>
    <mergeCell ref="A378:A381"/>
    <mergeCell ref="A383:A384"/>
    <mergeCell ref="A389:A392"/>
    <mergeCell ref="A394:A395"/>
    <mergeCell ref="A400:A403"/>
    <mergeCell ref="A406:A407"/>
    <mergeCell ref="A412:A415"/>
    <mergeCell ref="A417:A418"/>
    <mergeCell ref="A423:A426"/>
    <mergeCell ref="A428:A429"/>
    <mergeCell ref="A434:A437"/>
    <mergeCell ref="A439:A440"/>
    <mergeCell ref="A445:A448"/>
    <mergeCell ref="A451:A452"/>
    <mergeCell ref="A457:A460"/>
    <mergeCell ref="A462:A463"/>
    <mergeCell ref="A468:A471"/>
    <mergeCell ref="A473:A474"/>
    <mergeCell ref="A479:A482"/>
    <mergeCell ref="A484:A485"/>
    <mergeCell ref="A43:A46"/>
    <mergeCell ref="A48:A49"/>
    <mergeCell ref="A54:A57"/>
    <mergeCell ref="A59:A60"/>
    <mergeCell ref="A65:A68"/>
    <mergeCell ref="A70:A71"/>
    <mergeCell ref="A76:A79"/>
    <mergeCell ref="A81:A82"/>
    <mergeCell ref="A87:A90"/>
    <mergeCell ref="A92:A93"/>
    <mergeCell ref="A98:A101"/>
    <mergeCell ref="A103:A104"/>
    <mergeCell ref="A109:A112"/>
    <mergeCell ref="A114:A115"/>
    <mergeCell ref="A176:A179"/>
    <mergeCell ref="A181:A182"/>
    <mergeCell ref="A187:A190"/>
    <mergeCell ref="A192:A193"/>
    <mergeCell ref="A198:A201"/>
    <mergeCell ref="A204:A205"/>
    <mergeCell ref="A210:A213"/>
    <mergeCell ref="A215:A216"/>
    <mergeCell ref="A221:A224"/>
    <mergeCell ref="A226:A227"/>
    <mergeCell ref="A232:A235"/>
    <mergeCell ref="A237:A238"/>
    <mergeCell ref="A243:A246"/>
    <mergeCell ref="A248:A249"/>
    <mergeCell ref="A254:A257"/>
    <mergeCell ref="A259:A260"/>
    <mergeCell ref="A265:A268"/>
    <mergeCell ref="A270:A271"/>
    <mergeCell ref="A276:A279"/>
    <mergeCell ref="A281:A282"/>
    <mergeCell ref="A287:A290"/>
    <mergeCell ref="A292:A293"/>
    <mergeCell ref="A298:A301"/>
    <mergeCell ref="A304:A305"/>
    <mergeCell ref="A310:A313"/>
    <mergeCell ref="A315:A316"/>
    <mergeCell ref="A321:A324"/>
    <mergeCell ref="A326:A327"/>
    <mergeCell ref="A490:A493"/>
    <mergeCell ref="A495:A496"/>
    <mergeCell ref="A501:A504"/>
    <mergeCell ref="A506:A507"/>
    <mergeCell ref="A512:A515"/>
    <mergeCell ref="A517:A518"/>
    <mergeCell ref="A523:A526"/>
  </mergeCells>
  <conditionalFormatting sqref="A1">
    <cfRule type="notContainsBlanks" dxfId="3" priority="1">
      <formula>LEN(TRIM(A1))&gt;0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36"/>
      <c r="B1" s="49"/>
      <c r="C1" s="32"/>
      <c r="D1" s="32"/>
      <c r="E1" s="32"/>
      <c r="F1" s="32"/>
      <c r="G1" s="32"/>
      <c r="H1" s="25"/>
      <c r="I1" s="37"/>
    </row>
    <row r="2">
      <c r="A2" s="8" t="s">
        <v>2371</v>
      </c>
      <c r="B2" s="9"/>
      <c r="C2" s="9"/>
      <c r="D2" s="9"/>
      <c r="E2" s="9"/>
      <c r="F2" s="9"/>
      <c r="G2" s="9"/>
      <c r="H2" s="9"/>
      <c r="I2" s="34"/>
    </row>
    <row r="3">
      <c r="A3" s="10" t="s">
        <v>5</v>
      </c>
      <c r="B3" s="11" t="s">
        <v>2374</v>
      </c>
      <c r="C3" s="9"/>
      <c r="D3" s="9"/>
      <c r="E3" s="9"/>
      <c r="F3" s="9"/>
      <c r="G3" s="9"/>
      <c r="H3" s="9"/>
      <c r="I3" s="14"/>
    </row>
    <row r="4" ht="60.0" customHeight="1">
      <c r="A4" s="15" t="s">
        <v>16</v>
      </c>
      <c r="B4" s="22" t="str">
        <f t="array" ref="B4">iferror(VLOOKUP(INDIRECT(ADDRESS(ROW()+1,COLUMN(), 4)),Dex!$A$2:$C493,3,false),"")</f>
        <v/>
      </c>
      <c r="C4" s="22" t="str">
        <f t="array" ref="C4">iferror(VLOOKUP(INDIRECT(ADDRESS(ROW()+1,COLUMN(), 4)),Dex!$A$2:$C493,3,false),"")</f>
        <v/>
      </c>
      <c r="D4" s="22" t="str">
        <f t="array" ref="D4">iferror(VLOOKUP(INDIRECT(ADDRESS(ROW()+1,COLUMN(), 4)),Dex!$A$2:$C493,3,false),"")</f>
        <v/>
      </c>
      <c r="E4" s="22" t="str">
        <f t="array" ref="E4">iferror(VLOOKUP(INDIRECT(ADDRESS(ROW()+1,COLUMN(), 4)),Dex!$A$2:$C493,3,false),"")</f>
        <v/>
      </c>
      <c r="F4" s="22" t="str">
        <f t="array" ref="F4">iferror(VLOOKUP(INDIRECT(ADDRESS(ROW()+1,COLUMN(), 4)),Dex!$A$2:$C493,3,false),"")</f>
        <v/>
      </c>
      <c r="G4" s="22" t="str">
        <f t="array" ref="G4">iferror(VLOOKUP(INDIRECT(ADDRESS(ROW()+1,COLUMN(), 4)),Dex!$A$2:$C493,3,false),"")</f>
        <v/>
      </c>
      <c r="H4" s="23" t="str">
        <f t="array" ref="H4">iferror(VLOOKUP("TRAINER_PIC_Fisherman",Sprites!$A$1:$B493,2,false),"")</f>
        <v/>
      </c>
      <c r="I4" s="24"/>
    </row>
    <row r="5">
      <c r="A5" s="25"/>
      <c r="B5" s="26" t="s">
        <v>958</v>
      </c>
      <c r="C5" s="26" t="s">
        <v>482</v>
      </c>
      <c r="D5" s="26" t="s">
        <v>1724</v>
      </c>
      <c r="E5" s="26" t="s">
        <v>2166</v>
      </c>
      <c r="F5" s="26"/>
      <c r="G5" s="26"/>
      <c r="H5" s="27"/>
    </row>
    <row r="6">
      <c r="A6" s="10" t="s">
        <v>199</v>
      </c>
      <c r="B6" s="22">
        <v>73.0</v>
      </c>
      <c r="C6" s="22">
        <v>74.0</v>
      </c>
      <c r="D6" s="22">
        <v>73.0</v>
      </c>
      <c r="E6" s="22">
        <v>73.0</v>
      </c>
      <c r="F6" s="22"/>
      <c r="G6" s="22"/>
      <c r="H6" s="27"/>
    </row>
    <row r="7">
      <c r="A7" s="10" t="s">
        <v>201</v>
      </c>
      <c r="B7" s="29" t="s">
        <v>1022</v>
      </c>
      <c r="C7" s="29" t="s">
        <v>407</v>
      </c>
      <c r="D7" s="29" t="s">
        <v>2389</v>
      </c>
      <c r="E7" s="29" t="s">
        <v>2390</v>
      </c>
      <c r="F7" s="29"/>
      <c r="G7" s="29"/>
      <c r="H7" s="27"/>
    </row>
    <row r="8">
      <c r="A8" s="10" t="s">
        <v>209</v>
      </c>
      <c r="B8" s="22" t="s">
        <v>217</v>
      </c>
      <c r="C8" s="22" t="s">
        <v>2391</v>
      </c>
      <c r="D8" s="22" t="s">
        <v>2392</v>
      </c>
      <c r="E8" s="22" t="s">
        <v>2325</v>
      </c>
      <c r="F8" s="22"/>
      <c r="G8" s="22"/>
      <c r="H8" s="27"/>
    </row>
    <row r="9">
      <c r="A9" s="10" t="s">
        <v>215</v>
      </c>
      <c r="B9" s="29" t="s">
        <v>222</v>
      </c>
      <c r="C9" s="29" t="s">
        <v>231</v>
      </c>
      <c r="D9" s="29" t="s">
        <v>220</v>
      </c>
      <c r="E9" s="29" t="s">
        <v>222</v>
      </c>
      <c r="F9" s="29"/>
      <c r="G9" s="29"/>
      <c r="H9" s="27"/>
    </row>
    <row r="10">
      <c r="A10" s="15" t="s">
        <v>224</v>
      </c>
      <c r="B10" s="22" t="s">
        <v>361</v>
      </c>
      <c r="C10" s="22" t="s">
        <v>465</v>
      </c>
      <c r="D10" s="22" t="s">
        <v>2393</v>
      </c>
      <c r="E10" s="22" t="s">
        <v>694</v>
      </c>
      <c r="F10" s="22"/>
      <c r="G10" s="22"/>
      <c r="H10" s="27"/>
    </row>
    <row r="11">
      <c r="A11" s="30"/>
      <c r="B11" s="22" t="s">
        <v>2394</v>
      </c>
      <c r="C11" s="22" t="s">
        <v>1354</v>
      </c>
      <c r="D11" s="22" t="s">
        <v>1848</v>
      </c>
      <c r="E11" s="22" t="s">
        <v>814</v>
      </c>
      <c r="F11" s="22"/>
      <c r="G11" s="22"/>
      <c r="H11" s="27"/>
    </row>
    <row r="12">
      <c r="A12" s="30"/>
      <c r="B12" s="22" t="s">
        <v>814</v>
      </c>
      <c r="C12" s="22" t="s">
        <v>2395</v>
      </c>
      <c r="D12" s="22" t="s">
        <v>2396</v>
      </c>
      <c r="E12" s="22" t="s">
        <v>2397</v>
      </c>
      <c r="F12" s="22"/>
      <c r="G12" s="22"/>
      <c r="H12" s="27"/>
    </row>
    <row r="13">
      <c r="A13" s="25"/>
      <c r="B13" s="22" t="s">
        <v>253</v>
      </c>
      <c r="C13" s="22" t="s">
        <v>1562</v>
      </c>
      <c r="D13" s="22" t="s">
        <v>1562</v>
      </c>
      <c r="E13" s="22" t="s">
        <v>238</v>
      </c>
      <c r="F13" s="22"/>
      <c r="G13" s="22"/>
      <c r="H13" s="31"/>
      <c r="I13" s="32"/>
    </row>
    <row r="14">
      <c r="A14" s="8" t="s">
        <v>2398</v>
      </c>
      <c r="B14" s="9"/>
      <c r="C14" s="9"/>
      <c r="D14" s="9"/>
      <c r="E14" s="9"/>
      <c r="F14" s="9"/>
      <c r="G14" s="9"/>
      <c r="H14" s="9"/>
      <c r="I14" s="34"/>
    </row>
    <row r="15">
      <c r="A15" s="10" t="s">
        <v>5</v>
      </c>
      <c r="B15" s="11" t="s">
        <v>2399</v>
      </c>
      <c r="C15" s="9"/>
      <c r="D15" s="9"/>
      <c r="E15" s="9"/>
      <c r="F15" s="9"/>
      <c r="G15" s="9"/>
      <c r="H15" s="9"/>
      <c r="I15" s="13"/>
    </row>
    <row r="16" ht="60.0" customHeight="1">
      <c r="A16" s="15" t="s">
        <v>16</v>
      </c>
      <c r="B16" s="22" t="str">
        <f t="array" ref="B16">iferror(VLOOKUP(INDIRECT(ADDRESS(ROW()+1,COLUMN(), 4)),Dex!$A$2:$C493,3,false),"")</f>
        <v/>
      </c>
      <c r="C16" s="22" t="str">
        <f t="array" ref="C16">iferror(VLOOKUP(INDIRECT(ADDRESS(ROW()+1,COLUMN(), 4)),Dex!$A$2:$C493,3,false),"")</f>
        <v/>
      </c>
      <c r="D16" s="22" t="str">
        <f t="array" ref="D16">iferror(VLOOKUP(INDIRECT(ADDRESS(ROW()+1,COLUMN(), 4)),Dex!$A$2:$C493,3,false),"")</f>
        <v/>
      </c>
      <c r="E16" s="22" t="str">
        <f t="array" ref="E16">iferror(VLOOKUP(INDIRECT(ADDRESS(ROW()+1,COLUMN(), 4)),Dex!$A$2:$C493,3,false),"")</f>
        <v/>
      </c>
      <c r="F16" s="22" t="str">
        <f t="array" ref="F16">iferror(VLOOKUP(INDIRECT(ADDRESS(ROW()+1,COLUMN(), 4)),Dex!$A$2:$C493,3,false),"")</f>
        <v/>
      </c>
      <c r="G16" s="22" t="str">
        <f t="array" ref="G16">iferror(VLOOKUP(INDIRECT(ADDRESS(ROW()+1,COLUMN(), 4)),Dex!$A$2:$C493,3,false),"")</f>
        <v/>
      </c>
      <c r="H16" s="23" t="str">
        <f t="array" ref="H16">iferror(VLOOKUP("TRAINER_PIC_Cooltrainer_F",Sprites!$A$1:$B493,2,false),"")</f>
        <v/>
      </c>
      <c r="I16" s="24"/>
    </row>
    <row r="17">
      <c r="A17" s="25"/>
      <c r="B17" s="26" t="s">
        <v>2160</v>
      </c>
      <c r="C17" s="26" t="s">
        <v>1911</v>
      </c>
      <c r="D17" s="26"/>
      <c r="E17" s="26" t="s">
        <v>2158</v>
      </c>
      <c r="F17" s="26" t="s">
        <v>503</v>
      </c>
      <c r="G17" s="26"/>
      <c r="H17" s="27"/>
    </row>
    <row r="18">
      <c r="A18" s="10" t="s">
        <v>199</v>
      </c>
      <c r="B18" s="22">
        <v>73.0</v>
      </c>
      <c r="C18" s="22">
        <v>73.0</v>
      </c>
      <c r="D18" s="22"/>
      <c r="E18" s="22">
        <v>73.0</v>
      </c>
      <c r="F18" s="22">
        <v>74.0</v>
      </c>
      <c r="G18" s="22"/>
      <c r="H18" s="27"/>
    </row>
    <row r="19">
      <c r="A19" s="10" t="s">
        <v>201</v>
      </c>
      <c r="B19" s="29" t="s">
        <v>455</v>
      </c>
      <c r="C19" s="29" t="s">
        <v>890</v>
      </c>
      <c r="D19" s="29"/>
      <c r="E19" s="29" t="s">
        <v>2032</v>
      </c>
      <c r="F19" s="29" t="s">
        <v>2421</v>
      </c>
      <c r="G19" s="29"/>
      <c r="H19" s="27"/>
    </row>
    <row r="20">
      <c r="A20" s="10" t="s">
        <v>209</v>
      </c>
      <c r="B20" s="22" t="s">
        <v>2422</v>
      </c>
      <c r="C20" s="22" t="s">
        <v>2205</v>
      </c>
      <c r="D20" s="22"/>
      <c r="E20" s="22" t="s">
        <v>2423</v>
      </c>
      <c r="F20" s="22" t="s">
        <v>2424</v>
      </c>
      <c r="G20" s="22"/>
      <c r="H20" s="27"/>
    </row>
    <row r="21">
      <c r="A21" s="10" t="s">
        <v>215</v>
      </c>
      <c r="B21" s="29" t="s">
        <v>419</v>
      </c>
      <c r="C21" s="29" t="s">
        <v>231</v>
      </c>
      <c r="D21" s="29"/>
      <c r="E21" s="29" t="s">
        <v>231</v>
      </c>
      <c r="F21" s="29" t="s">
        <v>220</v>
      </c>
      <c r="G21" s="29"/>
      <c r="H21" s="27"/>
    </row>
    <row r="22">
      <c r="A22" s="15" t="s">
        <v>224</v>
      </c>
      <c r="B22" s="22" t="s">
        <v>814</v>
      </c>
      <c r="C22" s="22" t="s">
        <v>1650</v>
      </c>
      <c r="D22" s="22"/>
      <c r="E22" s="22" t="s">
        <v>2425</v>
      </c>
      <c r="F22" s="22" t="s">
        <v>2426</v>
      </c>
      <c r="G22" s="22"/>
      <c r="H22" s="27"/>
    </row>
    <row r="23">
      <c r="A23" s="30"/>
      <c r="B23" s="22" t="s">
        <v>2397</v>
      </c>
      <c r="C23" s="22" t="s">
        <v>431</v>
      </c>
      <c r="D23" s="22"/>
      <c r="E23" s="22" t="s">
        <v>587</v>
      </c>
      <c r="F23" s="22" t="s">
        <v>587</v>
      </c>
      <c r="G23" s="22"/>
      <c r="H23" s="27"/>
    </row>
    <row r="24">
      <c r="A24" s="30"/>
      <c r="B24" s="22" t="s">
        <v>584</v>
      </c>
      <c r="C24" s="22" t="s">
        <v>2217</v>
      </c>
      <c r="D24" s="22"/>
      <c r="E24" s="22" t="s">
        <v>565</v>
      </c>
      <c r="F24" s="22" t="s">
        <v>2220</v>
      </c>
      <c r="G24" s="22"/>
      <c r="H24" s="27"/>
    </row>
    <row r="25">
      <c r="A25" s="25"/>
      <c r="B25" s="22" t="s">
        <v>2427</v>
      </c>
      <c r="C25" s="22" t="s">
        <v>2427</v>
      </c>
      <c r="D25" s="22"/>
      <c r="E25" s="22" t="s">
        <v>2387</v>
      </c>
      <c r="F25" s="22" t="s">
        <v>2427</v>
      </c>
      <c r="G25" s="22"/>
      <c r="H25" s="31"/>
      <c r="I25" s="32"/>
    </row>
    <row r="26">
      <c r="A26" s="8" t="s">
        <v>2428</v>
      </c>
      <c r="B26" s="9"/>
      <c r="C26" s="9"/>
      <c r="D26" s="9"/>
      <c r="E26" s="9"/>
      <c r="F26" s="9"/>
      <c r="G26" s="9"/>
      <c r="H26" s="9"/>
      <c r="I26" s="34"/>
    </row>
    <row r="27">
      <c r="A27" s="10" t="s">
        <v>5</v>
      </c>
      <c r="B27" s="11" t="s">
        <v>2429</v>
      </c>
      <c r="C27" s="9"/>
      <c r="D27" s="9"/>
      <c r="E27" s="9"/>
      <c r="F27" s="9"/>
      <c r="G27" s="9"/>
      <c r="H27" s="9"/>
      <c r="I27" s="14"/>
    </row>
    <row r="28" ht="60.0" customHeight="1">
      <c r="A28" s="15" t="s">
        <v>16</v>
      </c>
      <c r="B28" s="22" t="str">
        <f t="array" ref="B28">iferror(VLOOKUP(INDIRECT(ADDRESS(ROW()+1,COLUMN(), 4)),Dex!$A$2:$C493,3,false),"")</f>
        <v/>
      </c>
      <c r="C28" s="22" t="str">
        <f t="array" ref="C28">iferror(VLOOKUP(INDIRECT(ADDRESS(ROW()+1,COLUMN(), 4)),Dex!$A$2:$C493,3,false),"")</f>
        <v/>
      </c>
      <c r="D28" s="22" t="str">
        <f t="array" ref="D28">iferror(VLOOKUP(INDIRECT(ADDRESS(ROW()+1,COLUMN(), 4)),Dex!$A$2:$C493,3,false),"")</f>
        <v/>
      </c>
      <c r="E28" s="22" t="str">
        <f t="array" ref="E28">iferror(VLOOKUP(INDIRECT(ADDRESS(ROW()+1,COLUMN(), 4)),Dex!$A$2:$C493,3,false),"")</f>
        <v/>
      </c>
      <c r="F28" s="22" t="str">
        <f t="array" ref="F28">iferror(VLOOKUP(INDIRECT(ADDRESS(ROW()+1,COLUMN(), 4)),Dex!$A$2:$C493,3,false),"")</f>
        <v/>
      </c>
      <c r="G28" s="22" t="str">
        <f t="array" ref="G28">iferror(VLOOKUP(INDIRECT(ADDRESS(ROW()+1,COLUMN(), 4)),Dex!$A$2:$C493,3,false),"")</f>
        <v/>
      </c>
      <c r="H28" s="23" t="str">
        <f t="array" ref="H28">iferror(VLOOKUP("TRAINER_PIC_RichBoy",Sprites!$A$1:$B493,2,false),"")</f>
        <v/>
      </c>
      <c r="I28" s="24"/>
    </row>
    <row r="29">
      <c r="A29" s="25"/>
      <c r="B29" s="26" t="s">
        <v>636</v>
      </c>
      <c r="C29" s="26" t="s">
        <v>2102</v>
      </c>
      <c r="D29" s="26" t="s">
        <v>1295</v>
      </c>
      <c r="E29" s="26" t="s">
        <v>1393</v>
      </c>
      <c r="F29" s="26" t="s">
        <v>1894</v>
      </c>
      <c r="G29" s="26"/>
      <c r="H29" s="27"/>
    </row>
    <row r="30">
      <c r="A30" s="10" t="s">
        <v>199</v>
      </c>
      <c r="B30" s="22">
        <v>73.0</v>
      </c>
      <c r="C30" s="22">
        <v>73.0</v>
      </c>
      <c r="D30" s="22">
        <v>73.0</v>
      </c>
      <c r="E30" s="22">
        <v>74.0</v>
      </c>
      <c r="F30" s="22">
        <v>73.0</v>
      </c>
      <c r="G30" s="22"/>
      <c r="H30" s="27"/>
    </row>
    <row r="31">
      <c r="A31" s="10" t="s">
        <v>201</v>
      </c>
      <c r="B31" s="29" t="s">
        <v>451</v>
      </c>
      <c r="C31" s="29" t="s">
        <v>1342</v>
      </c>
      <c r="D31" s="29" t="s">
        <v>1242</v>
      </c>
      <c r="E31" s="29" t="s">
        <v>409</v>
      </c>
      <c r="F31" s="29" t="s">
        <v>2446</v>
      </c>
      <c r="G31" s="29"/>
      <c r="H31" s="27"/>
    </row>
    <row r="32">
      <c r="A32" s="10" t="s">
        <v>209</v>
      </c>
      <c r="B32" s="22" t="s">
        <v>2348</v>
      </c>
      <c r="C32" s="22" t="s">
        <v>2325</v>
      </c>
      <c r="D32" s="22" t="s">
        <v>2203</v>
      </c>
      <c r="E32" s="22" t="s">
        <v>1459</v>
      </c>
      <c r="F32" s="22" t="s">
        <v>681</v>
      </c>
      <c r="G32" s="22"/>
      <c r="H32" s="27"/>
    </row>
    <row r="33">
      <c r="A33" s="10" t="s">
        <v>215</v>
      </c>
      <c r="B33" s="29" t="s">
        <v>906</v>
      </c>
      <c r="C33" s="29" t="s">
        <v>419</v>
      </c>
      <c r="D33" s="29" t="s">
        <v>231</v>
      </c>
      <c r="E33" s="29" t="s">
        <v>220</v>
      </c>
      <c r="F33" s="29" t="s">
        <v>220</v>
      </c>
      <c r="G33" s="29"/>
      <c r="H33" s="27"/>
    </row>
    <row r="34">
      <c r="A34" s="15" t="s">
        <v>224</v>
      </c>
      <c r="B34" s="22" t="s">
        <v>2448</v>
      </c>
      <c r="C34" s="22" t="s">
        <v>1040</v>
      </c>
      <c r="D34" s="22" t="s">
        <v>2449</v>
      </c>
      <c r="E34" s="22" t="s">
        <v>1159</v>
      </c>
      <c r="F34" s="22" t="s">
        <v>2450</v>
      </c>
      <c r="G34" s="22"/>
      <c r="H34" s="27"/>
    </row>
    <row r="35">
      <c r="A35" s="30"/>
      <c r="B35" s="22" t="s">
        <v>238</v>
      </c>
      <c r="C35" s="22" t="s">
        <v>1037</v>
      </c>
      <c r="D35" s="22" t="s">
        <v>477</v>
      </c>
      <c r="E35" s="22" t="s">
        <v>1163</v>
      </c>
      <c r="F35" s="22" t="s">
        <v>2451</v>
      </c>
      <c r="G35" s="22"/>
      <c r="H35" s="27"/>
    </row>
    <row r="36">
      <c r="A36" s="30"/>
      <c r="B36" s="22" t="s">
        <v>367</v>
      </c>
      <c r="C36" s="22" t="s">
        <v>920</v>
      </c>
      <c r="D36" s="22" t="s">
        <v>1169</v>
      </c>
      <c r="E36" s="22" t="s">
        <v>652</v>
      </c>
      <c r="F36" s="22" t="s">
        <v>1788</v>
      </c>
      <c r="G36" s="22"/>
      <c r="H36" s="27"/>
    </row>
    <row r="37">
      <c r="A37" s="25"/>
      <c r="B37" s="22" t="s">
        <v>424</v>
      </c>
      <c r="C37" s="22" t="s">
        <v>1169</v>
      </c>
      <c r="D37" s="22" t="s">
        <v>2452</v>
      </c>
      <c r="E37" s="22" t="s">
        <v>244</v>
      </c>
      <c r="F37" s="22" t="s">
        <v>695</v>
      </c>
      <c r="G37" s="22"/>
      <c r="H37" s="31"/>
      <c r="I37" s="32"/>
    </row>
    <row r="38">
      <c r="A38" s="10" t="s">
        <v>5</v>
      </c>
      <c r="B38" s="11" t="s">
        <v>2453</v>
      </c>
      <c r="C38" s="9"/>
      <c r="D38" s="9"/>
      <c r="E38" s="9"/>
      <c r="F38" s="9"/>
      <c r="G38" s="9"/>
      <c r="H38" s="9"/>
      <c r="I38" s="14"/>
    </row>
    <row r="39" ht="60.0" customHeight="1">
      <c r="A39" s="15" t="s">
        <v>16</v>
      </c>
      <c r="B39" s="22" t="str">
        <f t="array" ref="B39">iferror(VLOOKUP(INDIRECT(ADDRESS(ROW()+1,COLUMN(), 4)),Dex!$A$2:$C493,3,false),"")</f>
        <v/>
      </c>
      <c r="C39" s="22" t="str">
        <f t="array" ref="C39">iferror(VLOOKUP(INDIRECT(ADDRESS(ROW()+1,COLUMN(), 4)),Dex!$A$2:$C493,3,false),"")</f>
        <v/>
      </c>
      <c r="D39" s="22" t="str">
        <f t="array" ref="D39">iferror(VLOOKUP(INDIRECT(ADDRESS(ROW()+1,COLUMN(), 4)),Dex!$A$2:$C493,3,false),"")</f>
        <v/>
      </c>
      <c r="E39" s="22" t="str">
        <f t="array" ref="E39">iferror(VLOOKUP(INDIRECT(ADDRESS(ROW()+1,COLUMN(), 4)),Dex!$A$2:$C493,3,false),"")</f>
        <v/>
      </c>
      <c r="F39" s="22" t="str">
        <f t="array" ref="F39">iferror(VLOOKUP(INDIRECT(ADDRESS(ROW()+1,COLUMN(), 4)),Dex!$A$2:$C493,3,false),"")</f>
        <v/>
      </c>
      <c r="G39" s="22" t="str">
        <f t="array" ref="G39">iferror(VLOOKUP(INDIRECT(ADDRESS(ROW()+1,COLUMN(), 4)),Dex!$A$2:$C493,3,false),"")</f>
        <v/>
      </c>
      <c r="H39" s="23" t="str">
        <f t="array" ref="H39">iferror(VLOOKUP("TRAINER_PIC_Sailor",Sprites!$A$1:$B493,2,false),"")</f>
        <v/>
      </c>
      <c r="I39" s="24"/>
    </row>
    <row r="40">
      <c r="A40" s="25"/>
      <c r="B40" s="26" t="s">
        <v>1316</v>
      </c>
      <c r="C40" s="26" t="s">
        <v>1329</v>
      </c>
      <c r="D40" s="26" t="s">
        <v>1303</v>
      </c>
      <c r="E40" s="26" t="s">
        <v>1961</v>
      </c>
      <c r="F40" s="26" t="s">
        <v>1232</v>
      </c>
      <c r="G40" s="26"/>
      <c r="H40" s="27"/>
    </row>
    <row r="41">
      <c r="A41" s="10" t="s">
        <v>199</v>
      </c>
      <c r="B41" s="22">
        <v>73.0</v>
      </c>
      <c r="C41" s="22">
        <v>73.0</v>
      </c>
      <c r="D41" s="22" t="s">
        <v>2466</v>
      </c>
      <c r="E41" s="22" t="s">
        <v>2467</v>
      </c>
      <c r="F41" s="22">
        <v>74.0</v>
      </c>
      <c r="G41" s="22"/>
      <c r="H41" s="27"/>
    </row>
    <row r="42">
      <c r="A42" s="10" t="s">
        <v>201</v>
      </c>
      <c r="B42" s="29" t="s">
        <v>1926</v>
      </c>
      <c r="C42" s="29" t="s">
        <v>408</v>
      </c>
      <c r="D42" s="29" t="s">
        <v>206</v>
      </c>
      <c r="E42" s="29" t="s">
        <v>645</v>
      </c>
      <c r="F42" s="29" t="s">
        <v>2468</v>
      </c>
      <c r="G42" s="29"/>
      <c r="H42" s="27"/>
    </row>
    <row r="43">
      <c r="A43" s="10" t="s">
        <v>209</v>
      </c>
      <c r="B43" s="22" t="s">
        <v>901</v>
      </c>
      <c r="C43" s="22" t="s">
        <v>1153</v>
      </c>
      <c r="D43" s="22" t="s">
        <v>1449</v>
      </c>
      <c r="E43" s="22" t="s">
        <v>458</v>
      </c>
      <c r="F43" s="22" t="s">
        <v>2392</v>
      </c>
      <c r="G43" s="22"/>
      <c r="H43" s="27"/>
    </row>
    <row r="44">
      <c r="A44" s="10" t="s">
        <v>215</v>
      </c>
      <c r="B44" s="29" t="s">
        <v>685</v>
      </c>
      <c r="C44" s="29" t="s">
        <v>461</v>
      </c>
      <c r="D44" s="29" t="s">
        <v>685</v>
      </c>
      <c r="E44" s="29" t="s">
        <v>461</v>
      </c>
      <c r="F44" s="29" t="s">
        <v>461</v>
      </c>
      <c r="G44" s="29"/>
      <c r="H44" s="27"/>
    </row>
    <row r="45">
      <c r="A45" s="15" t="s">
        <v>224</v>
      </c>
      <c r="B45" s="22" t="s">
        <v>814</v>
      </c>
      <c r="C45" s="22" t="s">
        <v>922</v>
      </c>
      <c r="D45" s="22" t="s">
        <v>689</v>
      </c>
      <c r="E45" s="22" t="s">
        <v>1065</v>
      </c>
      <c r="F45" s="22" t="s">
        <v>2220</v>
      </c>
      <c r="G45" s="22"/>
      <c r="H45" s="27"/>
    </row>
    <row r="46">
      <c r="A46" s="30"/>
      <c r="B46" s="22" t="s">
        <v>815</v>
      </c>
      <c r="C46" s="22" t="s">
        <v>1361</v>
      </c>
      <c r="D46" s="22" t="s">
        <v>920</v>
      </c>
      <c r="E46" s="22" t="s">
        <v>2469</v>
      </c>
      <c r="F46" s="22" t="s">
        <v>2470</v>
      </c>
      <c r="G46" s="22"/>
      <c r="H46" s="27"/>
    </row>
    <row r="47">
      <c r="A47" s="30"/>
      <c r="B47" s="22" t="s">
        <v>1541</v>
      </c>
      <c r="C47" s="22" t="s">
        <v>702</v>
      </c>
      <c r="D47" s="22" t="s">
        <v>1291</v>
      </c>
      <c r="E47" s="22" t="s">
        <v>477</v>
      </c>
      <c r="F47" s="22" t="s">
        <v>356</v>
      </c>
      <c r="G47" s="22"/>
      <c r="H47" s="27"/>
    </row>
    <row r="48">
      <c r="A48" s="25"/>
      <c r="B48" s="22" t="s">
        <v>689</v>
      </c>
      <c r="C48" s="22" t="s">
        <v>698</v>
      </c>
      <c r="D48" s="22" t="s">
        <v>1661</v>
      </c>
      <c r="E48" s="22" t="s">
        <v>2471</v>
      </c>
      <c r="F48" s="22" t="s">
        <v>2387</v>
      </c>
      <c r="G48" s="22"/>
      <c r="H48" s="31"/>
      <c r="I48" s="32"/>
    </row>
    <row r="49">
      <c r="A49" s="10" t="s">
        <v>5</v>
      </c>
      <c r="B49" s="11" t="s">
        <v>2472</v>
      </c>
      <c r="C49" s="9"/>
      <c r="D49" s="9"/>
      <c r="E49" s="9"/>
      <c r="F49" s="9"/>
      <c r="G49" s="9"/>
      <c r="H49" s="9"/>
      <c r="I49" s="14"/>
    </row>
    <row r="50" ht="60.0" customHeight="1">
      <c r="A50" s="15" t="s">
        <v>16</v>
      </c>
      <c r="B50" s="22" t="str">
        <f t="array" ref="B50">iferror(VLOOKUP(INDIRECT(ADDRESS(ROW()+1,COLUMN(), 4)),Dex!$A$2:$C493,3,false),"")</f>
        <v/>
      </c>
      <c r="C50" s="22" t="str">
        <f t="array" ref="C50">iferror(VLOOKUP(INDIRECT(ADDRESS(ROW()+1,COLUMN(), 4)),Dex!$A$2:$C493,3,false),"")</f>
        <v/>
      </c>
      <c r="D50" s="22" t="str">
        <f t="array" ref="D50">iferror(VLOOKUP(INDIRECT(ADDRESS(ROW()+1,COLUMN(), 4)),Dex!$A$2:$C493,3,false),"")</f>
        <v/>
      </c>
      <c r="E50" s="22" t="str">
        <f t="array" ref="E50">iferror(VLOOKUP(INDIRECT(ADDRESS(ROW()+1,COLUMN(), 4)),Dex!$A$2:$C493,3,false),"")</f>
        <v/>
      </c>
      <c r="F50" s="22" t="str">
        <f t="array" ref="F50">iferror(VLOOKUP(INDIRECT(ADDRESS(ROW()+1,COLUMN(), 4)),Dex!$A$2:$C493,3,false),"")</f>
        <v/>
      </c>
      <c r="G50" s="22" t="str">
        <f t="array" ref="G50">iferror(VLOOKUP(INDIRECT(ADDRESS(ROW()+1,COLUMN(), 4)),Dex!$A$2:$C493,3,false),"")</f>
        <v/>
      </c>
      <c r="H50" s="23" t="str">
        <f t="array" ref="H50">iferror(VLOOKUP("TRAINER_PIC_Tuber_F",Sprites!$A$1:$B493,2,false),"")</f>
        <v/>
      </c>
      <c r="I50" s="24"/>
    </row>
    <row r="51">
      <c r="A51" s="25"/>
      <c r="B51" s="26" t="s">
        <v>1005</v>
      </c>
      <c r="C51" s="26" t="s">
        <v>1496</v>
      </c>
      <c r="D51" s="26" t="s">
        <v>2265</v>
      </c>
      <c r="E51" s="26" t="s">
        <v>328</v>
      </c>
      <c r="F51" s="26" t="s">
        <v>1477</v>
      </c>
      <c r="G51" s="26"/>
      <c r="H51" s="27"/>
    </row>
    <row r="52">
      <c r="A52" s="10" t="s">
        <v>199</v>
      </c>
      <c r="B52" s="22">
        <v>73.0</v>
      </c>
      <c r="C52" s="22">
        <v>74.0</v>
      </c>
      <c r="D52" s="22">
        <v>73.0</v>
      </c>
      <c r="E52" s="22">
        <v>74.0</v>
      </c>
      <c r="F52" s="22">
        <v>74.0</v>
      </c>
      <c r="G52" s="22"/>
      <c r="H52" s="27"/>
    </row>
    <row r="53">
      <c r="A53" s="10" t="s">
        <v>201</v>
      </c>
      <c r="B53" s="29" t="s">
        <v>645</v>
      </c>
      <c r="C53" s="29" t="s">
        <v>645</v>
      </c>
      <c r="D53" s="29" t="s">
        <v>1242</v>
      </c>
      <c r="E53" s="29" t="s">
        <v>206</v>
      </c>
      <c r="F53" s="29" t="s">
        <v>2480</v>
      </c>
      <c r="G53" s="29"/>
      <c r="H53" s="27"/>
    </row>
    <row r="54">
      <c r="A54" s="10" t="s">
        <v>209</v>
      </c>
      <c r="B54" s="22" t="s">
        <v>2377</v>
      </c>
      <c r="C54" s="22" t="s">
        <v>2481</v>
      </c>
      <c r="D54" s="22" t="s">
        <v>2482</v>
      </c>
      <c r="E54" s="22" t="s">
        <v>352</v>
      </c>
      <c r="F54" s="22" t="s">
        <v>2369</v>
      </c>
      <c r="G54" s="22"/>
      <c r="H54" s="27"/>
    </row>
    <row r="55">
      <c r="A55" s="10" t="s">
        <v>215</v>
      </c>
      <c r="B55" s="29" t="s">
        <v>904</v>
      </c>
      <c r="C55" s="29" t="s">
        <v>220</v>
      </c>
      <c r="D55" s="29" t="s">
        <v>231</v>
      </c>
      <c r="E55" s="29" t="s">
        <v>231</v>
      </c>
      <c r="F55" s="29" t="s">
        <v>419</v>
      </c>
      <c r="G55" s="29"/>
      <c r="H55" s="27"/>
    </row>
    <row r="56">
      <c r="A56" s="15" t="s">
        <v>224</v>
      </c>
      <c r="B56" s="22" t="s">
        <v>581</v>
      </c>
      <c r="C56" s="22" t="s">
        <v>2483</v>
      </c>
      <c r="D56" s="22" t="s">
        <v>1352</v>
      </c>
      <c r="E56" s="22" t="s">
        <v>587</v>
      </c>
      <c r="F56" s="22" t="s">
        <v>2332</v>
      </c>
      <c r="G56" s="22"/>
      <c r="H56" s="27"/>
    </row>
    <row r="57">
      <c r="A57" s="30"/>
      <c r="B57" s="22" t="s">
        <v>924</v>
      </c>
      <c r="C57" s="22" t="s">
        <v>1999</v>
      </c>
      <c r="D57" s="22" t="s">
        <v>1224</v>
      </c>
      <c r="E57" s="22" t="s">
        <v>555</v>
      </c>
      <c r="F57" s="22" t="s">
        <v>1873</v>
      </c>
      <c r="G57" s="22"/>
      <c r="H57" s="27"/>
    </row>
    <row r="58">
      <c r="A58" s="30"/>
      <c r="B58" s="22" t="s">
        <v>428</v>
      </c>
      <c r="C58" s="22" t="s">
        <v>2484</v>
      </c>
      <c r="D58" s="22" t="s">
        <v>477</v>
      </c>
      <c r="E58" s="22" t="s">
        <v>561</v>
      </c>
      <c r="F58" s="22" t="s">
        <v>357</v>
      </c>
      <c r="G58" s="22"/>
      <c r="H58" s="27"/>
    </row>
    <row r="59">
      <c r="A59" s="25"/>
      <c r="B59" s="22" t="s">
        <v>2485</v>
      </c>
      <c r="C59" s="22" t="s">
        <v>652</v>
      </c>
      <c r="D59" s="22" t="s">
        <v>476</v>
      </c>
      <c r="E59" s="22" t="s">
        <v>1048</v>
      </c>
      <c r="F59" s="22" t="s">
        <v>2486</v>
      </c>
      <c r="G59" s="22"/>
      <c r="H59" s="31"/>
      <c r="I59" s="32"/>
    </row>
    <row r="60">
      <c r="A60" s="10" t="s">
        <v>5</v>
      </c>
      <c r="B60" s="11" t="s">
        <v>2487</v>
      </c>
      <c r="C60" s="9"/>
      <c r="D60" s="9"/>
      <c r="E60" s="9"/>
      <c r="F60" s="9"/>
      <c r="G60" s="9"/>
      <c r="H60" s="9"/>
      <c r="I60" s="14"/>
    </row>
    <row r="61" ht="60.0" customHeight="1">
      <c r="A61" s="15" t="s">
        <v>16</v>
      </c>
      <c r="B61" s="22" t="str">
        <f t="array" ref="B61">iferror(VLOOKUP(INDIRECT(ADDRESS(ROW()+1,COLUMN(), 4)),Dex!$A$2:$C493,3,false),"")</f>
        <v/>
      </c>
      <c r="C61" s="22" t="str">
        <f t="array" ref="C61">iferror(VLOOKUP(INDIRECT(ADDRESS(ROW()+1,COLUMN(), 4)),Dex!$A$2:$C493,3,false),"")</f>
        <v/>
      </c>
      <c r="D61" s="22" t="str">
        <f t="array" ref="D61">iferror(VLOOKUP(INDIRECT(ADDRESS(ROW()+1,COLUMN(), 4)),Dex!$A$2:$C493,3,false),"")</f>
        <v/>
      </c>
      <c r="E61" s="22" t="str">
        <f t="array" ref="E61">iferror(VLOOKUP(INDIRECT(ADDRESS(ROW()+1,COLUMN(), 4)),Dex!$A$2:$C493,3,false),"")</f>
        <v/>
      </c>
      <c r="F61" s="22" t="str">
        <f t="array" ref="F61">iferror(VLOOKUP(INDIRECT(ADDRESS(ROW()+1,COLUMN(), 4)),Dex!$A$2:$C493,3,false),"")</f>
        <v/>
      </c>
      <c r="G61" s="22" t="str">
        <f t="array" ref="G61">iferror(VLOOKUP(INDIRECT(ADDRESS(ROW()+1,COLUMN(), 4)),Dex!$A$2:$C493,3,false),"")</f>
        <v/>
      </c>
      <c r="H61" s="23" t="str">
        <f t="array" ref="H61">iferror(VLOOKUP("TRAINER_PIC_Cooltrainer_F",Sprites!$A$1:$B493,2,false),"")</f>
        <v/>
      </c>
      <c r="I61" s="24"/>
    </row>
    <row r="62">
      <c r="A62" s="25"/>
      <c r="B62" s="26" t="s">
        <v>427</v>
      </c>
      <c r="C62" s="26" t="s">
        <v>1280</v>
      </c>
      <c r="D62" s="26" t="s">
        <v>1310</v>
      </c>
      <c r="E62" s="26" t="s">
        <v>1396</v>
      </c>
      <c r="F62" s="26" t="s">
        <v>751</v>
      </c>
      <c r="G62" s="26" t="s">
        <v>1373</v>
      </c>
      <c r="H62" s="27"/>
    </row>
    <row r="63">
      <c r="A63" s="10" t="s">
        <v>199</v>
      </c>
      <c r="B63" s="22">
        <v>73.0</v>
      </c>
      <c r="C63" s="22">
        <v>73.0</v>
      </c>
      <c r="D63" s="22">
        <v>73.0</v>
      </c>
      <c r="E63" s="22">
        <v>74.0</v>
      </c>
      <c r="F63" s="22">
        <v>74.0</v>
      </c>
      <c r="G63" s="22">
        <v>75.0</v>
      </c>
      <c r="H63" s="27"/>
    </row>
    <row r="64">
      <c r="A64" s="10" t="s">
        <v>201</v>
      </c>
      <c r="B64" s="29" t="s">
        <v>776</v>
      </c>
      <c r="C64" s="29" t="s">
        <v>1147</v>
      </c>
      <c r="D64" s="29" t="s">
        <v>408</v>
      </c>
      <c r="E64" s="29" t="s">
        <v>2505</v>
      </c>
      <c r="F64" s="29" t="s">
        <v>2506</v>
      </c>
      <c r="G64" s="29" t="s">
        <v>537</v>
      </c>
      <c r="H64" s="27"/>
    </row>
    <row r="65">
      <c r="A65" s="10" t="s">
        <v>209</v>
      </c>
      <c r="B65" s="22" t="s">
        <v>901</v>
      </c>
      <c r="C65" s="22" t="s">
        <v>2507</v>
      </c>
      <c r="D65" s="22" t="s">
        <v>648</v>
      </c>
      <c r="E65" s="22" t="s">
        <v>413</v>
      </c>
      <c r="F65" s="22" t="s">
        <v>2508</v>
      </c>
      <c r="G65" s="22" t="s">
        <v>1641</v>
      </c>
      <c r="H65" s="27"/>
    </row>
    <row r="66">
      <c r="A66" s="10" t="s">
        <v>215</v>
      </c>
      <c r="B66" s="29" t="s">
        <v>906</v>
      </c>
      <c r="C66" s="29" t="s">
        <v>231</v>
      </c>
      <c r="D66" s="29" t="s">
        <v>1346</v>
      </c>
      <c r="E66" s="29" t="s">
        <v>231</v>
      </c>
      <c r="F66" s="29" t="s">
        <v>904</v>
      </c>
      <c r="G66" s="29" t="s">
        <v>231</v>
      </c>
      <c r="H66" s="27"/>
    </row>
    <row r="67">
      <c r="A67" s="15" t="s">
        <v>224</v>
      </c>
      <c r="B67" s="22" t="s">
        <v>814</v>
      </c>
      <c r="C67" s="22" t="s">
        <v>1069</v>
      </c>
      <c r="D67" s="22" t="s">
        <v>1771</v>
      </c>
      <c r="E67" s="22" t="s">
        <v>1460</v>
      </c>
      <c r="F67" s="22" t="s">
        <v>2387</v>
      </c>
      <c r="G67" s="22" t="s">
        <v>1159</v>
      </c>
      <c r="H67" s="27"/>
    </row>
    <row r="68">
      <c r="A68" s="30"/>
      <c r="B68" s="22" t="s">
        <v>234</v>
      </c>
      <c r="C68" s="22" t="s">
        <v>2268</v>
      </c>
      <c r="D68" s="22" t="s">
        <v>232</v>
      </c>
      <c r="E68" s="22" t="s">
        <v>795</v>
      </c>
      <c r="F68" s="22" t="s">
        <v>565</v>
      </c>
      <c r="G68" s="22" t="s">
        <v>795</v>
      </c>
      <c r="H68" s="27"/>
    </row>
    <row r="69">
      <c r="A69" s="30"/>
      <c r="B69" s="22" t="s">
        <v>238</v>
      </c>
      <c r="C69" s="22" t="s">
        <v>1036</v>
      </c>
      <c r="D69" s="22" t="s">
        <v>1169</v>
      </c>
      <c r="E69" s="22" t="s">
        <v>431</v>
      </c>
      <c r="F69" s="22" t="s">
        <v>356</v>
      </c>
      <c r="G69" s="22" t="s">
        <v>809</v>
      </c>
      <c r="H69" s="27"/>
    </row>
    <row r="70">
      <c r="A70" s="25"/>
      <c r="B70" s="22" t="s">
        <v>1436</v>
      </c>
      <c r="C70" s="22" t="s">
        <v>2464</v>
      </c>
      <c r="D70" s="22" t="s">
        <v>1048</v>
      </c>
      <c r="E70" s="22" t="s">
        <v>809</v>
      </c>
      <c r="F70" s="22" t="s">
        <v>917</v>
      </c>
      <c r="G70" s="22" t="s">
        <v>927</v>
      </c>
      <c r="H70" s="31"/>
      <c r="I70" s="32"/>
    </row>
    <row r="71">
      <c r="A71" s="10" t="s">
        <v>5</v>
      </c>
      <c r="B71" s="11" t="s">
        <v>2509</v>
      </c>
      <c r="C71" s="9"/>
      <c r="D71" s="9"/>
      <c r="E71" s="9"/>
      <c r="F71" s="9"/>
      <c r="G71" s="9"/>
      <c r="H71" s="9"/>
      <c r="I71" s="14"/>
    </row>
    <row r="72" ht="60.0" customHeight="1">
      <c r="A72" s="15" t="s">
        <v>16</v>
      </c>
      <c r="B72" s="22" t="str">
        <f t="array" ref="B72">iferror(VLOOKUP(INDIRECT(ADDRESS(ROW()+1,COLUMN(), 4)),Dex!$A$2:$C493,3,false),"")</f>
        <v/>
      </c>
      <c r="C72" s="22" t="str">
        <f t="array" ref="C72">iferror(VLOOKUP(INDIRECT(ADDRESS(ROW()+1,COLUMN(), 4)),Dex!$A$2:$C493,3,false),"")</f>
        <v/>
      </c>
      <c r="D72" s="22" t="str">
        <f t="array" ref="D72">iferror(VLOOKUP(INDIRECT(ADDRESS(ROW()+1,COLUMN(), 4)),Dex!$A$2:$C493,3,false),"")</f>
        <v/>
      </c>
      <c r="E72" s="22" t="str">
        <f t="array" ref="E72">iferror(VLOOKUP(INDIRECT(ADDRESS(ROW()+1,COLUMN(), 4)),Dex!$A$2:$C493,3,false),"")</f>
        <v/>
      </c>
      <c r="F72" s="22" t="str">
        <f t="array" ref="F72">iferror(VLOOKUP(INDIRECT(ADDRESS(ROW()+1,COLUMN(), 4)),Dex!$A$2:$C493,3,false),"")</f>
        <v/>
      </c>
      <c r="G72" s="22" t="str">
        <f t="array" ref="G72">iferror(VLOOKUP(INDIRECT(ADDRESS(ROW()+1,COLUMN(), 4)),Dex!$A$2:$C493,3,false),"")</f>
        <v/>
      </c>
      <c r="H72" s="23" t="str">
        <f t="array" ref="H72">iferror(VLOOKUP("TRAINER_PIC_Cooltrainer_F",Sprites!$A$1:$B493,2,false),"")</f>
        <v/>
      </c>
      <c r="I72" s="24"/>
    </row>
    <row r="73">
      <c r="A73" s="25"/>
      <c r="B73" s="26" t="s">
        <v>2143</v>
      </c>
      <c r="C73" s="26" t="s">
        <v>745</v>
      </c>
      <c r="D73" s="26" t="s">
        <v>2286</v>
      </c>
      <c r="E73" s="26" t="s">
        <v>670</v>
      </c>
      <c r="F73" s="26" t="s">
        <v>2176</v>
      </c>
      <c r="G73" s="26" t="s">
        <v>2184</v>
      </c>
      <c r="H73" s="27"/>
    </row>
    <row r="74">
      <c r="A74" s="10" t="s">
        <v>199</v>
      </c>
      <c r="B74" s="22">
        <v>75.0</v>
      </c>
      <c r="C74" s="22">
        <v>74.0</v>
      </c>
      <c r="D74" s="22">
        <v>73.0</v>
      </c>
      <c r="E74" s="22">
        <v>73.0</v>
      </c>
      <c r="F74" s="22">
        <v>73.0</v>
      </c>
      <c r="G74" s="22">
        <v>74.0</v>
      </c>
      <c r="H74" s="27"/>
    </row>
    <row r="75">
      <c r="A75" s="10" t="s">
        <v>201</v>
      </c>
      <c r="B75" s="29" t="s">
        <v>1546</v>
      </c>
      <c r="C75" s="29" t="s">
        <v>2525</v>
      </c>
      <c r="D75" s="29" t="s">
        <v>2526</v>
      </c>
      <c r="E75" s="29" t="s">
        <v>455</v>
      </c>
      <c r="F75" s="29" t="s">
        <v>1456</v>
      </c>
      <c r="G75" s="29" t="s">
        <v>1455</v>
      </c>
      <c r="H75" s="27"/>
    </row>
    <row r="76">
      <c r="A76" s="10" t="s">
        <v>209</v>
      </c>
      <c r="B76" s="22" t="s">
        <v>2314</v>
      </c>
      <c r="C76" s="22" t="s">
        <v>1840</v>
      </c>
      <c r="D76" s="22" t="s">
        <v>912</v>
      </c>
      <c r="E76" s="22" t="s">
        <v>681</v>
      </c>
      <c r="F76" s="22" t="s">
        <v>785</v>
      </c>
      <c r="G76" s="22" t="s">
        <v>2527</v>
      </c>
      <c r="H76" s="27"/>
    </row>
    <row r="77">
      <c r="A77" s="10" t="s">
        <v>215</v>
      </c>
      <c r="B77" s="29" t="s">
        <v>222</v>
      </c>
      <c r="C77" s="29" t="s">
        <v>417</v>
      </c>
      <c r="D77" s="29" t="s">
        <v>222</v>
      </c>
      <c r="E77" s="29" t="s">
        <v>220</v>
      </c>
      <c r="F77" s="29" t="s">
        <v>231</v>
      </c>
      <c r="G77" s="29" t="s">
        <v>220</v>
      </c>
      <c r="H77" s="27"/>
    </row>
    <row r="78">
      <c r="A78" s="15" t="s">
        <v>224</v>
      </c>
      <c r="B78" s="22" t="s">
        <v>361</v>
      </c>
      <c r="C78" s="22" t="s">
        <v>924</v>
      </c>
      <c r="D78" s="22" t="s">
        <v>2528</v>
      </c>
      <c r="E78" s="22" t="s">
        <v>703</v>
      </c>
      <c r="F78" s="22" t="s">
        <v>463</v>
      </c>
      <c r="G78" s="22" t="s">
        <v>2529</v>
      </c>
      <c r="H78" s="27"/>
    </row>
    <row r="79">
      <c r="A79" s="30"/>
      <c r="B79" s="22" t="s">
        <v>2040</v>
      </c>
      <c r="C79" s="22" t="s">
        <v>367</v>
      </c>
      <c r="D79" s="22" t="s">
        <v>805</v>
      </c>
      <c r="E79" s="22" t="s">
        <v>695</v>
      </c>
      <c r="F79" s="22" t="s">
        <v>471</v>
      </c>
      <c r="G79" s="22" t="s">
        <v>366</v>
      </c>
      <c r="H79" s="27"/>
    </row>
    <row r="80">
      <c r="A80" s="30"/>
      <c r="B80" s="22" t="s">
        <v>2320</v>
      </c>
      <c r="C80" s="22" t="s">
        <v>2499</v>
      </c>
      <c r="D80" s="22" t="s">
        <v>1713</v>
      </c>
      <c r="E80" s="22" t="s">
        <v>421</v>
      </c>
      <c r="F80" s="22" t="s">
        <v>1047</v>
      </c>
      <c r="G80" s="22" t="s">
        <v>652</v>
      </c>
      <c r="H80" s="27"/>
    </row>
    <row r="81">
      <c r="A81" s="25"/>
      <c r="B81" s="22" t="s">
        <v>805</v>
      </c>
      <c r="C81" s="22" t="s">
        <v>477</v>
      </c>
      <c r="D81" s="22" t="s">
        <v>367</v>
      </c>
      <c r="E81" s="22" t="s">
        <v>1788</v>
      </c>
      <c r="F81" s="22" t="s">
        <v>477</v>
      </c>
      <c r="G81" s="22" t="s">
        <v>1844</v>
      </c>
      <c r="H81" s="31"/>
      <c r="I81" s="32"/>
    </row>
    <row r="82">
      <c r="A82" s="10" t="s">
        <v>5</v>
      </c>
      <c r="B82" s="11" t="s">
        <v>2530</v>
      </c>
      <c r="C82" s="9"/>
      <c r="D82" s="9"/>
      <c r="E82" s="9"/>
      <c r="F82" s="9"/>
      <c r="G82" s="9"/>
      <c r="H82" s="9"/>
      <c r="I82" s="14"/>
    </row>
    <row r="83" ht="60.0" customHeight="1">
      <c r="A83" s="15" t="s">
        <v>16</v>
      </c>
      <c r="B83" s="22" t="str">
        <f t="array" ref="B83">iferror(VLOOKUP(INDIRECT(ADDRESS(ROW()+1,COLUMN(), 4)),Dex!$A$2:$C493,3,false),"")</f>
        <v/>
      </c>
      <c r="C83" s="22" t="str">
        <f t="array" ref="C83">iferror(VLOOKUP(INDIRECT(ADDRESS(ROW()+1,COLUMN(), 4)),Dex!$A$2:$C493,3,false),"")</f>
        <v/>
      </c>
      <c r="D83" s="22" t="str">
        <f t="array" ref="D83">iferror(VLOOKUP(INDIRECT(ADDRESS(ROW()+1,COLUMN(), 4)),Dex!$A$2:$C493,3,false),"")</f>
        <v/>
      </c>
      <c r="E83" s="22" t="str">
        <f t="array" ref="E83">iferror(VLOOKUP(INDIRECT(ADDRESS(ROW()+1,COLUMN(), 4)),Dex!$A$2:$C493,3,false),"")</f>
        <v/>
      </c>
      <c r="F83" s="22" t="str">
        <f t="array" ref="F83">iferror(VLOOKUP(INDIRECT(ADDRESS(ROW()+1,COLUMN(), 4)),Dex!$A$2:$C493,3,false),"")</f>
        <v/>
      </c>
      <c r="G83" s="22" t="str">
        <f t="array" ref="G83">iferror(VLOOKUP(INDIRECT(ADDRESS(ROW()+1,COLUMN(), 4)),Dex!$A$2:$C493,3,false),"")</f>
        <v/>
      </c>
      <c r="H83" s="23" t="str">
        <f t="array" ref="H83">iferror(VLOOKUP("TRAINER_PIC_Cooltrainer_M",Sprites!$A$1:$B493,2,false),"")</f>
        <v/>
      </c>
      <c r="I83" s="24"/>
    </row>
    <row r="84">
      <c r="A84" s="25"/>
      <c r="B84" s="26" t="s">
        <v>265</v>
      </c>
      <c r="C84" s="26" t="s">
        <v>1680</v>
      </c>
      <c r="D84" s="26" t="s">
        <v>660</v>
      </c>
      <c r="E84" s="26" t="s">
        <v>1085</v>
      </c>
      <c r="F84" s="26" t="s">
        <v>90</v>
      </c>
      <c r="G84" s="26" t="s">
        <v>274</v>
      </c>
      <c r="H84" s="27"/>
    </row>
    <row r="85">
      <c r="A85" s="10" t="s">
        <v>199</v>
      </c>
      <c r="B85" s="22">
        <v>74.0</v>
      </c>
      <c r="C85" s="22">
        <v>73.0</v>
      </c>
      <c r="D85" s="22">
        <v>73.0</v>
      </c>
      <c r="E85" s="22">
        <v>73.0</v>
      </c>
      <c r="F85" s="22">
        <v>75.0</v>
      </c>
      <c r="G85" s="22">
        <v>74.0</v>
      </c>
      <c r="H85" s="27"/>
    </row>
    <row r="86">
      <c r="A86" s="10" t="s">
        <v>201</v>
      </c>
      <c r="B86" s="29" t="s">
        <v>2032</v>
      </c>
      <c r="C86" s="29" t="s">
        <v>1342</v>
      </c>
      <c r="D86" s="29" t="s">
        <v>2546</v>
      </c>
      <c r="E86" s="29" t="s">
        <v>346</v>
      </c>
      <c r="F86" s="29" t="s">
        <v>455</v>
      </c>
      <c r="G86" s="29" t="s">
        <v>2547</v>
      </c>
      <c r="H86" s="27"/>
    </row>
    <row r="87">
      <c r="A87" s="10" t="s">
        <v>209</v>
      </c>
      <c r="B87" s="22" t="s">
        <v>219</v>
      </c>
      <c r="C87" s="22" t="s">
        <v>911</v>
      </c>
      <c r="D87" s="22" t="s">
        <v>219</v>
      </c>
      <c r="E87" s="22" t="s">
        <v>2423</v>
      </c>
      <c r="F87" s="22" t="s">
        <v>217</v>
      </c>
      <c r="G87" s="22" t="s">
        <v>2348</v>
      </c>
      <c r="H87" s="27"/>
    </row>
    <row r="88">
      <c r="A88" s="10" t="s">
        <v>215</v>
      </c>
      <c r="B88" s="29" t="s">
        <v>218</v>
      </c>
      <c r="C88" s="29" t="s">
        <v>906</v>
      </c>
      <c r="D88" s="29" t="s">
        <v>220</v>
      </c>
      <c r="E88" s="29" t="s">
        <v>231</v>
      </c>
      <c r="F88" s="29" t="s">
        <v>906</v>
      </c>
      <c r="G88" s="29" t="s">
        <v>419</v>
      </c>
      <c r="H88" s="27"/>
    </row>
    <row r="89">
      <c r="A89" s="15" t="s">
        <v>224</v>
      </c>
      <c r="B89" s="22" t="s">
        <v>236</v>
      </c>
      <c r="C89" s="22" t="s">
        <v>2548</v>
      </c>
      <c r="D89" s="22" t="s">
        <v>2549</v>
      </c>
      <c r="E89" s="22" t="s">
        <v>361</v>
      </c>
      <c r="F89" s="22" t="s">
        <v>241</v>
      </c>
      <c r="G89" s="22" t="s">
        <v>920</v>
      </c>
      <c r="H89" s="27"/>
    </row>
    <row r="90">
      <c r="A90" s="30"/>
      <c r="B90" s="22" t="s">
        <v>1035</v>
      </c>
      <c r="C90" s="22" t="s">
        <v>920</v>
      </c>
      <c r="D90" s="22" t="s">
        <v>431</v>
      </c>
      <c r="E90" s="22" t="s">
        <v>1549</v>
      </c>
      <c r="F90" s="22" t="s">
        <v>935</v>
      </c>
      <c r="G90" s="22" t="s">
        <v>229</v>
      </c>
      <c r="H90" s="27"/>
    </row>
    <row r="91">
      <c r="A91" s="30"/>
      <c r="B91" s="22" t="s">
        <v>1352</v>
      </c>
      <c r="C91" s="22" t="s">
        <v>1037</v>
      </c>
      <c r="D91" s="22" t="s">
        <v>1158</v>
      </c>
      <c r="E91" s="22" t="s">
        <v>567</v>
      </c>
      <c r="F91" s="22" t="s">
        <v>1039</v>
      </c>
      <c r="G91" s="22" t="s">
        <v>582</v>
      </c>
      <c r="H91" s="27"/>
    </row>
    <row r="92">
      <c r="A92" s="25"/>
      <c r="B92" s="22" t="s">
        <v>233</v>
      </c>
      <c r="C92" s="22" t="s">
        <v>1040</v>
      </c>
      <c r="D92" s="22" t="s">
        <v>1043</v>
      </c>
      <c r="E92" s="22" t="s">
        <v>555</v>
      </c>
      <c r="F92" s="22" t="s">
        <v>1363</v>
      </c>
      <c r="G92" s="22" t="s">
        <v>2550</v>
      </c>
      <c r="H92" s="31"/>
      <c r="I92" s="32"/>
    </row>
    <row r="93">
      <c r="A93" s="8" t="s">
        <v>2371</v>
      </c>
      <c r="B93" s="9"/>
      <c r="C93" s="9"/>
      <c r="D93" s="9"/>
      <c r="E93" s="9"/>
      <c r="F93" s="9"/>
      <c r="G93" s="9"/>
      <c r="H93" s="9"/>
      <c r="I93" s="34"/>
    </row>
    <row r="94">
      <c r="A94" s="10" t="s">
        <v>5</v>
      </c>
      <c r="B94" s="11" t="s">
        <v>2551</v>
      </c>
      <c r="C94" s="9"/>
      <c r="D94" s="9"/>
      <c r="E94" s="9"/>
      <c r="F94" s="9"/>
      <c r="G94" s="9"/>
      <c r="H94" s="9"/>
      <c r="I94" s="14"/>
    </row>
    <row r="95" ht="60.0" customHeight="1">
      <c r="A95" s="15" t="s">
        <v>16</v>
      </c>
      <c r="B95" s="22" t="str">
        <f t="array" ref="B95">iferror(VLOOKUP(INDIRECT(ADDRESS(ROW()+1,COLUMN(), 4)),Dex!$A$2:$C493,3,false),"")</f>
        <v/>
      </c>
      <c r="C95" s="22" t="str">
        <f t="array" ref="C95">iferror(VLOOKUP(INDIRECT(ADDRESS(ROW()+1,COLUMN(), 4)),Dex!$A$2:$C493,3,false),"")</f>
        <v/>
      </c>
      <c r="D95" s="22" t="str">
        <f t="array" ref="D95">iferror(VLOOKUP(INDIRECT(ADDRESS(ROW()+1,COLUMN(), 4)),Dex!$A$2:$C493,3,false),"")</f>
        <v/>
      </c>
      <c r="E95" s="22" t="str">
        <f t="array" ref="E95">iferror(VLOOKUP(INDIRECT(ADDRESS(ROW()+1,COLUMN(), 4)),Dex!$A$2:$C493,3,false),"")</f>
        <v/>
      </c>
      <c r="F95" s="22" t="str">
        <f t="array" ref="F95">iferror(VLOOKUP(INDIRECT(ADDRESS(ROW()+1,COLUMN(), 4)),Dex!$A$2:$C493,3,false),"")</f>
        <v/>
      </c>
      <c r="G95" s="22" t="str">
        <f t="array" ref="G95">iferror(VLOOKUP(INDIRECT(ADDRESS(ROW()+1,COLUMN(), 4)),Dex!$A$2:$C493,3,false),"")</f>
        <v/>
      </c>
      <c r="H95" s="23" t="str">
        <f t="array" ref="H95">iferror(VLOOKUP("TRAINER_PIC_Aroma_Lady",Sprites!$A$1:$B493,2,false),"")</f>
        <v/>
      </c>
      <c r="I95" s="24"/>
    </row>
    <row r="96">
      <c r="A96" s="25"/>
      <c r="B96" s="26" t="s">
        <v>650</v>
      </c>
      <c r="C96" s="26" t="s">
        <v>494</v>
      </c>
      <c r="D96" s="26" t="s">
        <v>1514</v>
      </c>
      <c r="E96" s="26" t="s">
        <v>971</v>
      </c>
      <c r="F96" s="26" t="s">
        <v>1806</v>
      </c>
      <c r="G96" s="26"/>
      <c r="H96" s="27"/>
    </row>
    <row r="97">
      <c r="A97" s="10" t="s">
        <v>199</v>
      </c>
      <c r="B97" s="22">
        <v>73.0</v>
      </c>
      <c r="C97" s="22">
        <v>72.0</v>
      </c>
      <c r="D97" s="22">
        <v>73.0</v>
      </c>
      <c r="E97" s="22">
        <v>72.0</v>
      </c>
      <c r="F97" s="22">
        <v>73.0</v>
      </c>
      <c r="G97" s="22"/>
      <c r="H97" s="27"/>
    </row>
    <row r="98">
      <c r="A98" s="10" t="s">
        <v>201</v>
      </c>
      <c r="B98" s="29" t="s">
        <v>645</v>
      </c>
      <c r="C98" s="29" t="s">
        <v>2572</v>
      </c>
      <c r="D98" s="29" t="s">
        <v>1213</v>
      </c>
      <c r="E98" s="29" t="s">
        <v>2099</v>
      </c>
      <c r="F98" s="29" t="s">
        <v>408</v>
      </c>
      <c r="G98" s="29"/>
      <c r="H98" s="27"/>
    </row>
    <row r="99">
      <c r="A99" s="10" t="s">
        <v>209</v>
      </c>
      <c r="B99" s="22" t="s">
        <v>1785</v>
      </c>
      <c r="C99" s="22" t="s">
        <v>1244</v>
      </c>
      <c r="D99" s="22" t="s">
        <v>1523</v>
      </c>
      <c r="E99" s="22" t="s">
        <v>541</v>
      </c>
      <c r="F99" s="22" t="s">
        <v>1339</v>
      </c>
      <c r="G99" s="22"/>
      <c r="H99" s="27"/>
    </row>
    <row r="100">
      <c r="A100" s="10" t="s">
        <v>215</v>
      </c>
      <c r="B100" s="29" t="s">
        <v>906</v>
      </c>
      <c r="C100" s="29" t="s">
        <v>222</v>
      </c>
      <c r="D100" s="29" t="s">
        <v>906</v>
      </c>
      <c r="E100" s="29" t="s">
        <v>419</v>
      </c>
      <c r="F100" s="29" t="s">
        <v>419</v>
      </c>
      <c r="G100" s="29"/>
      <c r="H100" s="27"/>
    </row>
    <row r="101">
      <c r="A101" s="15" t="s">
        <v>224</v>
      </c>
      <c r="B101" s="22" t="s">
        <v>1873</v>
      </c>
      <c r="C101" s="22" t="s">
        <v>697</v>
      </c>
      <c r="D101" s="22" t="s">
        <v>2020</v>
      </c>
      <c r="E101" s="22" t="s">
        <v>2580</v>
      </c>
      <c r="F101" s="22" t="s">
        <v>2581</v>
      </c>
      <c r="G101" s="22"/>
      <c r="H101" s="27"/>
    </row>
    <row r="102">
      <c r="A102" s="30"/>
      <c r="B102" s="22" t="s">
        <v>2175</v>
      </c>
      <c r="C102" s="22" t="s">
        <v>926</v>
      </c>
      <c r="D102" s="22" t="s">
        <v>926</v>
      </c>
      <c r="E102" s="22" t="s">
        <v>355</v>
      </c>
      <c r="F102" s="22" t="s">
        <v>234</v>
      </c>
      <c r="G102" s="22"/>
      <c r="H102" s="27"/>
    </row>
    <row r="103">
      <c r="A103" s="30"/>
      <c r="B103" s="22" t="s">
        <v>940</v>
      </c>
      <c r="C103" s="22" t="s">
        <v>1250</v>
      </c>
      <c r="D103" s="22" t="s">
        <v>815</v>
      </c>
      <c r="E103" s="22" t="s">
        <v>2584</v>
      </c>
      <c r="F103" s="22" t="s">
        <v>585</v>
      </c>
      <c r="G103" s="22"/>
      <c r="H103" s="27"/>
    </row>
    <row r="104">
      <c r="A104" s="25"/>
      <c r="B104" s="22" t="s">
        <v>2380</v>
      </c>
      <c r="C104" s="22" t="s">
        <v>357</v>
      </c>
      <c r="D104" s="22" t="s">
        <v>1169</v>
      </c>
      <c r="E104" s="22" t="s">
        <v>365</v>
      </c>
      <c r="F104" s="22" t="s">
        <v>2109</v>
      </c>
      <c r="G104" s="22"/>
      <c r="H104" s="31"/>
      <c r="I104" s="32"/>
    </row>
    <row r="105">
      <c r="A105" s="10" t="s">
        <v>5</v>
      </c>
      <c r="B105" s="11" t="s">
        <v>2586</v>
      </c>
      <c r="C105" s="9"/>
      <c r="D105" s="9"/>
      <c r="E105" s="9"/>
      <c r="F105" s="9"/>
      <c r="G105" s="9"/>
      <c r="H105" s="9"/>
      <c r="I105" s="13"/>
    </row>
    <row r="106" ht="60.0" customHeight="1">
      <c r="A106" s="15" t="s">
        <v>16</v>
      </c>
      <c r="B106" s="22" t="str">
        <f t="array" ref="B106">iferror(VLOOKUP(INDIRECT(ADDRESS(ROW()+1,COLUMN(), 4)),Dex!$A$2:$C493,3,false),"")</f>
        <v/>
      </c>
      <c r="C106" s="22" t="str">
        <f t="array" ref="C106">iferror(VLOOKUP(INDIRECT(ADDRESS(ROW()+1,COLUMN(), 4)),Dex!$A$2:$C493,3,false),"")</f>
        <v/>
      </c>
      <c r="D106" s="22" t="str">
        <f t="array" ref="D106">iferror(VLOOKUP(INDIRECT(ADDRESS(ROW()+1,COLUMN(), 4)),Dex!$A$2:$C493,3,false),"")</f>
        <v/>
      </c>
      <c r="E106" s="22" t="str">
        <f t="array" ref="E106">iferror(VLOOKUP(INDIRECT(ADDRESS(ROW()+1,COLUMN(), 4)),Dex!$A$2:$C493,3,false),"")</f>
        <v/>
      </c>
      <c r="F106" s="22" t="str">
        <f t="array" ref="F106">iferror(VLOOKUP(INDIRECT(ADDRESS(ROW()+1,COLUMN(), 4)),Dex!$A$2:$C493,3,false),"")</f>
        <v/>
      </c>
      <c r="G106" s="22" t="str">
        <f t="array" ref="G106">iferror(VLOOKUP(INDIRECT(ADDRESS(ROW()+1,COLUMN(), 4)),Dex!$A$2:$C493,3,false),"")</f>
        <v/>
      </c>
      <c r="H106" s="23" t="str">
        <f t="array" ref="H106">iferror(VLOOKUP("TRAINER_PIC_Youngster",Sprites!$A$1:$B493,2,false),"")</f>
        <v/>
      </c>
      <c r="I106" s="24"/>
    </row>
    <row r="107">
      <c r="A107" s="25"/>
      <c r="B107" s="26" t="s">
        <v>51</v>
      </c>
      <c r="C107" s="26" t="s">
        <v>1966</v>
      </c>
      <c r="D107" s="26"/>
      <c r="E107" s="26" t="s">
        <v>1305</v>
      </c>
      <c r="F107" s="26" t="s">
        <v>1899</v>
      </c>
      <c r="G107" s="26"/>
      <c r="H107" s="27"/>
    </row>
    <row r="108">
      <c r="A108" s="10" t="s">
        <v>199</v>
      </c>
      <c r="B108" s="22">
        <v>73.0</v>
      </c>
      <c r="C108" s="22">
        <v>73.0</v>
      </c>
      <c r="D108" s="22"/>
      <c r="E108" s="22">
        <v>73.0</v>
      </c>
      <c r="F108" s="22">
        <v>73.0</v>
      </c>
      <c r="G108" s="22"/>
      <c r="H108" s="27"/>
    </row>
    <row r="109">
      <c r="A109" s="10" t="s">
        <v>201</v>
      </c>
      <c r="B109" s="29" t="s">
        <v>1278</v>
      </c>
      <c r="C109" s="29" t="s">
        <v>890</v>
      </c>
      <c r="D109" s="29"/>
      <c r="E109" s="29" t="s">
        <v>205</v>
      </c>
      <c r="F109" s="29" t="s">
        <v>1014</v>
      </c>
      <c r="G109" s="29"/>
      <c r="H109" s="27"/>
    </row>
    <row r="110">
      <c r="A110" s="10" t="s">
        <v>209</v>
      </c>
      <c r="B110" s="22" t="s">
        <v>553</v>
      </c>
      <c r="C110" s="22" t="s">
        <v>2593</v>
      </c>
      <c r="D110" s="22"/>
      <c r="E110" s="22" t="s">
        <v>789</v>
      </c>
      <c r="F110" s="22" t="s">
        <v>2594</v>
      </c>
      <c r="G110" s="22"/>
      <c r="H110" s="27"/>
    </row>
    <row r="111">
      <c r="A111" s="10" t="s">
        <v>215</v>
      </c>
      <c r="B111" s="29" t="s">
        <v>220</v>
      </c>
      <c r="C111" s="29" t="s">
        <v>222</v>
      </c>
      <c r="D111" s="29"/>
      <c r="E111" s="29" t="s">
        <v>419</v>
      </c>
      <c r="F111" s="29" t="s">
        <v>419</v>
      </c>
      <c r="G111" s="29"/>
      <c r="H111" s="27"/>
    </row>
    <row r="112">
      <c r="A112" s="15" t="s">
        <v>224</v>
      </c>
      <c r="B112" s="22" t="s">
        <v>1224</v>
      </c>
      <c r="C112" s="22" t="s">
        <v>815</v>
      </c>
      <c r="D112" s="22"/>
      <c r="E112" s="22" t="s">
        <v>938</v>
      </c>
      <c r="F112" s="22" t="s">
        <v>938</v>
      </c>
      <c r="G112" s="22"/>
      <c r="H112" s="27"/>
    </row>
    <row r="113">
      <c r="A113" s="30"/>
      <c r="B113" s="22" t="s">
        <v>237</v>
      </c>
      <c r="C113" s="22" t="s">
        <v>935</v>
      </c>
      <c r="D113" s="22"/>
      <c r="E113" s="22" t="s">
        <v>232</v>
      </c>
      <c r="F113" s="22" t="s">
        <v>360</v>
      </c>
      <c r="G113" s="22"/>
      <c r="H113" s="27"/>
    </row>
    <row r="114">
      <c r="A114" s="30"/>
      <c r="B114" s="22" t="s">
        <v>365</v>
      </c>
      <c r="C114" s="22" t="s">
        <v>465</v>
      </c>
      <c r="D114" s="22"/>
      <c r="E114" s="22" t="s">
        <v>234</v>
      </c>
      <c r="F114" s="22" t="s">
        <v>234</v>
      </c>
      <c r="G114" s="22"/>
      <c r="H114" s="27"/>
    </row>
    <row r="115">
      <c r="A115" s="25"/>
      <c r="B115" s="22" t="s">
        <v>244</v>
      </c>
      <c r="C115" s="22" t="s">
        <v>950</v>
      </c>
      <c r="D115" s="22"/>
      <c r="E115" s="22" t="s">
        <v>584</v>
      </c>
      <c r="F115" s="22" t="s">
        <v>1437</v>
      </c>
      <c r="G115" s="22"/>
      <c r="H115" s="31"/>
      <c r="I115" s="32"/>
    </row>
    <row r="116">
      <c r="A116" s="10" t="s">
        <v>5</v>
      </c>
      <c r="B116" s="11" t="s">
        <v>2606</v>
      </c>
      <c r="C116" s="9"/>
      <c r="D116" s="9"/>
      <c r="E116" s="9"/>
      <c r="F116" s="9"/>
      <c r="G116" s="9"/>
      <c r="H116" s="9"/>
      <c r="I116" s="14"/>
    </row>
    <row r="117" ht="60.0" customHeight="1">
      <c r="A117" s="15" t="s">
        <v>16</v>
      </c>
      <c r="B117" s="22" t="str">
        <f t="array" ref="B117">iferror(VLOOKUP(INDIRECT(ADDRESS(ROW()+1,COLUMN(), 4)),Dex!$A$2:$C493,3,false),"")</f>
        <v/>
      </c>
      <c r="C117" s="22" t="str">
        <f t="array" ref="C117">iferror(VLOOKUP(INDIRECT(ADDRESS(ROW()+1,COLUMN(), 4)),Dex!$A$2:$C493,3,false),"")</f>
        <v/>
      </c>
      <c r="D117" s="22" t="str">
        <f t="array" ref="D117">iferror(VLOOKUP(INDIRECT(ADDRESS(ROW()+1,COLUMN(), 4)),Dex!$A$2:$C493,3,false),"")</f>
        <v/>
      </c>
      <c r="E117" s="22" t="str">
        <f t="array" ref="E117">iferror(VLOOKUP(INDIRECT(ADDRESS(ROW()+1,COLUMN(), 4)),Dex!$A$2:$C493,3,false),"")</f>
        <v/>
      </c>
      <c r="F117" s="22" t="str">
        <f t="array" ref="F117">iferror(VLOOKUP(INDIRECT(ADDRESS(ROW()+1,COLUMN(), 4)),Dex!$A$2:$C493,3,false),"")</f>
        <v/>
      </c>
      <c r="G117" s="22" t="str">
        <f t="array" ref="G117">iferror(VLOOKUP(INDIRECT(ADDRESS(ROW()+1,COLUMN(), 4)),Dex!$A$2:$C493,3,false),"")</f>
        <v/>
      </c>
      <c r="H117" s="23" t="str">
        <f t="array" ref="H117">iferror(VLOOKUP("TRAINER_PIC_Bird_Keeper",Sprites!$A$1:$B493,2,false),"")</f>
        <v/>
      </c>
      <c r="I117" s="24"/>
    </row>
    <row r="118">
      <c r="A118" s="25"/>
      <c r="B118" s="26" t="s">
        <v>1320</v>
      </c>
      <c r="C118" s="26" t="s">
        <v>1609</v>
      </c>
      <c r="D118" s="26" t="s">
        <v>868</v>
      </c>
      <c r="E118" s="26" t="s">
        <v>1812</v>
      </c>
      <c r="F118" s="26"/>
      <c r="G118" s="26"/>
      <c r="H118" s="27"/>
    </row>
    <row r="119">
      <c r="A119" s="10" t="s">
        <v>199</v>
      </c>
      <c r="B119" s="22">
        <v>72.0</v>
      </c>
      <c r="C119" s="22">
        <v>73.0</v>
      </c>
      <c r="D119" s="22">
        <v>73.0</v>
      </c>
      <c r="E119" s="22">
        <v>74.0</v>
      </c>
      <c r="F119" s="22"/>
      <c r="G119" s="22"/>
      <c r="H119" s="27"/>
    </row>
    <row r="120">
      <c r="A120" s="10" t="s">
        <v>201</v>
      </c>
      <c r="B120" s="29" t="s">
        <v>544</v>
      </c>
      <c r="C120" s="29" t="s">
        <v>1928</v>
      </c>
      <c r="D120" s="29" t="s">
        <v>1213</v>
      </c>
      <c r="E120" s="29" t="s">
        <v>2623</v>
      </c>
      <c r="F120" s="29"/>
      <c r="G120" s="29"/>
      <c r="H120" s="27"/>
    </row>
    <row r="121">
      <c r="A121" s="10" t="s">
        <v>209</v>
      </c>
      <c r="B121" s="22" t="s">
        <v>1336</v>
      </c>
      <c r="C121" s="22" t="s">
        <v>352</v>
      </c>
      <c r="D121" s="22" t="s">
        <v>219</v>
      </c>
      <c r="E121" s="22" t="s">
        <v>1641</v>
      </c>
      <c r="F121" s="22"/>
      <c r="G121" s="22"/>
      <c r="H121" s="27"/>
    </row>
    <row r="122">
      <c r="A122" s="10" t="s">
        <v>215</v>
      </c>
      <c r="B122" s="29" t="s">
        <v>220</v>
      </c>
      <c r="C122" s="29" t="s">
        <v>231</v>
      </c>
      <c r="D122" s="29" t="s">
        <v>218</v>
      </c>
      <c r="E122" s="29" t="s">
        <v>220</v>
      </c>
      <c r="F122" s="29"/>
      <c r="G122" s="29"/>
      <c r="H122" s="27"/>
    </row>
    <row r="123">
      <c r="A123" s="15" t="s">
        <v>224</v>
      </c>
      <c r="B123" s="22" t="s">
        <v>361</v>
      </c>
      <c r="C123" s="22" t="s">
        <v>2517</v>
      </c>
      <c r="D123" s="22" t="s">
        <v>2624</v>
      </c>
      <c r="E123" s="22" t="s">
        <v>1761</v>
      </c>
      <c r="F123" s="22"/>
      <c r="G123" s="22"/>
      <c r="H123" s="27"/>
    </row>
    <row r="124">
      <c r="A124" s="30"/>
      <c r="B124" s="22" t="s">
        <v>555</v>
      </c>
      <c r="C124" s="22" t="s">
        <v>2220</v>
      </c>
      <c r="D124" s="22" t="s">
        <v>2578</v>
      </c>
      <c r="E124" s="22" t="s">
        <v>1849</v>
      </c>
      <c r="F124" s="22"/>
      <c r="G124" s="22"/>
      <c r="H124" s="27"/>
    </row>
    <row r="125">
      <c r="A125" s="30"/>
      <c r="B125" s="22" t="s">
        <v>2491</v>
      </c>
      <c r="C125" s="22" t="s">
        <v>243</v>
      </c>
      <c r="D125" s="22" t="s">
        <v>938</v>
      </c>
      <c r="E125" s="22" t="s">
        <v>1048</v>
      </c>
      <c r="F125" s="22"/>
      <c r="G125" s="22"/>
      <c r="H125" s="27"/>
    </row>
    <row r="126">
      <c r="A126" s="25"/>
      <c r="B126" s="22" t="s">
        <v>366</v>
      </c>
      <c r="C126" s="22" t="s">
        <v>2583</v>
      </c>
      <c r="D126" s="22" t="s">
        <v>1354</v>
      </c>
      <c r="E126" s="22" t="s">
        <v>652</v>
      </c>
      <c r="F126" s="22"/>
      <c r="G126" s="22"/>
      <c r="H126" s="31"/>
      <c r="I126" s="32"/>
    </row>
    <row r="127">
      <c r="A127" s="8" t="s">
        <v>2626</v>
      </c>
      <c r="B127" s="9"/>
      <c r="C127" s="9"/>
      <c r="D127" s="9"/>
      <c r="E127" s="9"/>
      <c r="F127" s="9"/>
      <c r="G127" s="9"/>
      <c r="H127" s="9"/>
      <c r="I127" s="34"/>
    </row>
    <row r="128">
      <c r="A128" s="10" t="s">
        <v>5</v>
      </c>
      <c r="B128" s="11" t="s">
        <v>2627</v>
      </c>
      <c r="C128" s="9"/>
      <c r="D128" s="9"/>
      <c r="E128" s="9"/>
      <c r="F128" s="9"/>
      <c r="G128" s="9"/>
      <c r="H128" s="9"/>
      <c r="I128" s="13"/>
    </row>
    <row r="129" ht="60.0" customHeight="1">
      <c r="A129" s="15" t="s">
        <v>16</v>
      </c>
      <c r="B129" s="22" t="str">
        <f t="array" ref="B129">iferror(VLOOKUP(INDIRECT(ADDRESS(ROW()+1,COLUMN(), 4)),Dex!$A$2:$C493,3,false),"")</f>
        <v/>
      </c>
      <c r="C129" s="22" t="str">
        <f t="array" ref="C129">iferror(VLOOKUP(INDIRECT(ADDRESS(ROW()+1,COLUMN(), 4)),Dex!$A$2:$C493,3,false),"")</f>
        <v/>
      </c>
      <c r="D129" s="22" t="str">
        <f t="array" ref="D129">iferror(VLOOKUP(INDIRECT(ADDRESS(ROW()+1,COLUMN(), 4)),Dex!$A$2:$C493,3,false),"")</f>
        <v/>
      </c>
      <c r="E129" s="22" t="str">
        <f t="array" ref="E129">iferror(VLOOKUP(INDIRECT(ADDRESS(ROW()+1,COLUMN(), 4)),Dex!$A$2:$C493,3,false),"")</f>
        <v/>
      </c>
      <c r="F129" s="22" t="str">
        <f t="array" ref="F129">iferror(VLOOKUP(INDIRECT(ADDRESS(ROW()+1,COLUMN(), 4)),Dex!$A$2:$C493,3,false),"")</f>
        <v/>
      </c>
      <c r="G129" s="22" t="str">
        <f t="array" ref="G129">iferror(VLOOKUP(INDIRECT(ADDRESS(ROW()+1,COLUMN(), 4)),Dex!$A$2:$C493,3,false),"")</f>
        <v/>
      </c>
      <c r="H129" s="23" t="str">
        <f t="array" ref="H129">iferror(VLOOKUP("TRAINER_PIC_Bug_Maniac",Sprites!$A$1:$B493,2,false),"")</f>
        <v/>
      </c>
      <c r="I129" s="24"/>
    </row>
    <row r="130">
      <c r="A130" s="25"/>
      <c r="B130" s="26" t="s">
        <v>1612</v>
      </c>
      <c r="C130" s="26" t="s">
        <v>1230</v>
      </c>
      <c r="D130" s="26" t="s">
        <v>1053</v>
      </c>
      <c r="E130" s="26" t="s">
        <v>837</v>
      </c>
      <c r="F130" s="26" t="s">
        <v>1141</v>
      </c>
      <c r="G130" s="26" t="s">
        <v>396</v>
      </c>
      <c r="H130" s="27"/>
    </row>
    <row r="131">
      <c r="A131" s="10" t="s">
        <v>199</v>
      </c>
      <c r="B131" s="22">
        <v>73.0</v>
      </c>
      <c r="C131" s="22">
        <v>73.0</v>
      </c>
      <c r="D131" s="22">
        <v>74.0</v>
      </c>
      <c r="E131" s="22">
        <v>73.0</v>
      </c>
      <c r="F131" s="22">
        <v>73.0</v>
      </c>
      <c r="G131" s="22">
        <v>75.0</v>
      </c>
      <c r="H131" s="27"/>
    </row>
    <row r="132">
      <c r="A132" s="10" t="s">
        <v>201</v>
      </c>
      <c r="B132" s="29" t="s">
        <v>1023</v>
      </c>
      <c r="C132" s="29" t="s">
        <v>644</v>
      </c>
      <c r="D132" s="29" t="s">
        <v>2099</v>
      </c>
      <c r="E132" s="29" t="s">
        <v>1635</v>
      </c>
      <c r="F132" s="29" t="s">
        <v>1054</v>
      </c>
      <c r="G132" s="29" t="s">
        <v>2633</v>
      </c>
      <c r="H132" s="27"/>
    </row>
    <row r="133">
      <c r="A133" s="10" t="s">
        <v>209</v>
      </c>
      <c r="B133" s="22" t="s">
        <v>413</v>
      </c>
      <c r="C133" s="22" t="s">
        <v>2367</v>
      </c>
      <c r="D133" s="22" t="s">
        <v>1339</v>
      </c>
      <c r="E133" s="22" t="s">
        <v>1152</v>
      </c>
      <c r="F133" s="22" t="s">
        <v>1059</v>
      </c>
      <c r="G133" s="22" t="s">
        <v>2635</v>
      </c>
      <c r="H133" s="27"/>
    </row>
    <row r="134">
      <c r="A134" s="10" t="s">
        <v>215</v>
      </c>
      <c r="B134" s="29" t="s">
        <v>222</v>
      </c>
      <c r="C134" s="29" t="s">
        <v>904</v>
      </c>
      <c r="D134" s="29" t="s">
        <v>231</v>
      </c>
      <c r="E134" s="29" t="s">
        <v>231</v>
      </c>
      <c r="F134" s="29" t="s">
        <v>220</v>
      </c>
      <c r="G134" s="29" t="s">
        <v>231</v>
      </c>
      <c r="H134" s="27"/>
    </row>
    <row r="135">
      <c r="A135" s="15" t="s">
        <v>224</v>
      </c>
      <c r="B135" s="22" t="s">
        <v>806</v>
      </c>
      <c r="C135" s="22" t="s">
        <v>2470</v>
      </c>
      <c r="D135" s="22" t="s">
        <v>1224</v>
      </c>
      <c r="E135" s="22" t="s">
        <v>549</v>
      </c>
      <c r="F135" s="22" t="s">
        <v>1163</v>
      </c>
      <c r="G135" s="22" t="s">
        <v>549</v>
      </c>
      <c r="H135" s="27"/>
    </row>
    <row r="136">
      <c r="A136" s="30"/>
      <c r="B136" s="22" t="s">
        <v>1891</v>
      </c>
      <c r="C136" s="22" t="s">
        <v>927</v>
      </c>
      <c r="D136" s="22" t="s">
        <v>477</v>
      </c>
      <c r="E136" s="22" t="s">
        <v>1163</v>
      </c>
      <c r="F136" s="22" t="s">
        <v>1772</v>
      </c>
      <c r="G136" s="22" t="s">
        <v>930</v>
      </c>
      <c r="H136" s="27"/>
    </row>
    <row r="137">
      <c r="A137" s="30"/>
      <c r="B137" s="22" t="s">
        <v>360</v>
      </c>
      <c r="C137" s="22" t="s">
        <v>570</v>
      </c>
      <c r="D137" s="22" t="s">
        <v>927</v>
      </c>
      <c r="E137" s="22" t="s">
        <v>363</v>
      </c>
      <c r="F137" s="22" t="s">
        <v>951</v>
      </c>
      <c r="G137" s="22" t="s">
        <v>801</v>
      </c>
      <c r="H137" s="27"/>
    </row>
    <row r="138">
      <c r="A138" s="25"/>
      <c r="B138" s="22" t="s">
        <v>805</v>
      </c>
      <c r="C138" s="22" t="s">
        <v>576</v>
      </c>
      <c r="D138" s="22" t="s">
        <v>549</v>
      </c>
      <c r="E138" s="22" t="s">
        <v>587</v>
      </c>
      <c r="F138" s="22" t="s">
        <v>477</v>
      </c>
      <c r="G138" s="22" t="s">
        <v>1352</v>
      </c>
      <c r="H138" s="31"/>
      <c r="I138" s="32"/>
    </row>
    <row r="139">
      <c r="A139" s="10" t="s">
        <v>5</v>
      </c>
      <c r="B139" s="11" t="s">
        <v>2642</v>
      </c>
      <c r="C139" s="9"/>
      <c r="D139" s="9"/>
      <c r="E139" s="9"/>
      <c r="F139" s="9"/>
      <c r="G139" s="9"/>
      <c r="H139" s="9"/>
      <c r="I139" s="14"/>
    </row>
    <row r="140" ht="60.0" customHeight="1">
      <c r="A140" s="15" t="s">
        <v>16</v>
      </c>
      <c r="B140" s="22" t="str">
        <f t="array" ref="B140">iferror(VLOOKUP(INDIRECT(ADDRESS(ROW()+1,COLUMN(), 4)),Dex!$A$2:$C493,3,false),"")</f>
        <v/>
      </c>
      <c r="C140" s="22" t="str">
        <f t="array" ref="C140">iferror(VLOOKUP(INDIRECT(ADDRESS(ROW()+1,COLUMN(), 4)),Dex!$A$2:$C493,3,false),"")</f>
        <v/>
      </c>
      <c r="D140" s="22" t="str">
        <f t="array" ref="D140">iferror(VLOOKUP(INDIRECT(ADDRESS(ROW()+1,COLUMN(), 4)),Dex!$A$2:$C493,3,false),"")</f>
        <v/>
      </c>
      <c r="E140" s="22" t="str">
        <f t="array" ref="E140">iferror(VLOOKUP(INDIRECT(ADDRESS(ROW()+1,COLUMN(), 4)),Dex!$A$2:$C493,3,false),"")</f>
        <v/>
      </c>
      <c r="F140" s="22" t="str">
        <f t="array" ref="F140">iferror(VLOOKUP(INDIRECT(ADDRESS(ROW()+1,COLUMN(), 4)),Dex!$A$2:$C493,3,false),"")</f>
        <v/>
      </c>
      <c r="G140" s="22" t="str">
        <f t="array" ref="G140">iferror(VLOOKUP(INDIRECT(ADDRESS(ROW()+1,COLUMN(), 4)),Dex!$A$2:$C493,3,false),"")</f>
        <v/>
      </c>
      <c r="H140" s="23" t="str">
        <f t="array" ref="H140">iferror(VLOOKUP("TRAINER_PIC_Bug_Maniac",Sprites!$A$1:$B493,2,false),"")</f>
        <v/>
      </c>
      <c r="I140" s="24"/>
    </row>
    <row r="141">
      <c r="A141" s="25"/>
      <c r="B141" s="26" t="s">
        <v>1665</v>
      </c>
      <c r="C141" s="26" t="s">
        <v>444</v>
      </c>
      <c r="D141" s="26" t="s">
        <v>1225</v>
      </c>
      <c r="E141" s="26" t="s">
        <v>2091</v>
      </c>
      <c r="F141" s="26" t="s">
        <v>1421</v>
      </c>
      <c r="G141" s="26" t="s">
        <v>113</v>
      </c>
      <c r="H141" s="27"/>
    </row>
    <row r="142">
      <c r="A142" s="10" t="s">
        <v>199</v>
      </c>
      <c r="B142" s="22">
        <v>73.0</v>
      </c>
      <c r="C142" s="22">
        <v>74.0</v>
      </c>
      <c r="D142" s="22">
        <v>73.0</v>
      </c>
      <c r="E142" s="22">
        <v>73.0</v>
      </c>
      <c r="F142" s="22">
        <v>73.0</v>
      </c>
      <c r="G142" s="22">
        <v>75.0</v>
      </c>
      <c r="H142" s="27"/>
    </row>
    <row r="143">
      <c r="A143" s="10" t="s">
        <v>201</v>
      </c>
      <c r="B143" s="29" t="s">
        <v>1148</v>
      </c>
      <c r="C143" s="29" t="s">
        <v>1242</v>
      </c>
      <c r="D143" s="29" t="s">
        <v>206</v>
      </c>
      <c r="E143" s="29" t="s">
        <v>1635</v>
      </c>
      <c r="F143" s="29" t="s">
        <v>2648</v>
      </c>
      <c r="G143" s="29" t="s">
        <v>2649</v>
      </c>
      <c r="H143" s="27"/>
    </row>
    <row r="144">
      <c r="A144" s="10" t="s">
        <v>209</v>
      </c>
      <c r="B144" s="22" t="s">
        <v>2016</v>
      </c>
      <c r="C144" s="22" t="s">
        <v>1152</v>
      </c>
      <c r="D144" s="22" t="s">
        <v>681</v>
      </c>
      <c r="E144" s="22" t="s">
        <v>2373</v>
      </c>
      <c r="F144" s="22" t="s">
        <v>2613</v>
      </c>
      <c r="G144" s="22" t="s">
        <v>2593</v>
      </c>
      <c r="H144" s="27"/>
    </row>
    <row r="145">
      <c r="A145" s="10" t="s">
        <v>215</v>
      </c>
      <c r="B145" s="29" t="s">
        <v>220</v>
      </c>
      <c r="C145" s="29" t="s">
        <v>220</v>
      </c>
      <c r="D145" s="29" t="s">
        <v>231</v>
      </c>
      <c r="E145" s="29" t="s">
        <v>222</v>
      </c>
      <c r="F145" s="29" t="s">
        <v>419</v>
      </c>
      <c r="G145" s="29" t="s">
        <v>231</v>
      </c>
      <c r="H145" s="27"/>
    </row>
    <row r="146">
      <c r="A146" s="15" t="s">
        <v>224</v>
      </c>
      <c r="B146" s="22" t="s">
        <v>806</v>
      </c>
      <c r="C146" s="22" t="s">
        <v>927</v>
      </c>
      <c r="D146" s="22" t="s">
        <v>1791</v>
      </c>
      <c r="E146" s="22" t="s">
        <v>920</v>
      </c>
      <c r="F146" s="22" t="s">
        <v>2658</v>
      </c>
      <c r="G146" s="22" t="s">
        <v>1163</v>
      </c>
      <c r="H146" s="27"/>
    </row>
    <row r="147">
      <c r="A147" s="30"/>
      <c r="B147" s="22" t="s">
        <v>587</v>
      </c>
      <c r="C147" s="22" t="s">
        <v>363</v>
      </c>
      <c r="D147" s="22" t="s">
        <v>561</v>
      </c>
      <c r="E147" s="22" t="s">
        <v>360</v>
      </c>
      <c r="F147" s="22" t="s">
        <v>805</v>
      </c>
      <c r="G147" s="22" t="s">
        <v>1224</v>
      </c>
      <c r="H147" s="27"/>
    </row>
    <row r="148">
      <c r="A148" s="30"/>
      <c r="B148" s="22" t="s">
        <v>1163</v>
      </c>
      <c r="C148" s="22" t="s">
        <v>549</v>
      </c>
      <c r="D148" s="22" t="s">
        <v>1166</v>
      </c>
      <c r="E148" s="22" t="s">
        <v>1955</v>
      </c>
      <c r="F148" s="22" t="s">
        <v>469</v>
      </c>
      <c r="G148" s="22" t="s">
        <v>373</v>
      </c>
      <c r="H148" s="27"/>
    </row>
    <row r="149">
      <c r="A149" s="25"/>
      <c r="B149" s="22" t="s">
        <v>1231</v>
      </c>
      <c r="C149" s="22" t="s">
        <v>2603</v>
      </c>
      <c r="D149" s="22" t="s">
        <v>549</v>
      </c>
      <c r="E149" s="22" t="s">
        <v>2221</v>
      </c>
      <c r="F149" s="22" t="s">
        <v>2579</v>
      </c>
      <c r="G149" s="22" t="s">
        <v>477</v>
      </c>
      <c r="H149" s="31"/>
      <c r="I149" s="32"/>
    </row>
    <row r="150">
      <c r="A150" s="10" t="s">
        <v>5</v>
      </c>
      <c r="B150" s="11" t="s">
        <v>2662</v>
      </c>
      <c r="C150" s="9"/>
      <c r="D150" s="9"/>
      <c r="E150" s="9"/>
      <c r="F150" s="9"/>
      <c r="G150" s="9"/>
      <c r="H150" s="9"/>
      <c r="I150" s="14"/>
    </row>
    <row r="151" ht="60.0" customHeight="1">
      <c r="A151" s="15" t="s">
        <v>16</v>
      </c>
      <c r="B151" s="22" t="str">
        <f t="array" ref="B151">iferror(VLOOKUP(INDIRECT(ADDRESS(ROW()+1,COLUMN(), 4)),Dex!$A$2:$C493,3,false),"")</f>
        <v/>
      </c>
      <c r="C151" s="22" t="str">
        <f t="array" ref="C151">iferror(VLOOKUP(INDIRECT(ADDRESS(ROW()+1,COLUMN(), 4)),Dex!$A$2:$C493,3,false),"")</f>
        <v/>
      </c>
      <c r="D151" s="22" t="str">
        <f t="array" ref="D151">iferror(VLOOKUP(INDIRECT(ADDRESS(ROW()+1,COLUMN(), 4)),Dex!$A$2:$C493,3,false),"")</f>
        <v/>
      </c>
      <c r="E151" s="22" t="str">
        <f t="array" ref="E151">iferror(VLOOKUP(INDIRECT(ADDRESS(ROW()+1,COLUMN(), 4)),Dex!$A$2:$C493,3,false),"")</f>
        <v/>
      </c>
      <c r="F151" s="22" t="str">
        <f t="array" ref="F151">iferror(VLOOKUP(INDIRECT(ADDRESS(ROW()+1,COLUMN(), 4)),Dex!$A$2:$C493,3,false),"")</f>
        <v/>
      </c>
      <c r="G151" s="22" t="str">
        <f t="array" ref="G151">iferror(VLOOKUP(INDIRECT(ADDRESS(ROW()+1,COLUMN(), 4)),Dex!$A$2:$C493,3,false),"")</f>
        <v/>
      </c>
      <c r="H151" s="23" t="str">
        <f t="array" ref="H151">iferror(VLOOKUP("TRAINER_PIC_Fisherman",Sprites!$A$1:$B493,2,false),"")</f>
        <v/>
      </c>
      <c r="I151" s="24"/>
    </row>
    <row r="152">
      <c r="A152" s="25"/>
      <c r="B152" s="26" t="s">
        <v>626</v>
      </c>
      <c r="C152" s="26" t="s">
        <v>1502</v>
      </c>
      <c r="D152" s="26" t="s">
        <v>2158</v>
      </c>
      <c r="E152" s="26" t="s">
        <v>1861</v>
      </c>
      <c r="F152" s="26" t="s">
        <v>1778</v>
      </c>
      <c r="G152" s="26" t="s">
        <v>94</v>
      </c>
      <c r="H152" s="27"/>
    </row>
    <row r="153">
      <c r="A153" s="10" t="s">
        <v>199</v>
      </c>
      <c r="B153" s="22">
        <v>73.0</v>
      </c>
      <c r="C153" s="22">
        <v>73.0</v>
      </c>
      <c r="D153" s="22">
        <v>73.0</v>
      </c>
      <c r="E153" s="22">
        <v>73.0</v>
      </c>
      <c r="F153" s="22">
        <v>74.0</v>
      </c>
      <c r="G153" s="22">
        <v>75.0</v>
      </c>
      <c r="H153" s="27"/>
    </row>
    <row r="154">
      <c r="A154" s="10" t="s">
        <v>201</v>
      </c>
      <c r="B154" s="29" t="s">
        <v>1635</v>
      </c>
      <c r="C154" s="29" t="s">
        <v>408</v>
      </c>
      <c r="D154" s="29" t="s">
        <v>645</v>
      </c>
      <c r="E154" s="29" t="s">
        <v>1521</v>
      </c>
      <c r="F154" s="29" t="s">
        <v>1147</v>
      </c>
      <c r="G154" s="29" t="s">
        <v>2677</v>
      </c>
      <c r="H154" s="27"/>
    </row>
    <row r="155">
      <c r="A155" s="10" t="s">
        <v>209</v>
      </c>
      <c r="B155" s="22" t="s">
        <v>1152</v>
      </c>
      <c r="C155" s="22" t="s">
        <v>2017</v>
      </c>
      <c r="D155" s="22" t="s">
        <v>2423</v>
      </c>
      <c r="E155" s="22" t="s">
        <v>541</v>
      </c>
      <c r="F155" s="22" t="s">
        <v>1284</v>
      </c>
      <c r="G155" s="22" t="s">
        <v>556</v>
      </c>
      <c r="H155" s="27"/>
    </row>
    <row r="156">
      <c r="A156" s="10" t="s">
        <v>215</v>
      </c>
      <c r="B156" s="29" t="s">
        <v>419</v>
      </c>
      <c r="C156" s="29" t="s">
        <v>220</v>
      </c>
      <c r="D156" s="29" t="s">
        <v>904</v>
      </c>
      <c r="E156" s="29" t="s">
        <v>220</v>
      </c>
      <c r="F156" s="29" t="s">
        <v>218</v>
      </c>
      <c r="G156" s="29" t="s">
        <v>419</v>
      </c>
      <c r="H156" s="27"/>
    </row>
    <row r="157">
      <c r="A157" s="15" t="s">
        <v>224</v>
      </c>
      <c r="B157" s="22" t="s">
        <v>2115</v>
      </c>
      <c r="C157" s="22" t="s">
        <v>473</v>
      </c>
      <c r="D157" s="22" t="s">
        <v>1666</v>
      </c>
      <c r="E157" s="22" t="s">
        <v>2678</v>
      </c>
      <c r="F157" s="22" t="s">
        <v>2679</v>
      </c>
      <c r="G157" s="22" t="s">
        <v>2020</v>
      </c>
      <c r="H157" s="27"/>
    </row>
    <row r="158">
      <c r="A158" s="30"/>
      <c r="B158" s="22" t="s">
        <v>362</v>
      </c>
      <c r="C158" s="22" t="s">
        <v>477</v>
      </c>
      <c r="D158" s="22" t="s">
        <v>2049</v>
      </c>
      <c r="E158" s="22" t="s">
        <v>2330</v>
      </c>
      <c r="F158" s="22" t="s">
        <v>951</v>
      </c>
      <c r="G158" s="22" t="s">
        <v>362</v>
      </c>
      <c r="H158" s="27"/>
    </row>
    <row r="159">
      <c r="A159" s="30"/>
      <c r="B159" s="22" t="s">
        <v>465</v>
      </c>
      <c r="C159" s="22" t="s">
        <v>587</v>
      </c>
      <c r="D159" s="22" t="s">
        <v>587</v>
      </c>
      <c r="E159" s="22" t="s">
        <v>700</v>
      </c>
      <c r="F159" s="22" t="s">
        <v>253</v>
      </c>
      <c r="G159" s="22" t="s">
        <v>580</v>
      </c>
      <c r="H159" s="27"/>
    </row>
    <row r="160">
      <c r="A160" s="25"/>
      <c r="B160" s="22" t="s">
        <v>2680</v>
      </c>
      <c r="C160" s="22" t="s">
        <v>803</v>
      </c>
      <c r="D160" s="22" t="s">
        <v>917</v>
      </c>
      <c r="E160" s="22" t="s">
        <v>698</v>
      </c>
      <c r="F160" s="22" t="s">
        <v>1069</v>
      </c>
      <c r="G160" s="22" t="s">
        <v>2397</v>
      </c>
      <c r="H160" s="31"/>
      <c r="I160" s="32"/>
    </row>
    <row r="161">
      <c r="A161" s="10" t="s">
        <v>5</v>
      </c>
      <c r="B161" s="11" t="s">
        <v>2681</v>
      </c>
      <c r="C161" s="9"/>
      <c r="D161" s="9"/>
      <c r="E161" s="9"/>
      <c r="F161" s="9"/>
      <c r="G161" s="9"/>
      <c r="H161" s="9"/>
      <c r="I161" s="14"/>
    </row>
    <row r="162" ht="60.0" customHeight="1">
      <c r="A162" s="15" t="s">
        <v>16</v>
      </c>
      <c r="B162" s="22" t="str">
        <f t="array" ref="B162">iferror(VLOOKUP(INDIRECT(ADDRESS(ROW()+1,COLUMN(), 4)),Dex!$A$2:$C493,3,false),"")</f>
        <v/>
      </c>
      <c r="C162" s="22" t="str">
        <f t="array" ref="C162">iferror(VLOOKUP(INDIRECT(ADDRESS(ROW()+1,COLUMN(), 4)),Dex!$A$2:$C493,3,false),"")</f>
        <v/>
      </c>
      <c r="D162" s="22" t="str">
        <f t="array" ref="D162">iferror(VLOOKUP(INDIRECT(ADDRESS(ROW()+1,COLUMN(), 4)),Dex!$A$2:$C493,3,false),"")</f>
        <v/>
      </c>
      <c r="E162" s="22" t="str">
        <f t="array" ref="E162">iferror(VLOOKUP(INDIRECT(ADDRESS(ROW()+1,COLUMN(), 4)),Dex!$A$2:$C493,3,false),"")</f>
        <v/>
      </c>
      <c r="F162" s="22" t="str">
        <f t="array" ref="F162">iferror(VLOOKUP(INDIRECT(ADDRESS(ROW()+1,COLUMN(), 4)),Dex!$A$2:$C493,3,false),"")</f>
        <v/>
      </c>
      <c r="G162" s="22" t="str">
        <f t="array" ref="G162">iferror(VLOOKUP(INDIRECT(ADDRESS(ROW()+1,COLUMN(), 4)),Dex!$A$2:$C493,3,false),"")</f>
        <v/>
      </c>
      <c r="H162" s="23" t="str">
        <f t="array" ref="H162">iferror(VLOOKUP("TRAINER_PIC_Bug_Catcher",Sprites!$A$1:$B493,2,false),"")</f>
        <v/>
      </c>
      <c r="I162" s="24"/>
    </row>
    <row r="163">
      <c r="A163" s="25"/>
      <c r="B163" s="26" t="s">
        <v>1735</v>
      </c>
      <c r="C163" s="26" t="s">
        <v>607</v>
      </c>
      <c r="D163" s="26" t="s">
        <v>831</v>
      </c>
      <c r="E163" s="26" t="s">
        <v>1511</v>
      </c>
      <c r="F163" s="26" t="s">
        <v>671</v>
      </c>
      <c r="G163" s="26"/>
      <c r="H163" s="27"/>
    </row>
    <row r="164">
      <c r="A164" s="10" t="s">
        <v>199</v>
      </c>
      <c r="B164" s="22">
        <v>74.0</v>
      </c>
      <c r="C164" s="22">
        <v>75.0</v>
      </c>
      <c r="D164" s="22">
        <v>73.0</v>
      </c>
      <c r="E164" s="22">
        <v>74.0</v>
      </c>
      <c r="F164" s="22">
        <v>74.0</v>
      </c>
      <c r="G164" s="22"/>
      <c r="H164" s="27"/>
    </row>
    <row r="165">
      <c r="A165" s="10" t="s">
        <v>201</v>
      </c>
      <c r="B165" s="29" t="s">
        <v>1334</v>
      </c>
      <c r="C165" s="29" t="s">
        <v>408</v>
      </c>
      <c r="D165" s="29" t="s">
        <v>1635</v>
      </c>
      <c r="E165" s="29" t="s">
        <v>2691</v>
      </c>
      <c r="F165" s="29" t="s">
        <v>2692</v>
      </c>
      <c r="G165" s="29"/>
      <c r="H165" s="27"/>
    </row>
    <row r="166">
      <c r="A166" s="10" t="s">
        <v>209</v>
      </c>
      <c r="B166" s="22" t="s">
        <v>2569</v>
      </c>
      <c r="C166" s="22" t="s">
        <v>1152</v>
      </c>
      <c r="D166" s="22" t="s">
        <v>2593</v>
      </c>
      <c r="E166" s="22" t="s">
        <v>2391</v>
      </c>
      <c r="F166" s="22" t="s">
        <v>1763</v>
      </c>
      <c r="G166" s="22"/>
      <c r="H166" s="27"/>
    </row>
    <row r="167">
      <c r="A167" s="10" t="s">
        <v>215</v>
      </c>
      <c r="B167" s="29" t="s">
        <v>220</v>
      </c>
      <c r="C167" s="29" t="s">
        <v>231</v>
      </c>
      <c r="D167" s="29" t="s">
        <v>220</v>
      </c>
      <c r="E167" s="29" t="s">
        <v>1343</v>
      </c>
      <c r="F167" s="29" t="s">
        <v>685</v>
      </c>
      <c r="G167" s="29"/>
      <c r="H167" s="27"/>
    </row>
    <row r="168">
      <c r="A168" s="15" t="s">
        <v>224</v>
      </c>
      <c r="B168" s="22" t="s">
        <v>925</v>
      </c>
      <c r="C168" s="22" t="s">
        <v>587</v>
      </c>
      <c r="D168" s="22" t="s">
        <v>914</v>
      </c>
      <c r="E168" s="22" t="s">
        <v>946</v>
      </c>
      <c r="F168" s="22" t="s">
        <v>572</v>
      </c>
      <c r="G168" s="22"/>
      <c r="H168" s="27"/>
    </row>
    <row r="169">
      <c r="A169" s="30"/>
      <c r="B169" s="22" t="s">
        <v>2651</v>
      </c>
      <c r="C169" s="22" t="s">
        <v>2220</v>
      </c>
      <c r="D169" s="22" t="s">
        <v>477</v>
      </c>
      <c r="E169" s="22" t="s">
        <v>2578</v>
      </c>
      <c r="F169" s="22" t="s">
        <v>1069</v>
      </c>
      <c r="G169" s="22"/>
      <c r="H169" s="27"/>
    </row>
    <row r="170">
      <c r="A170" s="30"/>
      <c r="B170" s="22" t="s">
        <v>1352</v>
      </c>
      <c r="C170" s="22" t="s">
        <v>570</v>
      </c>
      <c r="D170" s="22" t="s">
        <v>432</v>
      </c>
      <c r="E170" s="22" t="s">
        <v>2040</v>
      </c>
      <c r="F170" s="22" t="s">
        <v>463</v>
      </c>
      <c r="G170" s="22"/>
      <c r="H170" s="27"/>
    </row>
    <row r="171">
      <c r="A171" s="25"/>
      <c r="B171" s="22" t="s">
        <v>953</v>
      </c>
      <c r="C171" s="22" t="s">
        <v>1366</v>
      </c>
      <c r="D171" s="22" t="s">
        <v>1460</v>
      </c>
      <c r="E171" s="22" t="s">
        <v>1562</v>
      </c>
      <c r="F171" s="22" t="s">
        <v>1955</v>
      </c>
      <c r="G171" s="22"/>
      <c r="H171" s="31"/>
      <c r="I171" s="32"/>
    </row>
    <row r="172">
      <c r="A172" s="10" t="s">
        <v>5</v>
      </c>
      <c r="B172" s="11" t="s">
        <v>2694</v>
      </c>
      <c r="C172" s="9"/>
      <c r="D172" s="9"/>
      <c r="E172" s="9"/>
      <c r="F172" s="9"/>
      <c r="G172" s="9"/>
      <c r="H172" s="9"/>
      <c r="I172" s="14"/>
    </row>
    <row r="173" ht="60.0" customHeight="1">
      <c r="A173" s="15" t="s">
        <v>16</v>
      </c>
      <c r="B173" s="22" t="str">
        <f t="array" ref="B173">iferror(VLOOKUP(INDIRECT(ADDRESS(ROW()+1,COLUMN(), 4)),Dex!$A$2:$C493,3,false),"")</f>
        <v/>
      </c>
      <c r="C173" s="22" t="str">
        <f t="array" ref="C173">iferror(VLOOKUP(INDIRECT(ADDRESS(ROW()+1,COLUMN(), 4)),Dex!$A$2:$C493,3,false),"")</f>
        <v/>
      </c>
      <c r="D173" s="22" t="str">
        <f t="array" ref="D173">iferror(VLOOKUP(INDIRECT(ADDRESS(ROW()+1,COLUMN(), 4)),Dex!$A$2:$C493,3,false),"")</f>
        <v/>
      </c>
      <c r="E173" s="22" t="str">
        <f t="array" ref="E173">iferror(VLOOKUP(INDIRECT(ADDRESS(ROW()+1,COLUMN(), 4)),Dex!$A$2:$C493,3,false),"")</f>
        <v/>
      </c>
      <c r="F173" s="22" t="str">
        <f t="array" ref="F173">iferror(VLOOKUP(INDIRECT(ADDRESS(ROW()+1,COLUMN(), 4)),Dex!$A$2:$C493,3,false),"")</f>
        <v/>
      </c>
      <c r="G173" s="22" t="str">
        <f t="array" ref="G173">iferror(VLOOKUP(INDIRECT(ADDRESS(ROW()+1,COLUMN(), 4)),Dex!$A$2:$C493,3,false),"")</f>
        <v/>
      </c>
      <c r="H173" s="23" t="str">
        <f t="array" ref="H173">iferror(VLOOKUP("TRAINER_PIC_Pokemon_Ranger_F",Sprites!$A$1:$B493,2,false),"")</f>
        <v/>
      </c>
      <c r="I173" s="24"/>
    </row>
    <row r="174">
      <c r="A174" s="25"/>
      <c r="B174" s="26" t="s">
        <v>774</v>
      </c>
      <c r="C174" s="26" t="s">
        <v>270</v>
      </c>
      <c r="D174" s="26" t="s">
        <v>438</v>
      </c>
      <c r="E174" s="26" t="s">
        <v>1500</v>
      </c>
      <c r="F174" s="26" t="s">
        <v>1167</v>
      </c>
      <c r="G174" s="26"/>
      <c r="H174" s="27"/>
    </row>
    <row r="175">
      <c r="A175" s="10" t="s">
        <v>199</v>
      </c>
      <c r="B175" s="22">
        <v>73.0</v>
      </c>
      <c r="C175" s="22">
        <v>74.0</v>
      </c>
      <c r="D175" s="22">
        <v>74.0</v>
      </c>
      <c r="E175" s="22">
        <v>75.0</v>
      </c>
      <c r="F175" s="22">
        <v>74.0</v>
      </c>
      <c r="G175" s="22"/>
      <c r="H175" s="27"/>
    </row>
    <row r="176">
      <c r="A176" s="10" t="s">
        <v>201</v>
      </c>
      <c r="B176" s="29" t="s">
        <v>546</v>
      </c>
      <c r="C176" s="29" t="s">
        <v>345</v>
      </c>
      <c r="D176" s="29" t="s">
        <v>645</v>
      </c>
      <c r="E176" s="29" t="s">
        <v>2692</v>
      </c>
      <c r="F176" s="29" t="s">
        <v>677</v>
      </c>
      <c r="G176" s="29"/>
      <c r="H176" s="27"/>
    </row>
    <row r="177">
      <c r="A177" s="10" t="s">
        <v>209</v>
      </c>
      <c r="B177" s="22" t="s">
        <v>2423</v>
      </c>
      <c r="C177" s="22" t="s">
        <v>1152</v>
      </c>
      <c r="D177" s="22" t="s">
        <v>1284</v>
      </c>
      <c r="E177" s="22" t="s">
        <v>1763</v>
      </c>
      <c r="F177" s="22" t="s">
        <v>553</v>
      </c>
      <c r="G177" s="22"/>
      <c r="H177" s="27"/>
    </row>
    <row r="178">
      <c r="A178" s="10" t="s">
        <v>215</v>
      </c>
      <c r="B178" s="29" t="s">
        <v>218</v>
      </c>
      <c r="C178" s="29" t="s">
        <v>231</v>
      </c>
      <c r="D178" s="29" t="s">
        <v>419</v>
      </c>
      <c r="E178" s="29" t="s">
        <v>220</v>
      </c>
      <c r="F178" s="29" t="s">
        <v>231</v>
      </c>
      <c r="G178" s="29"/>
      <c r="H178" s="27"/>
    </row>
    <row r="179">
      <c r="A179" s="15" t="s">
        <v>224</v>
      </c>
      <c r="B179" s="22" t="s">
        <v>2703</v>
      </c>
      <c r="C179" s="22" t="s">
        <v>587</v>
      </c>
      <c r="D179" s="22" t="s">
        <v>793</v>
      </c>
      <c r="E179" s="22" t="s">
        <v>227</v>
      </c>
      <c r="F179" s="22" t="s">
        <v>1791</v>
      </c>
      <c r="G179" s="22"/>
      <c r="H179" s="27"/>
    </row>
    <row r="180">
      <c r="A180" s="30"/>
      <c r="B180" s="22" t="s">
        <v>814</v>
      </c>
      <c r="C180" s="22" t="s">
        <v>1352</v>
      </c>
      <c r="D180" s="22" t="s">
        <v>1291</v>
      </c>
      <c r="E180" s="22" t="s">
        <v>799</v>
      </c>
      <c r="F180" s="22" t="s">
        <v>927</v>
      </c>
      <c r="G180" s="22"/>
      <c r="H180" s="27"/>
    </row>
    <row r="181">
      <c r="A181" s="30"/>
      <c r="B181" s="22" t="s">
        <v>234</v>
      </c>
      <c r="C181" s="22" t="s">
        <v>476</v>
      </c>
      <c r="D181" s="22" t="s">
        <v>467</v>
      </c>
      <c r="E181" s="22" t="s">
        <v>463</v>
      </c>
      <c r="F181" s="22" t="s">
        <v>2214</v>
      </c>
      <c r="G181" s="22"/>
      <c r="H181" s="27"/>
    </row>
    <row r="182">
      <c r="A182" s="25"/>
      <c r="B182" s="22" t="s">
        <v>2704</v>
      </c>
      <c r="C182" s="22" t="s">
        <v>1169</v>
      </c>
      <c r="D182" s="22" t="s">
        <v>1169</v>
      </c>
      <c r="E182" s="22" t="s">
        <v>464</v>
      </c>
      <c r="F182" s="22" t="s">
        <v>477</v>
      </c>
      <c r="G182" s="22"/>
      <c r="H182" s="31"/>
      <c r="I182" s="32"/>
    </row>
    <row r="183">
      <c r="A183" s="10" t="s">
        <v>5</v>
      </c>
      <c r="B183" s="11" t="s">
        <v>2706</v>
      </c>
      <c r="C183" s="9"/>
      <c r="D183" s="9"/>
      <c r="E183" s="9"/>
      <c r="F183" s="9"/>
      <c r="G183" s="9"/>
      <c r="H183" s="9"/>
      <c r="I183" s="14"/>
    </row>
    <row r="184" ht="60.0" customHeight="1">
      <c r="A184" s="15" t="s">
        <v>16</v>
      </c>
      <c r="B184" s="22" t="str">
        <f t="array" ref="B184">iferror(VLOOKUP(INDIRECT(ADDRESS(ROW()+1,COLUMN(), 4)),Dex!$A$2:$C493,3,false),"")</f>
        <v/>
      </c>
      <c r="C184" s="22" t="str">
        <f t="array" ref="C184">iferror(VLOOKUP(INDIRECT(ADDRESS(ROW()+1,COLUMN(), 4)),Dex!$A$2:$C493,3,false),"")</f>
        <v/>
      </c>
      <c r="D184" s="22" t="str">
        <f t="array" ref="D184">iferror(VLOOKUP(INDIRECT(ADDRESS(ROW()+1,COLUMN(), 4)),Dex!$A$2:$C493,3,false),"")</f>
        <v/>
      </c>
      <c r="E184" s="22" t="str">
        <f t="array" ref="E184">iferror(VLOOKUP(INDIRECT(ADDRESS(ROW()+1,COLUMN(), 4)),Dex!$A$2:$C493,3,false),"")</f>
        <v/>
      </c>
      <c r="F184" s="22" t="str">
        <f t="array" ref="F184">iferror(VLOOKUP(INDIRECT(ADDRESS(ROW()+1,COLUMN(), 4)),Dex!$A$2:$C493,3,false),"")</f>
        <v/>
      </c>
      <c r="G184" s="22" t="str">
        <f t="array" ref="G184">iferror(VLOOKUP(INDIRECT(ADDRESS(ROW()+1,COLUMN(), 4)),Dex!$A$2:$C493,3,false),"")</f>
        <v/>
      </c>
      <c r="H184" s="23" t="str">
        <f t="array" ref="H184">iferror(VLOOKUP("TRAINER_PIC_Pokemon_Ranger_M",Sprites!$A$1:$B493,2,false),"")</f>
        <v/>
      </c>
      <c r="I184" s="24"/>
    </row>
    <row r="185">
      <c r="A185" s="25"/>
      <c r="B185" s="26" t="s">
        <v>1098</v>
      </c>
      <c r="C185" s="26" t="s">
        <v>2046</v>
      </c>
      <c r="D185" s="26" t="s">
        <v>728</v>
      </c>
      <c r="E185" s="26" t="s">
        <v>285</v>
      </c>
      <c r="F185" s="26" t="s">
        <v>1398</v>
      </c>
      <c r="G185" s="26" t="s">
        <v>1142</v>
      </c>
      <c r="H185" s="27"/>
    </row>
    <row r="186">
      <c r="A186" s="10" t="s">
        <v>199</v>
      </c>
      <c r="B186" s="22">
        <v>74.0</v>
      </c>
      <c r="C186" s="22">
        <v>73.0</v>
      </c>
      <c r="D186" s="22">
        <v>75.0</v>
      </c>
      <c r="E186" s="22">
        <v>73.0</v>
      </c>
      <c r="F186" s="22">
        <v>74.0</v>
      </c>
      <c r="G186" s="22">
        <v>74.0</v>
      </c>
      <c r="H186" s="27"/>
    </row>
    <row r="187">
      <c r="A187" s="10" t="s">
        <v>201</v>
      </c>
      <c r="B187" s="29" t="s">
        <v>1213</v>
      </c>
      <c r="C187" s="29" t="s">
        <v>2591</v>
      </c>
      <c r="D187" s="29" t="s">
        <v>536</v>
      </c>
      <c r="E187" s="29" t="s">
        <v>2099</v>
      </c>
      <c r="F187" s="29" t="s">
        <v>2591</v>
      </c>
      <c r="G187" s="29" t="s">
        <v>408</v>
      </c>
      <c r="H187" s="27"/>
    </row>
    <row r="188">
      <c r="A188" s="10" t="s">
        <v>209</v>
      </c>
      <c r="B188" s="22" t="s">
        <v>413</v>
      </c>
      <c r="C188" s="22" t="s">
        <v>2723</v>
      </c>
      <c r="D188" s="22" t="s">
        <v>541</v>
      </c>
      <c r="E188" s="22" t="s">
        <v>2724</v>
      </c>
      <c r="F188" s="22" t="s">
        <v>1060</v>
      </c>
      <c r="G188" s="22" t="s">
        <v>2473</v>
      </c>
      <c r="H188" s="27"/>
    </row>
    <row r="189">
      <c r="A189" s="10" t="s">
        <v>215</v>
      </c>
      <c r="B189" s="29" t="s">
        <v>419</v>
      </c>
      <c r="C189" s="29" t="s">
        <v>417</v>
      </c>
      <c r="D189" s="29" t="s">
        <v>231</v>
      </c>
      <c r="E189" s="29" t="s">
        <v>419</v>
      </c>
      <c r="F189" s="29" t="s">
        <v>419</v>
      </c>
      <c r="G189" s="29" t="s">
        <v>231</v>
      </c>
      <c r="H189" s="27"/>
    </row>
    <row r="190">
      <c r="A190" s="15" t="s">
        <v>224</v>
      </c>
      <c r="B190" s="22" t="s">
        <v>694</v>
      </c>
      <c r="C190" s="22" t="s">
        <v>2725</v>
      </c>
      <c r="D190" s="22" t="s">
        <v>1772</v>
      </c>
      <c r="E190" s="22" t="s">
        <v>940</v>
      </c>
      <c r="F190" s="22" t="s">
        <v>360</v>
      </c>
      <c r="G190" s="22" t="s">
        <v>2599</v>
      </c>
      <c r="H190" s="27"/>
    </row>
    <row r="191">
      <c r="A191" s="30"/>
      <c r="B191" s="22" t="s">
        <v>577</v>
      </c>
      <c r="C191" s="22" t="s">
        <v>367</v>
      </c>
      <c r="D191" s="22" t="s">
        <v>372</v>
      </c>
      <c r="E191" s="22" t="s">
        <v>465</v>
      </c>
      <c r="F191" s="22" t="s">
        <v>926</v>
      </c>
      <c r="G191" s="22" t="s">
        <v>477</v>
      </c>
      <c r="H191" s="27"/>
    </row>
    <row r="192">
      <c r="A192" s="30"/>
      <c r="B192" s="22" t="s">
        <v>1891</v>
      </c>
      <c r="C192" s="22" t="s">
        <v>363</v>
      </c>
      <c r="D192" s="22" t="s">
        <v>242</v>
      </c>
      <c r="E192" s="22" t="s">
        <v>467</v>
      </c>
      <c r="F192" s="22" t="s">
        <v>371</v>
      </c>
      <c r="G192" s="22" t="s">
        <v>2111</v>
      </c>
      <c r="H192" s="27"/>
    </row>
    <row r="193">
      <c r="A193" s="25"/>
      <c r="B193" s="22" t="s">
        <v>1560</v>
      </c>
      <c r="C193" s="22" t="s">
        <v>1350</v>
      </c>
      <c r="D193" s="22" t="s">
        <v>1769</v>
      </c>
      <c r="E193" s="22" t="s">
        <v>362</v>
      </c>
      <c r="F193" s="22" t="s">
        <v>362</v>
      </c>
      <c r="G193" s="22" t="s">
        <v>951</v>
      </c>
      <c r="H193" s="31"/>
      <c r="I193" s="32"/>
    </row>
    <row r="194">
      <c r="A194" s="10" t="s">
        <v>5</v>
      </c>
      <c r="B194" s="11" t="s">
        <v>2726</v>
      </c>
      <c r="C194" s="9"/>
      <c r="D194" s="9"/>
      <c r="E194" s="9"/>
      <c r="F194" s="9"/>
      <c r="G194" s="9"/>
      <c r="H194" s="9"/>
      <c r="I194" s="14"/>
    </row>
    <row r="195" ht="60.0" customHeight="1">
      <c r="A195" s="15" t="s">
        <v>16</v>
      </c>
      <c r="B195" s="22" t="str">
        <f t="array" ref="B195">iferror(VLOOKUP(INDIRECT(ADDRESS(ROW()+1,COLUMN(), 4)),Dex!$A$2:$C493,3,false),"")</f>
        <v/>
      </c>
      <c r="C195" s="22" t="str">
        <f t="array" ref="C195">iferror(VLOOKUP(INDIRECT(ADDRESS(ROW()+1,COLUMN(), 4)),Dex!$A$2:$C493,3,false),"")</f>
        <v/>
      </c>
      <c r="D195" s="22" t="str">
        <f t="array" ref="D195">iferror(VLOOKUP(INDIRECT(ADDRESS(ROW()+1,COLUMN(), 4)),Dex!$A$2:$C493,3,false),"")</f>
        <v/>
      </c>
      <c r="E195" s="22" t="str">
        <f t="array" ref="E195">iferror(VLOOKUP(INDIRECT(ADDRESS(ROW()+1,COLUMN(), 4)),Dex!$A$2:$C493,3,false),"")</f>
        <v/>
      </c>
      <c r="F195" s="22" t="str">
        <f t="array" ref="F195">iferror(VLOOKUP(INDIRECT(ADDRESS(ROW()+1,COLUMN(), 4)),Dex!$A$2:$C493,3,false),"")</f>
        <v/>
      </c>
      <c r="G195" s="22" t="str">
        <f t="array" ref="G195">iferror(VLOOKUP(INDIRECT(ADDRESS(ROW()+1,COLUMN(), 4)),Dex!$A$2:$C493,3,false),"")</f>
        <v/>
      </c>
      <c r="H195" s="23" t="str">
        <f t="array" ref="H195">iferror(VLOOKUP("TRAINER_PIC_Bird_Keeper",Sprites!$A$1:$B493,2,false),"")</f>
        <v/>
      </c>
      <c r="I195" s="24"/>
    </row>
    <row r="196">
      <c r="A196" s="25"/>
      <c r="B196" s="26" t="s">
        <v>2063</v>
      </c>
      <c r="C196" s="26" t="s">
        <v>2263</v>
      </c>
      <c r="D196" s="26" t="s">
        <v>2738</v>
      </c>
      <c r="E196" s="26" t="s">
        <v>713</v>
      </c>
      <c r="F196" s="26" t="s">
        <v>1316</v>
      </c>
      <c r="G196" s="26"/>
      <c r="H196" s="27"/>
    </row>
    <row r="197">
      <c r="A197" s="10" t="s">
        <v>199</v>
      </c>
      <c r="B197" s="22">
        <v>74.0</v>
      </c>
      <c r="C197" s="22">
        <v>74.0</v>
      </c>
      <c r="D197" s="22">
        <v>74.0</v>
      </c>
      <c r="E197" s="22">
        <v>74.0</v>
      </c>
      <c r="F197" s="22">
        <v>75.0</v>
      </c>
      <c r="G197" s="22"/>
      <c r="H197" s="27"/>
    </row>
    <row r="198">
      <c r="A198" s="10" t="s">
        <v>201</v>
      </c>
      <c r="B198" s="29" t="s">
        <v>408</v>
      </c>
      <c r="C198" s="29" t="s">
        <v>2033</v>
      </c>
      <c r="D198" s="29" t="s">
        <v>645</v>
      </c>
      <c r="E198" s="29" t="s">
        <v>206</v>
      </c>
      <c r="F198" s="29" t="s">
        <v>455</v>
      </c>
      <c r="G198" s="29"/>
      <c r="H198" s="27"/>
    </row>
    <row r="199">
      <c r="A199" s="10" t="s">
        <v>209</v>
      </c>
      <c r="B199" s="22" t="s">
        <v>2385</v>
      </c>
      <c r="C199" s="22" t="s">
        <v>2739</v>
      </c>
      <c r="D199" s="22" t="s">
        <v>2740</v>
      </c>
      <c r="E199" s="22" t="s">
        <v>1152</v>
      </c>
      <c r="F199" s="22" t="s">
        <v>901</v>
      </c>
      <c r="G199" s="22"/>
      <c r="H199" s="27"/>
    </row>
    <row r="200">
      <c r="A200" s="10" t="s">
        <v>215</v>
      </c>
      <c r="B200" s="29" t="s">
        <v>419</v>
      </c>
      <c r="C200" s="29" t="s">
        <v>222</v>
      </c>
      <c r="D200" s="29" t="s">
        <v>906</v>
      </c>
      <c r="E200" s="29" t="s">
        <v>222</v>
      </c>
      <c r="F200" s="29" t="s">
        <v>419</v>
      </c>
      <c r="G200" s="29"/>
      <c r="H200" s="27"/>
    </row>
    <row r="201">
      <c r="A201" s="15" t="s">
        <v>224</v>
      </c>
      <c r="B201" s="22" t="s">
        <v>938</v>
      </c>
      <c r="C201" s="22" t="s">
        <v>2741</v>
      </c>
      <c r="D201" s="22" t="s">
        <v>577</v>
      </c>
      <c r="E201" s="22" t="s">
        <v>241</v>
      </c>
      <c r="F201" s="22" t="s">
        <v>2703</v>
      </c>
      <c r="G201" s="22"/>
      <c r="H201" s="27"/>
    </row>
    <row r="202">
      <c r="A202" s="30"/>
      <c r="B202" s="22" t="s">
        <v>1891</v>
      </c>
      <c r="C202" s="22" t="s">
        <v>815</v>
      </c>
      <c r="D202" s="22" t="s">
        <v>428</v>
      </c>
      <c r="E202" s="22" t="s">
        <v>814</v>
      </c>
      <c r="F202" s="22" t="s">
        <v>815</v>
      </c>
      <c r="G202" s="22"/>
      <c r="H202" s="27"/>
    </row>
    <row r="203">
      <c r="A203" s="30"/>
      <c r="B203" s="22" t="s">
        <v>2115</v>
      </c>
      <c r="C203" s="22" t="s">
        <v>2318</v>
      </c>
      <c r="D203" s="22" t="s">
        <v>2742</v>
      </c>
      <c r="E203" s="22" t="s">
        <v>577</v>
      </c>
      <c r="F203" s="22" t="s">
        <v>926</v>
      </c>
      <c r="G203" s="22"/>
      <c r="H203" s="27"/>
    </row>
    <row r="204">
      <c r="A204" s="25"/>
      <c r="B204" s="22" t="s">
        <v>1955</v>
      </c>
      <c r="C204" s="22" t="s">
        <v>362</v>
      </c>
      <c r="D204" s="22" t="s">
        <v>1031</v>
      </c>
      <c r="E204" s="22" t="s">
        <v>1043</v>
      </c>
      <c r="F204" s="22" t="s">
        <v>2318</v>
      </c>
      <c r="G204" s="22"/>
      <c r="H204" s="31"/>
      <c r="I204" s="32"/>
    </row>
    <row r="205">
      <c r="A205" s="10" t="s">
        <v>5</v>
      </c>
      <c r="B205" s="11" t="s">
        <v>2743</v>
      </c>
      <c r="C205" s="9"/>
      <c r="D205" s="9"/>
      <c r="E205" s="9"/>
      <c r="F205" s="9"/>
      <c r="G205" s="9"/>
      <c r="H205" s="9"/>
      <c r="I205" s="14"/>
    </row>
    <row r="206" ht="60.0" customHeight="1">
      <c r="A206" s="15" t="s">
        <v>16</v>
      </c>
      <c r="B206" s="22" t="str">
        <f t="array" ref="B206">iferror(VLOOKUP(INDIRECT(ADDRESS(ROW()+1,COLUMN(), 4)),Dex!$A$2:$C493,3,false),"")</f>
        <v/>
      </c>
      <c r="C206" s="22" t="str">
        <f t="array" ref="C206">iferror(VLOOKUP(INDIRECT(ADDRESS(ROW()+1,COLUMN(), 4)),Dex!$A$2:$C493,3,false),"")</f>
        <v/>
      </c>
      <c r="D206" s="22" t="str">
        <f t="array" ref="D206">iferror(VLOOKUP(INDIRECT(ADDRESS(ROW()+1,COLUMN(), 4)),Dex!$A$2:$C493,3,false),"")</f>
        <v/>
      </c>
      <c r="E206" s="22" t="str">
        <f t="array" ref="E206">iferror(VLOOKUP(INDIRECT(ADDRESS(ROW()+1,COLUMN(), 4)),Dex!$A$2:$C493,3,false),"")</f>
        <v/>
      </c>
      <c r="F206" s="22" t="str">
        <f t="array" ref="F206">iferror(VLOOKUP(INDIRECT(ADDRESS(ROW()+1,COLUMN(), 4)),Dex!$A$2:$C493,3,false),"")</f>
        <v/>
      </c>
      <c r="G206" s="22" t="str">
        <f t="array" ref="G206">iferror(VLOOKUP(INDIRECT(ADDRESS(ROW()+1,COLUMN(), 4)),Dex!$A$2:$C493,3,false),"")</f>
        <v/>
      </c>
      <c r="H206" s="23" t="str">
        <f t="array" ref="H206">iferror(VLOOKUP("TRAINER_PIC_Pokemaniac",Sprites!$A$1:$B493,2,false),"")</f>
        <v/>
      </c>
      <c r="I206" s="24"/>
    </row>
    <row r="207">
      <c r="A207" s="25"/>
      <c r="B207" s="26" t="s">
        <v>1082</v>
      </c>
      <c r="C207" s="26" t="s">
        <v>333</v>
      </c>
      <c r="D207" s="26" t="s">
        <v>746</v>
      </c>
      <c r="E207" s="26" t="s">
        <v>1375</v>
      </c>
      <c r="F207" s="26" t="s">
        <v>2274</v>
      </c>
      <c r="G207" s="26"/>
      <c r="H207" s="27"/>
    </row>
    <row r="208">
      <c r="A208" s="10" t="s">
        <v>199</v>
      </c>
      <c r="B208" s="22">
        <v>75.0</v>
      </c>
      <c r="C208" s="22">
        <v>75.0</v>
      </c>
      <c r="D208" s="22">
        <v>76.0</v>
      </c>
      <c r="E208" s="22">
        <v>76.0</v>
      </c>
      <c r="F208" s="22">
        <v>75.0</v>
      </c>
      <c r="G208" s="22"/>
      <c r="H208" s="27"/>
    </row>
    <row r="209">
      <c r="A209" s="10" t="s">
        <v>201</v>
      </c>
      <c r="B209" s="29" t="s">
        <v>206</v>
      </c>
      <c r="C209" s="29" t="s">
        <v>776</v>
      </c>
      <c r="D209" s="29" t="s">
        <v>645</v>
      </c>
      <c r="E209" s="29" t="s">
        <v>1242</v>
      </c>
      <c r="F209" s="29" t="s">
        <v>2750</v>
      </c>
      <c r="G209" s="29"/>
      <c r="H209" s="27"/>
    </row>
    <row r="210">
      <c r="A210" s="10" t="s">
        <v>209</v>
      </c>
      <c r="B210" s="22" t="s">
        <v>2037</v>
      </c>
      <c r="C210" s="22" t="s">
        <v>648</v>
      </c>
      <c r="D210" s="22" t="s">
        <v>219</v>
      </c>
      <c r="E210" s="22" t="s">
        <v>1152</v>
      </c>
      <c r="F210" s="22" t="s">
        <v>911</v>
      </c>
      <c r="G210" s="22"/>
      <c r="H210" s="27"/>
    </row>
    <row r="211">
      <c r="A211" s="10" t="s">
        <v>215</v>
      </c>
      <c r="B211" s="29" t="s">
        <v>231</v>
      </c>
      <c r="C211" s="29" t="s">
        <v>218</v>
      </c>
      <c r="D211" s="29" t="s">
        <v>904</v>
      </c>
      <c r="E211" s="29" t="s">
        <v>220</v>
      </c>
      <c r="F211" s="29" t="s">
        <v>231</v>
      </c>
      <c r="G211" s="29"/>
      <c r="H211" s="27"/>
    </row>
    <row r="212">
      <c r="A212" s="15" t="s">
        <v>224</v>
      </c>
      <c r="B212" s="22" t="s">
        <v>1791</v>
      </c>
      <c r="C212" s="22" t="s">
        <v>1891</v>
      </c>
      <c r="D212" s="22" t="s">
        <v>2171</v>
      </c>
      <c r="E212" s="22" t="s">
        <v>2640</v>
      </c>
      <c r="F212" s="22" t="s">
        <v>2751</v>
      </c>
      <c r="G212" s="22"/>
      <c r="H212" s="27"/>
    </row>
    <row r="213">
      <c r="A213" s="30"/>
      <c r="B213" s="22" t="s">
        <v>2042</v>
      </c>
      <c r="C213" s="22" t="s">
        <v>2752</v>
      </c>
      <c r="D213" s="22" t="s">
        <v>1169</v>
      </c>
      <c r="E213" s="22" t="s">
        <v>254</v>
      </c>
      <c r="F213" s="22" t="s">
        <v>951</v>
      </c>
      <c r="G213" s="22"/>
      <c r="H213" s="27"/>
    </row>
    <row r="214">
      <c r="A214" s="30"/>
      <c r="B214" s="22" t="s">
        <v>477</v>
      </c>
      <c r="C214" s="22" t="s">
        <v>588</v>
      </c>
      <c r="D214" s="22" t="s">
        <v>366</v>
      </c>
      <c r="E214" s="22" t="s">
        <v>587</v>
      </c>
      <c r="F214" s="22" t="s">
        <v>372</v>
      </c>
      <c r="G214" s="22"/>
      <c r="H214" s="27"/>
    </row>
    <row r="215">
      <c r="A215" s="25"/>
      <c r="B215" s="22" t="s">
        <v>2328</v>
      </c>
      <c r="C215" s="22" t="s">
        <v>1366</v>
      </c>
      <c r="D215" s="22" t="s">
        <v>799</v>
      </c>
      <c r="E215" s="22" t="s">
        <v>549</v>
      </c>
      <c r="F215" s="22" t="s">
        <v>549</v>
      </c>
      <c r="G215" s="22"/>
      <c r="H215" s="31"/>
      <c r="I215" s="32"/>
    </row>
    <row r="216">
      <c r="A216" s="10" t="s">
        <v>5</v>
      </c>
      <c r="B216" s="11" t="s">
        <v>2753</v>
      </c>
      <c r="C216" s="9"/>
      <c r="D216" s="9"/>
      <c r="E216" s="9"/>
      <c r="F216" s="9"/>
      <c r="G216" s="9"/>
      <c r="H216" s="9"/>
      <c r="I216" s="14"/>
    </row>
    <row r="217" ht="60.0" customHeight="1">
      <c r="A217" s="15" t="s">
        <v>16</v>
      </c>
      <c r="B217" s="22" t="str">
        <f t="array" ref="B217">iferror(VLOOKUP(INDIRECT(ADDRESS(ROW()+1,COLUMN(), 4)),Dex!$A$2:$C493,3,false),"")</f>
        <v/>
      </c>
      <c r="C217" s="22" t="str">
        <f t="array" ref="C217">iferror(VLOOKUP(INDIRECT(ADDRESS(ROW()+1,COLUMN(), 4)),Dex!$A$2:$C493,3,false),"")</f>
        <v/>
      </c>
      <c r="D217" s="22" t="str">
        <f t="array" ref="D217">iferror(VLOOKUP(INDIRECT(ADDRESS(ROW()+1,COLUMN(), 4)),Dex!$A$2:$C493,3,false),"")</f>
        <v/>
      </c>
      <c r="E217" s="22" t="str">
        <f t="array" ref="E217">iferror(VLOOKUP(INDIRECT(ADDRESS(ROW()+1,COLUMN(), 4)),Dex!$A$2:$C493,3,false),"")</f>
        <v/>
      </c>
      <c r="F217" s="22" t="str">
        <f t="array" ref="F217">iferror(VLOOKUP(INDIRECT(ADDRESS(ROW()+1,COLUMN(), 4)),Dex!$A$2:$C493,3,false),"")</f>
        <v/>
      </c>
      <c r="G217" s="22" t="str">
        <f t="array" ref="G217">iferror(VLOOKUP(INDIRECT(ADDRESS(ROW()+1,COLUMN(), 4)),Dex!$A$2:$C493,3,false),"")</f>
        <v/>
      </c>
      <c r="H217" s="23" t="str">
        <f t="array" ref="H217">iferror(VLOOKUP("TRAINER_PIC_Bird_Keeper",Sprites!$A$1:$B493,2,false),"")</f>
        <v/>
      </c>
      <c r="I217" s="24"/>
    </row>
    <row r="218">
      <c r="A218" s="25"/>
      <c r="B218" s="26" t="s">
        <v>1099</v>
      </c>
      <c r="C218" s="26" t="s">
        <v>1271</v>
      </c>
      <c r="D218" s="26" t="s">
        <v>1690</v>
      </c>
      <c r="E218" s="26" t="s">
        <v>1600</v>
      </c>
      <c r="F218" s="26" t="s">
        <v>734</v>
      </c>
      <c r="G218" s="26"/>
      <c r="H218" s="27"/>
    </row>
    <row r="219">
      <c r="A219" s="10" t="s">
        <v>199</v>
      </c>
      <c r="B219" s="22">
        <v>75.0</v>
      </c>
      <c r="C219" s="22">
        <v>75.0</v>
      </c>
      <c r="D219" s="22">
        <v>75.0</v>
      </c>
      <c r="E219" s="22">
        <v>76.0</v>
      </c>
      <c r="F219" s="22">
        <v>77.0</v>
      </c>
      <c r="G219" s="22"/>
      <c r="H219" s="27"/>
    </row>
    <row r="220">
      <c r="A220" s="10" t="s">
        <v>201</v>
      </c>
      <c r="B220" s="29" t="s">
        <v>205</v>
      </c>
      <c r="C220" s="29" t="s">
        <v>2474</v>
      </c>
      <c r="D220" s="29" t="s">
        <v>2756</v>
      </c>
      <c r="E220" s="29" t="s">
        <v>645</v>
      </c>
      <c r="F220" s="29" t="s">
        <v>408</v>
      </c>
      <c r="G220" s="29"/>
      <c r="H220" s="27"/>
    </row>
    <row r="221">
      <c r="A221" s="10" t="s">
        <v>209</v>
      </c>
      <c r="B221" s="22" t="s">
        <v>413</v>
      </c>
      <c r="C221" s="22" t="s">
        <v>348</v>
      </c>
      <c r="D221" s="22" t="s">
        <v>2669</v>
      </c>
      <c r="E221" s="22" t="s">
        <v>553</v>
      </c>
      <c r="F221" s="22" t="s">
        <v>2757</v>
      </c>
      <c r="G221" s="22"/>
      <c r="H221" s="27"/>
    </row>
    <row r="222">
      <c r="A222" s="10" t="s">
        <v>215</v>
      </c>
      <c r="B222" s="29" t="s">
        <v>419</v>
      </c>
      <c r="C222" s="29" t="s">
        <v>419</v>
      </c>
      <c r="D222" s="29" t="s">
        <v>231</v>
      </c>
      <c r="E222" s="29" t="s">
        <v>2600</v>
      </c>
      <c r="F222" s="29" t="s">
        <v>220</v>
      </c>
      <c r="G222" s="29"/>
      <c r="H222" s="27"/>
    </row>
    <row r="223">
      <c r="A223" s="15" t="s">
        <v>224</v>
      </c>
      <c r="B223" s="22" t="s">
        <v>1891</v>
      </c>
      <c r="C223" s="22" t="s">
        <v>2115</v>
      </c>
      <c r="D223" s="22" t="s">
        <v>549</v>
      </c>
      <c r="E223" s="22" t="s">
        <v>577</v>
      </c>
      <c r="F223" s="22" t="s">
        <v>561</v>
      </c>
      <c r="G223" s="22"/>
      <c r="H223" s="27"/>
    </row>
    <row r="224">
      <c r="A224" s="30"/>
      <c r="B224" s="22" t="s">
        <v>2115</v>
      </c>
      <c r="C224" s="22" t="s">
        <v>920</v>
      </c>
      <c r="D224" s="22" t="s">
        <v>2670</v>
      </c>
      <c r="E224" s="22" t="s">
        <v>2484</v>
      </c>
      <c r="F224" s="22" t="s">
        <v>1752</v>
      </c>
      <c r="G224" s="22"/>
      <c r="H224" s="27"/>
    </row>
    <row r="225">
      <c r="A225" s="30"/>
      <c r="B225" s="22" t="s">
        <v>694</v>
      </c>
      <c r="C225" s="22" t="s">
        <v>805</v>
      </c>
      <c r="D225" s="22" t="s">
        <v>587</v>
      </c>
      <c r="E225" s="22" t="s">
        <v>1791</v>
      </c>
      <c r="F225" s="22" t="s">
        <v>549</v>
      </c>
      <c r="G225" s="22"/>
      <c r="H225" s="27"/>
    </row>
    <row r="226">
      <c r="A226" s="25"/>
      <c r="B226" s="22" t="s">
        <v>585</v>
      </c>
      <c r="C226" s="22" t="s">
        <v>1291</v>
      </c>
      <c r="D226" s="22" t="s">
        <v>2673</v>
      </c>
      <c r="E226" s="22" t="s">
        <v>254</v>
      </c>
      <c r="F226" s="22" t="s">
        <v>1999</v>
      </c>
      <c r="G226" s="22"/>
      <c r="H226" s="31"/>
      <c r="I226" s="32"/>
    </row>
    <row r="227">
      <c r="A227" s="10" t="s">
        <v>5</v>
      </c>
      <c r="B227" s="11" t="s">
        <v>2759</v>
      </c>
      <c r="C227" s="9"/>
      <c r="D227" s="9"/>
      <c r="E227" s="9"/>
      <c r="F227" s="9"/>
      <c r="G227" s="9"/>
      <c r="H227" s="9"/>
      <c r="I227" s="14"/>
    </row>
    <row r="228" ht="60.0" customHeight="1">
      <c r="A228" s="15" t="s">
        <v>16</v>
      </c>
      <c r="B228" s="22" t="str">
        <f t="array" ref="B228">iferror(VLOOKUP(INDIRECT(ADDRESS(ROW()+1,COLUMN(), 4)),Dex!$A$2:$C493,3,false),"")</f>
        <v/>
      </c>
      <c r="C228" s="22" t="str">
        <f t="array" ref="C228">iferror(VLOOKUP(INDIRECT(ADDRESS(ROW()+1,COLUMN(), 4)),Dex!$A$2:$C493,3,false),"")</f>
        <v/>
      </c>
      <c r="D228" s="22" t="str">
        <f t="array" ref="D228">iferror(VLOOKUP(INDIRECT(ADDRESS(ROW()+1,COLUMN(), 4)),Dex!$A$2:$C493,3,false),"")</f>
        <v/>
      </c>
      <c r="E228" s="22" t="str">
        <f t="array" ref="E228">iferror(VLOOKUP(INDIRECT(ADDRESS(ROW()+1,COLUMN(), 4)),Dex!$A$2:$C493,3,false),"")</f>
        <v/>
      </c>
      <c r="F228" s="22" t="str">
        <f t="array" ref="F228">iferror(VLOOKUP(INDIRECT(ADDRESS(ROW()+1,COLUMN(), 4)),Dex!$A$2:$C493,3,false),"")</f>
        <v/>
      </c>
      <c r="G228" s="22" t="str">
        <f t="array" ref="G228">iferror(VLOOKUP(INDIRECT(ADDRESS(ROW()+1,COLUMN(), 4)),Dex!$A$2:$C493,3,false),"")</f>
        <v/>
      </c>
      <c r="H228" s="23" t="str">
        <f t="array" ref="H228">iferror(VLOOKUP("TRAINER_PIC_Ninja_Boy",Sprites!$A$1:$B493,2,false),"")</f>
        <v/>
      </c>
      <c r="I228" s="24"/>
    </row>
    <row r="229">
      <c r="A229" s="25"/>
      <c r="B229" s="26" t="s">
        <v>2130</v>
      </c>
      <c r="C229" s="26" t="s">
        <v>597</v>
      </c>
      <c r="D229" s="26" t="s">
        <v>768</v>
      </c>
      <c r="E229" s="26" t="s">
        <v>1077</v>
      </c>
      <c r="F229" s="26" t="s">
        <v>1071</v>
      </c>
      <c r="G229" s="26"/>
      <c r="H229" s="27"/>
    </row>
    <row r="230">
      <c r="A230" s="10" t="s">
        <v>199</v>
      </c>
      <c r="B230" s="22">
        <v>76.0</v>
      </c>
      <c r="C230" s="22">
        <v>75.0</v>
      </c>
      <c r="D230" s="22">
        <v>76.0</v>
      </c>
      <c r="E230" s="22">
        <v>75.0</v>
      </c>
      <c r="F230" s="22">
        <v>75.0</v>
      </c>
      <c r="G230" s="22"/>
      <c r="H230" s="27"/>
    </row>
    <row r="231">
      <c r="A231" s="10" t="s">
        <v>201</v>
      </c>
      <c r="B231" s="29" t="s">
        <v>1242</v>
      </c>
      <c r="C231" s="29" t="s">
        <v>544</v>
      </c>
      <c r="D231" s="29" t="s">
        <v>206</v>
      </c>
      <c r="E231" s="29" t="s">
        <v>1521</v>
      </c>
      <c r="F231" s="29" t="s">
        <v>2761</v>
      </c>
      <c r="G231" s="29"/>
      <c r="H231" s="27"/>
    </row>
    <row r="232">
      <c r="A232" s="10" t="s">
        <v>209</v>
      </c>
      <c r="B232" s="22" t="s">
        <v>2762</v>
      </c>
      <c r="C232" s="22" t="s">
        <v>1642</v>
      </c>
      <c r="D232" s="22" t="s">
        <v>2325</v>
      </c>
      <c r="E232" s="22" t="s">
        <v>912</v>
      </c>
      <c r="F232" s="22" t="s">
        <v>2377</v>
      </c>
      <c r="G232" s="22"/>
      <c r="H232" s="27"/>
    </row>
    <row r="233">
      <c r="A233" s="10" t="s">
        <v>215</v>
      </c>
      <c r="B233" s="29" t="s">
        <v>231</v>
      </c>
      <c r="C233" s="29" t="s">
        <v>906</v>
      </c>
      <c r="D233" s="29" t="s">
        <v>220</v>
      </c>
      <c r="E233" s="29" t="s">
        <v>417</v>
      </c>
      <c r="F233" s="29" t="s">
        <v>231</v>
      </c>
      <c r="G233" s="29"/>
      <c r="H233" s="27"/>
    </row>
    <row r="234">
      <c r="A234" s="15" t="s">
        <v>224</v>
      </c>
      <c r="B234" s="22" t="s">
        <v>946</v>
      </c>
      <c r="C234" s="22" t="s">
        <v>1231</v>
      </c>
      <c r="D234" s="22" t="s">
        <v>587</v>
      </c>
      <c r="E234" s="22" t="s">
        <v>926</v>
      </c>
      <c r="F234" s="22" t="s">
        <v>1549</v>
      </c>
      <c r="G234" s="22"/>
      <c r="H234" s="27"/>
    </row>
    <row r="235">
      <c r="A235" s="30"/>
      <c r="B235" s="22" t="s">
        <v>927</v>
      </c>
      <c r="C235" s="22" t="s">
        <v>1554</v>
      </c>
      <c r="D235" s="22" t="s">
        <v>465</v>
      </c>
      <c r="E235" s="22" t="s">
        <v>477</v>
      </c>
      <c r="F235" s="22" t="s">
        <v>477</v>
      </c>
      <c r="G235" s="22"/>
      <c r="H235" s="27"/>
    </row>
    <row r="236">
      <c r="A236" s="30"/>
      <c r="B236" s="22" t="s">
        <v>2110</v>
      </c>
      <c r="C236" s="22" t="s">
        <v>1541</v>
      </c>
      <c r="D236" s="22" t="s">
        <v>431</v>
      </c>
      <c r="E236" s="22" t="s">
        <v>1664</v>
      </c>
      <c r="F236" s="22" t="s">
        <v>465</v>
      </c>
      <c r="G236" s="22"/>
      <c r="H236" s="27"/>
    </row>
    <row r="237">
      <c r="A237" s="25"/>
      <c r="B237" s="22" t="s">
        <v>1352</v>
      </c>
      <c r="C237" s="22" t="s">
        <v>2562</v>
      </c>
      <c r="D237" s="22" t="s">
        <v>1352</v>
      </c>
      <c r="E237" s="22" t="s">
        <v>582</v>
      </c>
      <c r="F237" s="22" t="s">
        <v>1562</v>
      </c>
      <c r="G237" s="22"/>
      <c r="H237" s="31"/>
      <c r="I237" s="32"/>
    </row>
    <row r="238">
      <c r="A238" s="10" t="s">
        <v>5</v>
      </c>
      <c r="B238" s="11" t="s">
        <v>2763</v>
      </c>
      <c r="C238" s="9"/>
      <c r="D238" s="9"/>
      <c r="E238" s="9"/>
      <c r="F238" s="9"/>
      <c r="G238" s="9"/>
      <c r="H238" s="9"/>
      <c r="I238" s="13"/>
    </row>
    <row r="239" ht="60.0" customHeight="1">
      <c r="A239" s="15" t="s">
        <v>16</v>
      </c>
      <c r="B239" s="22" t="str">
        <f t="array" ref="B239">iferror(VLOOKUP(INDIRECT(ADDRESS(ROW()+1,COLUMN(), 4)),Dex!$A$2:$C493,3,false),"")</f>
        <v/>
      </c>
      <c r="C239" s="22" t="str">
        <f t="array" ref="C239">iferror(VLOOKUP(INDIRECT(ADDRESS(ROW()+1,COLUMN(), 4)),Dex!$A$2:$C493,3,false),"")</f>
        <v/>
      </c>
      <c r="D239" s="22" t="str">
        <f t="array" ref="D239">iferror(VLOOKUP(INDIRECT(ADDRESS(ROW()+1,COLUMN(), 4)),Dex!$A$2:$C493,3,false),"")</f>
        <v/>
      </c>
      <c r="E239" s="22" t="str">
        <f t="array" ref="E239">iferror(VLOOKUP(INDIRECT(ADDRESS(ROW()+1,COLUMN(), 4)),Dex!$A$2:$C493,3,false),"")</f>
        <v/>
      </c>
      <c r="F239" s="22" t="str">
        <f t="array" ref="F239">iferror(VLOOKUP(INDIRECT(ADDRESS(ROW()+1,COLUMN(), 4)),Dex!$A$2:$C493,3,false),"")</f>
        <v/>
      </c>
      <c r="G239" s="22" t="str">
        <f t="array" ref="G239">iferror(VLOOKUP(INDIRECT(ADDRESS(ROW()+1,COLUMN(), 4)),Dex!$A$2:$C493,3,false),"")</f>
        <v/>
      </c>
      <c r="H239" s="23" t="str">
        <f t="array" ref="H239">iferror(VLOOKUP("TRAINER_PIC_Cooltrainer_M",Sprites!$A$1:$B493,2,false),"")</f>
        <v/>
      </c>
      <c r="I239" s="24"/>
    </row>
    <row r="240">
      <c r="A240" s="25"/>
      <c r="B240" s="26" t="s">
        <v>783</v>
      </c>
      <c r="C240" s="26" t="s">
        <v>829</v>
      </c>
      <c r="D240" s="26" t="s">
        <v>1486</v>
      </c>
      <c r="E240" s="26" t="s">
        <v>1058</v>
      </c>
      <c r="F240" s="26" t="s">
        <v>1531</v>
      </c>
      <c r="G240" s="26" t="s">
        <v>1965</v>
      </c>
      <c r="H240" s="27"/>
    </row>
    <row r="241">
      <c r="A241" s="10" t="s">
        <v>199</v>
      </c>
      <c r="B241" s="22">
        <v>74.0</v>
      </c>
      <c r="C241" s="22">
        <v>74.0</v>
      </c>
      <c r="D241" s="22">
        <v>75.0</v>
      </c>
      <c r="E241" s="22">
        <v>75.0</v>
      </c>
      <c r="F241" s="22">
        <v>74.0</v>
      </c>
      <c r="G241" s="22">
        <v>77.0</v>
      </c>
      <c r="H241" s="27"/>
    </row>
    <row r="242">
      <c r="A242" s="10" t="s">
        <v>201</v>
      </c>
      <c r="B242" s="29" t="s">
        <v>1022</v>
      </c>
      <c r="C242" s="29" t="s">
        <v>677</v>
      </c>
      <c r="D242" s="29" t="s">
        <v>2692</v>
      </c>
      <c r="E242" s="29" t="s">
        <v>206</v>
      </c>
      <c r="F242" s="29" t="s">
        <v>346</v>
      </c>
      <c r="G242" s="29" t="s">
        <v>2090</v>
      </c>
      <c r="H242" s="27"/>
    </row>
    <row r="243">
      <c r="A243" s="10" t="s">
        <v>209</v>
      </c>
      <c r="B243" s="22" t="s">
        <v>897</v>
      </c>
      <c r="C243" s="22" t="s">
        <v>789</v>
      </c>
      <c r="D243" s="22" t="s">
        <v>2775</v>
      </c>
      <c r="E243" s="22" t="s">
        <v>1245</v>
      </c>
      <c r="F243" s="22" t="s">
        <v>1643</v>
      </c>
      <c r="G243" s="22" t="s">
        <v>1152</v>
      </c>
      <c r="H243" s="27"/>
    </row>
    <row r="244">
      <c r="A244" s="10" t="s">
        <v>215</v>
      </c>
      <c r="B244" s="29" t="s">
        <v>1343</v>
      </c>
      <c r="C244" s="29" t="s">
        <v>231</v>
      </c>
      <c r="D244" s="29" t="s">
        <v>220</v>
      </c>
      <c r="E244" s="29" t="s">
        <v>231</v>
      </c>
      <c r="F244" s="29" t="s">
        <v>222</v>
      </c>
      <c r="G244" s="29" t="s">
        <v>220</v>
      </c>
      <c r="H244" s="27"/>
    </row>
    <row r="245">
      <c r="A245" s="15" t="s">
        <v>224</v>
      </c>
      <c r="B245" s="22" t="s">
        <v>1955</v>
      </c>
      <c r="C245" s="22" t="s">
        <v>1460</v>
      </c>
      <c r="D245" s="22" t="s">
        <v>2042</v>
      </c>
      <c r="E245" s="22" t="s">
        <v>463</v>
      </c>
      <c r="F245" s="22" t="s">
        <v>1955</v>
      </c>
      <c r="G245" s="22" t="s">
        <v>2215</v>
      </c>
      <c r="H245" s="27"/>
    </row>
    <row r="246">
      <c r="A246" s="30"/>
      <c r="B246" s="22" t="s">
        <v>572</v>
      </c>
      <c r="C246" s="22" t="s">
        <v>587</v>
      </c>
      <c r="D246" s="22" t="s">
        <v>555</v>
      </c>
      <c r="E246" s="22" t="s">
        <v>366</v>
      </c>
      <c r="F246" s="22" t="s">
        <v>572</v>
      </c>
      <c r="G246" s="22" t="s">
        <v>587</v>
      </c>
      <c r="H246" s="27"/>
    </row>
    <row r="247">
      <c r="A247" s="30"/>
      <c r="B247" s="22" t="s">
        <v>1366</v>
      </c>
      <c r="C247" s="22" t="s">
        <v>567</v>
      </c>
      <c r="D247" s="22" t="s">
        <v>567</v>
      </c>
      <c r="E247" s="22" t="s">
        <v>476</v>
      </c>
      <c r="F247" s="22" t="s">
        <v>1873</v>
      </c>
      <c r="G247" s="22" t="s">
        <v>1068</v>
      </c>
      <c r="H247" s="27"/>
    </row>
    <row r="248">
      <c r="A248" s="25"/>
      <c r="B248" s="22" t="s">
        <v>361</v>
      </c>
      <c r="C248" s="22" t="s">
        <v>1666</v>
      </c>
      <c r="D248" s="22" t="s">
        <v>2745</v>
      </c>
      <c r="E248" s="22" t="s">
        <v>465</v>
      </c>
      <c r="F248" s="22" t="s">
        <v>1664</v>
      </c>
      <c r="G248" s="22" t="s">
        <v>1036</v>
      </c>
      <c r="H248" s="31"/>
      <c r="I248" s="32"/>
    </row>
    <row r="249">
      <c r="A249" s="8" t="s">
        <v>2776</v>
      </c>
      <c r="B249" s="9"/>
      <c r="C249" s="9"/>
      <c r="D249" s="9"/>
      <c r="E249" s="9"/>
      <c r="F249" s="9"/>
      <c r="G249" s="9"/>
      <c r="H249" s="9"/>
      <c r="I249" s="34"/>
    </row>
    <row r="250">
      <c r="A250" s="10" t="s">
        <v>5</v>
      </c>
      <c r="B250" s="11" t="s">
        <v>2777</v>
      </c>
      <c r="C250" s="9"/>
      <c r="D250" s="9"/>
      <c r="E250" s="9"/>
      <c r="F250" s="9"/>
      <c r="G250" s="9"/>
      <c r="H250" s="9"/>
      <c r="I250" s="14"/>
    </row>
    <row r="251" ht="60.0" customHeight="1">
      <c r="A251" s="15" t="s">
        <v>16</v>
      </c>
      <c r="B251" s="22" t="str">
        <f t="array" ref="B251">iferror(VLOOKUP(INDIRECT(ADDRESS(ROW()+1,COLUMN(), 4)),Dex!$A$2:$C493,3,false),"")</f>
        <v/>
      </c>
      <c r="C251" s="22" t="str">
        <f t="array" ref="C251">iferror(VLOOKUP(INDIRECT(ADDRESS(ROW()+1,COLUMN(), 4)),Dex!$A$2:$C493,3,false),"")</f>
        <v/>
      </c>
      <c r="D251" s="22" t="str">
        <f t="array" ref="D251">iferror(VLOOKUP(INDIRECT(ADDRESS(ROW()+1,COLUMN(), 4)),Dex!$A$2:$C493,3,false),"")</f>
        <v/>
      </c>
      <c r="E251" s="22" t="str">
        <f t="array" ref="E251">iferror(VLOOKUP(INDIRECT(ADDRESS(ROW()+1,COLUMN(), 4)),Dex!$A$2:$C493,3,false),"")</f>
        <v/>
      </c>
      <c r="F251" s="22" t="str">
        <f t="array" ref="F251">iferror(VLOOKUP(INDIRECT(ADDRESS(ROW()+1,COLUMN(), 4)),Dex!$A$2:$C493,3,false),"")</f>
        <v/>
      </c>
      <c r="G251" s="22" t="str">
        <f t="array" ref="G251">iferror(VLOOKUP(INDIRECT(ADDRESS(ROW()+1,COLUMN(), 4)),Dex!$A$2:$C493,3,false),"")</f>
        <v/>
      </c>
      <c r="H251" s="23" t="str">
        <f t="array" ref="H251">iferror(VLOOKUP("TRAINER_PIC_Aqua_Grunt_F",Sprites!$A$1:$B493,2,false),"")</f>
        <v/>
      </c>
      <c r="I251" s="24"/>
    </row>
    <row r="252">
      <c r="A252" s="25"/>
      <c r="B252" s="26" t="s">
        <v>535</v>
      </c>
      <c r="C252" s="26" t="s">
        <v>1825</v>
      </c>
      <c r="D252" s="26" t="s">
        <v>835</v>
      </c>
      <c r="E252" s="26" t="s">
        <v>1402</v>
      </c>
      <c r="F252" s="26"/>
      <c r="G252" s="26"/>
      <c r="H252" s="27"/>
    </row>
    <row r="253">
      <c r="A253" s="10" t="s">
        <v>199</v>
      </c>
      <c r="B253" s="22">
        <v>75.0</v>
      </c>
      <c r="C253" s="22">
        <v>75.0</v>
      </c>
      <c r="D253" s="22">
        <v>75.0</v>
      </c>
      <c r="E253" s="22">
        <v>76.0</v>
      </c>
      <c r="F253" s="22"/>
      <c r="G253" s="22"/>
      <c r="H253" s="27"/>
    </row>
    <row r="254">
      <c r="A254" s="10" t="s">
        <v>201</v>
      </c>
      <c r="B254" s="29" t="s">
        <v>2351</v>
      </c>
      <c r="C254" s="29" t="s">
        <v>779</v>
      </c>
      <c r="D254" s="29" t="s">
        <v>645</v>
      </c>
      <c r="E254" s="29" t="s">
        <v>1332</v>
      </c>
      <c r="F254" s="29"/>
      <c r="G254" s="29"/>
      <c r="H254" s="27"/>
    </row>
    <row r="255">
      <c r="A255" s="10" t="s">
        <v>209</v>
      </c>
      <c r="B255" s="22" t="s">
        <v>2101</v>
      </c>
      <c r="C255" s="22" t="s">
        <v>1152</v>
      </c>
      <c r="D255" s="22" t="s">
        <v>351</v>
      </c>
      <c r="E255" s="22" t="s">
        <v>785</v>
      </c>
      <c r="F255" s="22"/>
      <c r="G255" s="22"/>
      <c r="H255" s="27"/>
    </row>
    <row r="256">
      <c r="A256" s="10" t="s">
        <v>215</v>
      </c>
      <c r="B256" s="29" t="s">
        <v>419</v>
      </c>
      <c r="C256" s="29" t="s">
        <v>220</v>
      </c>
      <c r="D256" s="29" t="s">
        <v>906</v>
      </c>
      <c r="E256" s="29" t="s">
        <v>419</v>
      </c>
      <c r="F256" s="29"/>
      <c r="G256" s="29"/>
      <c r="H256" s="27"/>
    </row>
    <row r="257">
      <c r="A257" s="15" t="s">
        <v>224</v>
      </c>
      <c r="B257" s="22" t="s">
        <v>1564</v>
      </c>
      <c r="C257" s="22" t="s">
        <v>247</v>
      </c>
      <c r="D257" s="22" t="s">
        <v>926</v>
      </c>
      <c r="E257" s="22" t="s">
        <v>2115</v>
      </c>
      <c r="F257" s="22"/>
      <c r="G257" s="22"/>
      <c r="H257" s="27"/>
    </row>
    <row r="258">
      <c r="A258" s="30"/>
      <c r="B258" s="22" t="s">
        <v>552</v>
      </c>
      <c r="C258" s="22" t="s">
        <v>555</v>
      </c>
      <c r="D258" s="22" t="s">
        <v>1664</v>
      </c>
      <c r="E258" s="22" t="s">
        <v>2788</v>
      </c>
      <c r="F258" s="22"/>
      <c r="G258" s="22"/>
      <c r="H258" s="27"/>
    </row>
    <row r="259">
      <c r="A259" s="30"/>
      <c r="B259" s="22" t="s">
        <v>362</v>
      </c>
      <c r="C259" s="22" t="s">
        <v>2582</v>
      </c>
      <c r="D259" s="22" t="s">
        <v>2789</v>
      </c>
      <c r="E259" s="22" t="s">
        <v>1955</v>
      </c>
      <c r="F259" s="22"/>
      <c r="G259" s="22"/>
      <c r="H259" s="27"/>
    </row>
    <row r="260">
      <c r="A260" s="25"/>
      <c r="B260" s="22" t="s">
        <v>258</v>
      </c>
      <c r="C260" s="22" t="s">
        <v>2345</v>
      </c>
      <c r="D260" s="22" t="s">
        <v>367</v>
      </c>
      <c r="E260" s="22" t="s">
        <v>694</v>
      </c>
      <c r="F260" s="22"/>
      <c r="G260" s="22"/>
      <c r="H260" s="31"/>
      <c r="I260" s="32"/>
    </row>
    <row r="261">
      <c r="A261" s="10" t="s">
        <v>5</v>
      </c>
      <c r="B261" s="11" t="s">
        <v>2791</v>
      </c>
      <c r="C261" s="9"/>
      <c r="D261" s="9"/>
      <c r="E261" s="9"/>
      <c r="F261" s="9"/>
      <c r="G261" s="9"/>
      <c r="H261" s="9"/>
      <c r="I261" s="14"/>
    </row>
    <row r="262" ht="60.0" customHeight="1">
      <c r="A262" s="15" t="s">
        <v>16</v>
      </c>
      <c r="B262" s="22" t="str">
        <f t="array" ref="B262">iferror(VLOOKUP(INDIRECT(ADDRESS(ROW()+1,COLUMN(), 4)),Dex!$A$2:$C493,3,false),"")</f>
        <v/>
      </c>
      <c r="C262" s="22" t="str">
        <f t="array" ref="C262">iferror(VLOOKUP(INDIRECT(ADDRESS(ROW()+1,COLUMN(), 4)),Dex!$A$2:$C493,3,false),"")</f>
        <v/>
      </c>
      <c r="D262" s="22" t="str">
        <f t="array" ref="D262">iferror(VLOOKUP(INDIRECT(ADDRESS(ROW()+1,COLUMN(), 4)),Dex!$A$2:$C493,3,false),"")</f>
        <v/>
      </c>
      <c r="E262" s="22" t="str">
        <f t="array" ref="E262">iferror(VLOOKUP(INDIRECT(ADDRESS(ROW()+1,COLUMN(), 4)),Dex!$A$2:$C493,3,false),"")</f>
        <v/>
      </c>
      <c r="F262" s="22" t="str">
        <f t="array" ref="F262">iferror(VLOOKUP(INDIRECT(ADDRESS(ROW()+1,COLUMN(), 4)),Dex!$A$2:$C493,3,false),"")</f>
        <v/>
      </c>
      <c r="G262" s="22" t="str">
        <f t="array" ref="G262">iferror(VLOOKUP(INDIRECT(ADDRESS(ROW()+1,COLUMN(), 4)),Dex!$A$2:$C493,3,false),"")</f>
        <v/>
      </c>
      <c r="H262" s="23" t="str">
        <f t="array" ref="H262">iferror(VLOOKUP("TRAINER_PIC_Aqua_Grunt_M",Sprites!$A$1:$B493,2,false),"")</f>
        <v/>
      </c>
      <c r="I262" s="24"/>
    </row>
    <row r="263">
      <c r="A263" s="25"/>
      <c r="B263" s="26" t="s">
        <v>1842</v>
      </c>
      <c r="C263" s="26" t="s">
        <v>612</v>
      </c>
      <c r="D263" s="26" t="s">
        <v>1910</v>
      </c>
      <c r="E263" s="26" t="s">
        <v>1405</v>
      </c>
      <c r="F263" s="26"/>
      <c r="G263" s="26"/>
      <c r="H263" s="27"/>
    </row>
    <row r="264">
      <c r="A264" s="10" t="s">
        <v>199</v>
      </c>
      <c r="B264" s="22">
        <v>75.0</v>
      </c>
      <c r="C264" s="22">
        <v>75.0</v>
      </c>
      <c r="D264" s="22">
        <v>75.0</v>
      </c>
      <c r="E264" s="22">
        <v>76.0</v>
      </c>
      <c r="F264" s="22"/>
      <c r="G264" s="22"/>
      <c r="H264" s="27"/>
    </row>
    <row r="265">
      <c r="A265" s="10" t="s">
        <v>201</v>
      </c>
      <c r="B265" s="29" t="s">
        <v>779</v>
      </c>
      <c r="C265" s="29" t="s">
        <v>779</v>
      </c>
      <c r="D265" s="29" t="s">
        <v>777</v>
      </c>
      <c r="E265" s="29" t="s">
        <v>1147</v>
      </c>
      <c r="F265" s="29"/>
      <c r="G265" s="29"/>
      <c r="H265" s="27"/>
    </row>
    <row r="266">
      <c r="A266" s="10" t="s">
        <v>209</v>
      </c>
      <c r="B266" s="22" t="s">
        <v>2800</v>
      </c>
      <c r="C266" s="22" t="s">
        <v>415</v>
      </c>
      <c r="D266" s="22" t="s">
        <v>1284</v>
      </c>
      <c r="E266" s="22" t="s">
        <v>221</v>
      </c>
      <c r="F266" s="22"/>
      <c r="G266" s="22"/>
      <c r="H266" s="27"/>
    </row>
    <row r="267">
      <c r="A267" s="10" t="s">
        <v>215</v>
      </c>
      <c r="B267" s="29" t="s">
        <v>231</v>
      </c>
      <c r="C267" s="29" t="s">
        <v>220</v>
      </c>
      <c r="D267" s="29" t="s">
        <v>220</v>
      </c>
      <c r="E267" s="29" t="s">
        <v>1346</v>
      </c>
      <c r="F267" s="29"/>
      <c r="G267" s="29"/>
      <c r="H267" s="27"/>
    </row>
    <row r="268">
      <c r="A268" s="15" t="s">
        <v>224</v>
      </c>
      <c r="B268" s="22" t="s">
        <v>1228</v>
      </c>
      <c r="C268" s="22" t="s">
        <v>1352</v>
      </c>
      <c r="D268" s="22" t="s">
        <v>2447</v>
      </c>
      <c r="E268" s="22" t="s">
        <v>424</v>
      </c>
      <c r="F268" s="22"/>
      <c r="G268" s="22"/>
      <c r="H268" s="27"/>
    </row>
    <row r="269">
      <c r="A269" s="30"/>
      <c r="B269" s="22" t="s">
        <v>2502</v>
      </c>
      <c r="C269" s="22" t="s">
        <v>368</v>
      </c>
      <c r="D269" s="22" t="s">
        <v>1549</v>
      </c>
      <c r="E269" s="22" t="s">
        <v>2802</v>
      </c>
      <c r="F269" s="22"/>
      <c r="G269" s="22"/>
      <c r="H269" s="27"/>
    </row>
    <row r="270">
      <c r="A270" s="30"/>
      <c r="B270" s="22" t="s">
        <v>473</v>
      </c>
      <c r="C270" s="22" t="s">
        <v>356</v>
      </c>
      <c r="D270" s="22" t="s">
        <v>2803</v>
      </c>
      <c r="E270" s="22" t="s">
        <v>1069</v>
      </c>
      <c r="F270" s="22"/>
      <c r="G270" s="22"/>
      <c r="H270" s="27"/>
    </row>
    <row r="271">
      <c r="A271" s="25"/>
      <c r="B271" s="22" t="s">
        <v>938</v>
      </c>
      <c r="C271" s="22" t="s">
        <v>549</v>
      </c>
      <c r="D271" s="22" t="s">
        <v>951</v>
      </c>
      <c r="E271" s="22" t="s">
        <v>809</v>
      </c>
      <c r="F271" s="22"/>
      <c r="G271" s="22"/>
      <c r="H271" s="31"/>
      <c r="I271" s="32"/>
    </row>
    <row r="272">
      <c r="A272" s="10" t="s">
        <v>5</v>
      </c>
      <c r="B272" s="11" t="s">
        <v>2804</v>
      </c>
      <c r="C272" s="9"/>
      <c r="D272" s="9"/>
      <c r="E272" s="9"/>
      <c r="F272" s="9"/>
      <c r="G272" s="9"/>
      <c r="H272" s="9"/>
      <c r="I272" s="14"/>
    </row>
    <row r="273" ht="60.0" customHeight="1">
      <c r="A273" s="15" t="s">
        <v>16</v>
      </c>
      <c r="B273" s="22" t="str">
        <f t="array" ref="B273">iferror(VLOOKUP(INDIRECT(ADDRESS(ROW()+1,COLUMN(), 4)),Dex!$A$2:$C493,3,false),"")</f>
        <v/>
      </c>
      <c r="C273" s="22" t="str">
        <f t="array" ref="C273">iferror(VLOOKUP(INDIRECT(ADDRESS(ROW()+1,COLUMN(), 4)),Dex!$A$2:$C493,3,false),"")</f>
        <v/>
      </c>
      <c r="D273" s="22" t="str">
        <f t="array" ref="D273">iferror(VLOOKUP(INDIRECT(ADDRESS(ROW()+1,COLUMN(), 4)),Dex!$A$2:$C493,3,false),"")</f>
        <v/>
      </c>
      <c r="E273" s="22" t="str">
        <f t="array" ref="E273">iferror(VLOOKUP(INDIRECT(ADDRESS(ROW()+1,COLUMN(), 4)),Dex!$A$2:$C493,3,false),"")</f>
        <v/>
      </c>
      <c r="F273" s="22" t="str">
        <f t="array" ref="F273">iferror(VLOOKUP(INDIRECT(ADDRESS(ROW()+1,COLUMN(), 4)),Dex!$A$2:$C493,3,false),"")</f>
        <v/>
      </c>
      <c r="G273" s="22" t="str">
        <f t="array" ref="G273">iferror(VLOOKUP(INDIRECT(ADDRESS(ROW()+1,COLUMN(), 4)),Dex!$A$2:$C493,3,false),"")</f>
        <v/>
      </c>
      <c r="H273" s="23" t="str">
        <f t="array" ref="H273">iferror(VLOOKUP("TRAINER_PIC_Aqua_Grunt_M",Sprites!$A$1:$B493,2,false),"")</f>
        <v/>
      </c>
      <c r="I273" s="24"/>
    </row>
    <row r="274">
      <c r="A274" s="25"/>
      <c r="B274" s="26" t="s">
        <v>882</v>
      </c>
      <c r="C274" s="26" t="s">
        <v>982</v>
      </c>
      <c r="D274" s="26" t="s">
        <v>639</v>
      </c>
      <c r="E274" s="26" t="s">
        <v>1212</v>
      </c>
      <c r="F274" s="26" t="s">
        <v>1410</v>
      </c>
      <c r="G274" s="26"/>
      <c r="H274" s="27"/>
    </row>
    <row r="275">
      <c r="A275" s="10" t="s">
        <v>199</v>
      </c>
      <c r="B275" s="22">
        <v>75.0</v>
      </c>
      <c r="C275" s="22">
        <v>75.0</v>
      </c>
      <c r="D275" s="22">
        <v>75.0</v>
      </c>
      <c r="E275" s="22">
        <v>76.0</v>
      </c>
      <c r="F275" s="22">
        <v>76.0</v>
      </c>
      <c r="G275" s="22"/>
      <c r="H275" s="27"/>
    </row>
    <row r="276">
      <c r="A276" s="10" t="s">
        <v>201</v>
      </c>
      <c r="B276" s="29" t="s">
        <v>777</v>
      </c>
      <c r="C276" s="29" t="s">
        <v>2351</v>
      </c>
      <c r="D276" s="29" t="s">
        <v>779</v>
      </c>
      <c r="E276" s="29" t="s">
        <v>546</v>
      </c>
      <c r="F276" s="29" t="s">
        <v>2430</v>
      </c>
      <c r="G276" s="29"/>
      <c r="H276" s="27"/>
    </row>
    <row r="277">
      <c r="A277" s="10" t="s">
        <v>209</v>
      </c>
      <c r="B277" s="22" t="s">
        <v>2360</v>
      </c>
      <c r="C277" s="22" t="s">
        <v>1152</v>
      </c>
      <c r="D277" s="22" t="s">
        <v>648</v>
      </c>
      <c r="E277" s="22" t="s">
        <v>1153</v>
      </c>
      <c r="F277" s="22" t="s">
        <v>352</v>
      </c>
      <c r="G277" s="22"/>
      <c r="H277" s="27"/>
    </row>
    <row r="278">
      <c r="A278" s="10" t="s">
        <v>215</v>
      </c>
      <c r="B278" s="29" t="s">
        <v>220</v>
      </c>
      <c r="C278" s="29" t="s">
        <v>231</v>
      </c>
      <c r="D278" s="29" t="s">
        <v>222</v>
      </c>
      <c r="E278" s="29" t="s">
        <v>220</v>
      </c>
      <c r="F278" s="29" t="s">
        <v>222</v>
      </c>
      <c r="G278" s="29"/>
      <c r="H278" s="27"/>
    </row>
    <row r="279">
      <c r="A279" s="15" t="s">
        <v>224</v>
      </c>
      <c r="B279" s="22" t="s">
        <v>549</v>
      </c>
      <c r="C279" s="22" t="s">
        <v>587</v>
      </c>
      <c r="D279" s="22" t="s">
        <v>361</v>
      </c>
      <c r="E279" s="22" t="s">
        <v>692</v>
      </c>
      <c r="F279" s="22" t="s">
        <v>2601</v>
      </c>
      <c r="G279" s="22"/>
      <c r="H279" s="27"/>
    </row>
    <row r="280">
      <c r="A280" s="30"/>
      <c r="B280" s="22" t="s">
        <v>587</v>
      </c>
      <c r="C280" s="22" t="s">
        <v>700</v>
      </c>
      <c r="D280" s="22" t="s">
        <v>935</v>
      </c>
      <c r="E280" s="22" t="s">
        <v>700</v>
      </c>
      <c r="F280" s="22" t="s">
        <v>253</v>
      </c>
      <c r="G280" s="22"/>
      <c r="H280" s="27"/>
    </row>
    <row r="281">
      <c r="A281" s="30"/>
      <c r="B281" s="22" t="s">
        <v>1127</v>
      </c>
      <c r="C281" s="22" t="s">
        <v>467</v>
      </c>
      <c r="D281" s="22" t="s">
        <v>2496</v>
      </c>
      <c r="E281" s="22" t="s">
        <v>2110</v>
      </c>
      <c r="F281" s="22" t="s">
        <v>232</v>
      </c>
      <c r="G281" s="22"/>
      <c r="H281" s="27"/>
    </row>
    <row r="282">
      <c r="A282" s="25"/>
      <c r="B282" s="22" t="s">
        <v>361</v>
      </c>
      <c r="C282" s="22" t="s">
        <v>1653</v>
      </c>
      <c r="D282" s="22" t="s">
        <v>238</v>
      </c>
      <c r="E282" s="22" t="s">
        <v>2469</v>
      </c>
      <c r="F282" s="22" t="s">
        <v>2812</v>
      </c>
      <c r="G282" s="22"/>
      <c r="H282" s="31"/>
      <c r="I282" s="32"/>
    </row>
    <row r="283">
      <c r="A283" s="10" t="s">
        <v>5</v>
      </c>
      <c r="B283" s="11" t="s">
        <v>2813</v>
      </c>
      <c r="C283" s="9"/>
      <c r="D283" s="9"/>
      <c r="E283" s="9"/>
      <c r="F283" s="9"/>
      <c r="G283" s="9"/>
      <c r="H283" s="9"/>
      <c r="I283" s="14"/>
    </row>
    <row r="284" ht="60.0" customHeight="1">
      <c r="A284" s="15" t="s">
        <v>16</v>
      </c>
      <c r="B284" s="22" t="str">
        <f t="array" ref="B284">iferror(VLOOKUP(INDIRECT(ADDRESS(ROW()+1,COLUMN(), 4)),Dex!$A$2:$C493,3,false),"")</f>
        <v/>
      </c>
      <c r="C284" s="22" t="str">
        <f t="array" ref="C284">iferror(VLOOKUP(INDIRECT(ADDRESS(ROW()+1,COLUMN(), 4)),Dex!$A$2:$C493,3,false),"")</f>
        <v/>
      </c>
      <c r="D284" s="22" t="str">
        <f t="array" ref="D284">iferror(VLOOKUP(INDIRECT(ADDRESS(ROW()+1,COLUMN(), 4)),Dex!$A$2:$C493,3,false),"")</f>
        <v/>
      </c>
      <c r="E284" s="22" t="str">
        <f t="array" ref="E284">iferror(VLOOKUP(INDIRECT(ADDRESS(ROW()+1,COLUMN(), 4)),Dex!$A$2:$C493,3,false),"")</f>
        <v/>
      </c>
      <c r="F284" s="22" t="str">
        <f t="array" ref="F284">iferror(VLOOKUP(INDIRECT(ADDRESS(ROW()+1,COLUMN(), 4)),Dex!$A$2:$C493,3,false),"")</f>
        <v/>
      </c>
      <c r="G284" s="22" t="str">
        <f t="array" ref="G284">iferror(VLOOKUP(INDIRECT(ADDRESS(ROW()+1,COLUMN(), 4)),Dex!$A$2:$C493,3,false),"")</f>
        <v/>
      </c>
      <c r="H284" s="23" t="str">
        <f t="array" ref="H284">iferror(VLOOKUP("TRAINER_PIC_Aqua_Grunt_M",Sprites!$A$1:$B493,2,false),"")</f>
        <v/>
      </c>
      <c r="I284" s="24"/>
    </row>
    <row r="285">
      <c r="A285" s="25"/>
      <c r="B285" s="26" t="s">
        <v>312</v>
      </c>
      <c r="C285" s="26" t="s">
        <v>1321</v>
      </c>
      <c r="D285" s="26" t="s">
        <v>403</v>
      </c>
      <c r="E285" s="26" t="s">
        <v>1882</v>
      </c>
      <c r="F285" s="26" t="s">
        <v>840</v>
      </c>
      <c r="G285" s="26"/>
      <c r="H285" s="27"/>
    </row>
    <row r="286">
      <c r="A286" s="10" t="s">
        <v>199</v>
      </c>
      <c r="B286" s="22">
        <v>75.0</v>
      </c>
      <c r="C286" s="22">
        <v>75.0</v>
      </c>
      <c r="D286" s="22">
        <v>75.0</v>
      </c>
      <c r="E286" s="22">
        <v>76.0</v>
      </c>
      <c r="F286" s="22">
        <v>80.0</v>
      </c>
      <c r="G286" s="22"/>
      <c r="H286" s="27"/>
    </row>
    <row r="287">
      <c r="A287" s="10" t="s">
        <v>201</v>
      </c>
      <c r="B287" s="29" t="s">
        <v>645</v>
      </c>
      <c r="C287" s="29" t="s">
        <v>777</v>
      </c>
      <c r="D287" s="29" t="s">
        <v>1122</v>
      </c>
      <c r="E287" s="29" t="s">
        <v>777</v>
      </c>
      <c r="F287" s="29" t="s">
        <v>2351</v>
      </c>
      <c r="G287" s="29"/>
      <c r="H287" s="27"/>
    </row>
    <row r="288">
      <c r="A288" s="10" t="s">
        <v>209</v>
      </c>
      <c r="B288" s="22" t="s">
        <v>1527</v>
      </c>
      <c r="C288" s="22" t="s">
        <v>1765</v>
      </c>
      <c r="D288" s="22" t="s">
        <v>416</v>
      </c>
      <c r="E288" s="22" t="s">
        <v>2822</v>
      </c>
      <c r="F288" s="22" t="s">
        <v>2103</v>
      </c>
      <c r="G288" s="22"/>
      <c r="H288" s="27"/>
    </row>
    <row r="289">
      <c r="A289" s="10" t="s">
        <v>215</v>
      </c>
      <c r="B289" s="29" t="s">
        <v>419</v>
      </c>
      <c r="C289" s="29" t="s">
        <v>417</v>
      </c>
      <c r="D289" s="29" t="s">
        <v>231</v>
      </c>
      <c r="E289" s="29" t="s">
        <v>222</v>
      </c>
      <c r="F289" s="29" t="s">
        <v>222</v>
      </c>
      <c r="G289" s="29"/>
      <c r="H289" s="27"/>
    </row>
    <row r="290">
      <c r="A290" s="15" t="s">
        <v>224</v>
      </c>
      <c r="B290" s="22" t="s">
        <v>1564</v>
      </c>
      <c r="C290" s="22" t="s">
        <v>1848</v>
      </c>
      <c r="D290" s="22" t="s">
        <v>2823</v>
      </c>
      <c r="E290" s="22" t="s">
        <v>815</v>
      </c>
      <c r="F290" s="22" t="s">
        <v>1891</v>
      </c>
      <c r="G290" s="22"/>
      <c r="H290" s="27"/>
    </row>
    <row r="291">
      <c r="A291" s="30"/>
      <c r="B291" s="22" t="s">
        <v>1562</v>
      </c>
      <c r="C291" s="22" t="s">
        <v>361</v>
      </c>
      <c r="D291" s="22" t="s">
        <v>422</v>
      </c>
      <c r="E291" s="22" t="s">
        <v>362</v>
      </c>
      <c r="F291" s="22" t="s">
        <v>2555</v>
      </c>
      <c r="G291" s="22"/>
      <c r="H291" s="27"/>
    </row>
    <row r="292">
      <c r="A292" s="30"/>
      <c r="B292" s="22" t="s">
        <v>465</v>
      </c>
      <c r="C292" s="22" t="s">
        <v>570</v>
      </c>
      <c r="D292" s="22"/>
      <c r="E292" s="22" t="s">
        <v>926</v>
      </c>
      <c r="F292" s="22" t="s">
        <v>814</v>
      </c>
      <c r="G292" s="22"/>
      <c r="H292" s="27"/>
    </row>
    <row r="293">
      <c r="A293" s="25"/>
      <c r="B293" s="22" t="s">
        <v>234</v>
      </c>
      <c r="C293" s="22" t="s">
        <v>1366</v>
      </c>
      <c r="D293" s="22"/>
      <c r="E293" s="22" t="s">
        <v>1541</v>
      </c>
      <c r="F293" s="22" t="s">
        <v>1363</v>
      </c>
      <c r="G293" s="22"/>
      <c r="H293" s="31"/>
      <c r="I293" s="32"/>
    </row>
    <row r="294">
      <c r="A294" s="10" t="s">
        <v>5</v>
      </c>
      <c r="B294" s="11" t="s">
        <v>2824</v>
      </c>
      <c r="C294" s="9"/>
      <c r="D294" s="9"/>
      <c r="E294" s="9"/>
      <c r="F294" s="9"/>
      <c r="G294" s="9"/>
      <c r="H294" s="9"/>
      <c r="I294" s="14"/>
    </row>
    <row r="295" ht="60.0" customHeight="1">
      <c r="A295" s="15" t="s">
        <v>16</v>
      </c>
      <c r="B295" s="22" t="str">
        <f t="array" ref="B295">iferror(VLOOKUP(INDIRECT(ADDRESS(ROW()+1,COLUMN(), 4)),Dex!$A$2:$C493,3,false),"")</f>
        <v/>
      </c>
      <c r="C295" s="22" t="str">
        <f t="array" ref="C295">iferror(VLOOKUP(INDIRECT(ADDRESS(ROW()+1,COLUMN(), 4)),Dex!$A$2:$C493,3,false),"")</f>
        <v/>
      </c>
      <c r="D295" s="22" t="str">
        <f t="array" ref="D295">iferror(VLOOKUP(INDIRECT(ADDRESS(ROW()+1,COLUMN(), 4)),Dex!$A$2:$C493,3,false),"")</f>
        <v/>
      </c>
      <c r="E295" s="22" t="str">
        <f t="array" ref="E295">iferror(VLOOKUP(INDIRECT(ADDRESS(ROW()+1,COLUMN(), 4)),Dex!$A$2:$C493,3,false),"")</f>
        <v/>
      </c>
      <c r="F295" s="22" t="str">
        <f t="array" ref="F295">iferror(VLOOKUP(INDIRECT(ADDRESS(ROW()+1,COLUMN(), 4)),Dex!$A$2:$C493,3,false),"")</f>
        <v/>
      </c>
      <c r="G295" s="22" t="str">
        <f t="array" ref="G295">iferror(VLOOKUP(INDIRECT(ADDRESS(ROW()+1,COLUMN(), 4)),Dex!$A$2:$C493,3,false),"")</f>
        <v/>
      </c>
      <c r="H295" s="23" t="str">
        <f t="array" ref="H295">iferror(VLOOKUP("TRAINER_PIC_Aqua_Grunt_F",Sprites!$A$1:$B493,2,false),"")</f>
        <v/>
      </c>
      <c r="I295" s="24"/>
    </row>
    <row r="296">
      <c r="A296" s="25"/>
      <c r="B296" s="26" t="s">
        <v>1719</v>
      </c>
      <c r="C296" s="26" t="s">
        <v>1733</v>
      </c>
      <c r="D296" s="26" t="s">
        <v>891</v>
      </c>
      <c r="E296" s="26" t="s">
        <v>770</v>
      </c>
      <c r="F296" s="26" t="s">
        <v>1075</v>
      </c>
      <c r="G296" s="26" t="s">
        <v>1969</v>
      </c>
      <c r="H296" s="27"/>
    </row>
    <row r="297">
      <c r="A297" s="10" t="s">
        <v>199</v>
      </c>
      <c r="B297" s="22">
        <v>75.0</v>
      </c>
      <c r="C297" s="22">
        <v>75.0</v>
      </c>
      <c r="D297" s="22">
        <v>75.0</v>
      </c>
      <c r="E297" s="22">
        <v>76.0</v>
      </c>
      <c r="F297" s="22">
        <v>75.0</v>
      </c>
      <c r="G297" s="22">
        <v>76.0</v>
      </c>
      <c r="H297" s="27"/>
    </row>
    <row r="298">
      <c r="A298" s="10" t="s">
        <v>201</v>
      </c>
      <c r="B298" s="29" t="s">
        <v>779</v>
      </c>
      <c r="C298" s="29" t="s">
        <v>1279</v>
      </c>
      <c r="D298" s="29" t="s">
        <v>2351</v>
      </c>
      <c r="E298" s="29" t="s">
        <v>2835</v>
      </c>
      <c r="F298" s="29" t="s">
        <v>777</v>
      </c>
      <c r="G298" s="29" t="s">
        <v>1928</v>
      </c>
      <c r="H298" s="27"/>
    </row>
    <row r="299">
      <c r="A299" s="10" t="s">
        <v>209</v>
      </c>
      <c r="B299" s="22" t="s">
        <v>2205</v>
      </c>
      <c r="C299" s="22" t="s">
        <v>2569</v>
      </c>
      <c r="D299" s="22" t="s">
        <v>912</v>
      </c>
      <c r="E299" s="22" t="s">
        <v>2205</v>
      </c>
      <c r="F299" s="22" t="s">
        <v>2423</v>
      </c>
      <c r="G299" s="22" t="s">
        <v>2017</v>
      </c>
      <c r="H299" s="27"/>
    </row>
    <row r="300">
      <c r="A300" s="10" t="s">
        <v>215</v>
      </c>
      <c r="B300" s="29" t="s">
        <v>231</v>
      </c>
      <c r="C300" s="29" t="s">
        <v>419</v>
      </c>
      <c r="D300" s="29" t="s">
        <v>417</v>
      </c>
      <c r="E300" s="29" t="s">
        <v>231</v>
      </c>
      <c r="F300" s="29" t="s">
        <v>461</v>
      </c>
      <c r="G300" s="29" t="s">
        <v>218</v>
      </c>
      <c r="H300" s="27"/>
    </row>
    <row r="301">
      <c r="A301" s="15" t="s">
        <v>224</v>
      </c>
      <c r="B301" s="22" t="s">
        <v>549</v>
      </c>
      <c r="C301" s="22" t="s">
        <v>2370</v>
      </c>
      <c r="D301" s="22" t="s">
        <v>946</v>
      </c>
      <c r="E301" s="22" t="s">
        <v>431</v>
      </c>
      <c r="F301" s="22" t="s">
        <v>1366</v>
      </c>
      <c r="G301" s="22" t="s">
        <v>2836</v>
      </c>
      <c r="H301" s="27"/>
    </row>
    <row r="302">
      <c r="A302" s="30"/>
      <c r="B302" s="22" t="s">
        <v>2217</v>
      </c>
      <c r="C302" s="22"/>
      <c r="D302" s="22" t="s">
        <v>1562</v>
      </c>
      <c r="E302" s="22" t="s">
        <v>946</v>
      </c>
      <c r="F302" s="22" t="s">
        <v>1941</v>
      </c>
      <c r="G302" s="22" t="s">
        <v>799</v>
      </c>
      <c r="H302" s="27"/>
    </row>
    <row r="303">
      <c r="A303" s="30"/>
      <c r="B303" s="22" t="s">
        <v>2819</v>
      </c>
      <c r="C303" s="22"/>
      <c r="D303" s="22" t="s">
        <v>932</v>
      </c>
      <c r="E303" s="22" t="s">
        <v>2217</v>
      </c>
      <c r="F303" s="22" t="s">
        <v>477</v>
      </c>
      <c r="G303" s="22" t="s">
        <v>473</v>
      </c>
      <c r="H303" s="27"/>
    </row>
    <row r="304">
      <c r="A304" s="25"/>
      <c r="B304" s="22" t="s">
        <v>813</v>
      </c>
      <c r="C304" s="22"/>
      <c r="D304" s="22" t="s">
        <v>477</v>
      </c>
      <c r="E304" s="22" t="s">
        <v>1068</v>
      </c>
      <c r="F304" s="22" t="s">
        <v>1562</v>
      </c>
      <c r="G304" s="22" t="s">
        <v>2395</v>
      </c>
      <c r="H304" s="31"/>
      <c r="I304" s="32"/>
    </row>
    <row r="305">
      <c r="A305" s="10" t="s">
        <v>5</v>
      </c>
      <c r="B305" s="11" t="s">
        <v>2837</v>
      </c>
      <c r="C305" s="9"/>
      <c r="D305" s="9"/>
      <c r="E305" s="9"/>
      <c r="F305" s="9"/>
      <c r="G305" s="9"/>
      <c r="H305" s="9"/>
      <c r="I305" s="14"/>
    </row>
    <row r="306" ht="60.0" customHeight="1">
      <c r="A306" s="15" t="s">
        <v>16</v>
      </c>
      <c r="B306" s="22" t="str">
        <f t="array" ref="B306">iferror(VLOOKUP(INDIRECT(ADDRESS(ROW()+1,COLUMN(), 4)),Dex!$A$2:$C493,3,false),"")</f>
        <v/>
      </c>
      <c r="C306" s="22" t="str">
        <f t="array" ref="C306">iferror(VLOOKUP(INDIRECT(ADDRESS(ROW()+1,COLUMN(), 4)),Dex!$A$2:$C493,3,false),"")</f>
        <v/>
      </c>
      <c r="D306" s="22" t="str">
        <f t="array" ref="D306">iferror(VLOOKUP(INDIRECT(ADDRESS(ROW()+1,COLUMN(), 4)),Dex!$A$2:$C493,3,false),"")</f>
        <v/>
      </c>
      <c r="E306" s="22" t="str">
        <f t="array" ref="E306">iferror(VLOOKUP(INDIRECT(ADDRESS(ROW()+1,COLUMN(), 4)),Dex!$A$2:$C493,3,false),"")</f>
        <v/>
      </c>
      <c r="F306" s="22" t="str">
        <f t="array" ref="F306">iferror(VLOOKUP(INDIRECT(ADDRESS(ROW()+1,COLUMN(), 4)),Dex!$A$2:$C493,3,false),"")</f>
        <v/>
      </c>
      <c r="G306" s="22" t="str">
        <f t="array" ref="G306">iferror(VLOOKUP(INDIRECT(ADDRESS(ROW()+1,COLUMN(), 4)),Dex!$A$2:$C493,3,false),"")</f>
        <v/>
      </c>
      <c r="H306" s="23" t="str">
        <f t="array" ref="H306">iferror(VLOOKUP("TRAINER_PIC_Aqua_Admin_F",Sprites!$A$1:$B493,2,false),"")</f>
        <v/>
      </c>
      <c r="I306" s="24"/>
    </row>
    <row r="307">
      <c r="A307" s="25"/>
      <c r="B307" s="26" t="s">
        <v>879</v>
      </c>
      <c r="C307" s="26" t="s">
        <v>2056</v>
      </c>
      <c r="D307" s="26" t="s">
        <v>410</v>
      </c>
      <c r="E307" s="26" t="s">
        <v>176</v>
      </c>
      <c r="F307" s="26" t="s">
        <v>1100</v>
      </c>
      <c r="G307" s="26" t="s">
        <v>613</v>
      </c>
      <c r="H307" s="27"/>
    </row>
    <row r="308">
      <c r="A308" s="10" t="s">
        <v>199</v>
      </c>
      <c r="B308" s="22">
        <v>76.0</v>
      </c>
      <c r="C308" s="22">
        <v>75.0</v>
      </c>
      <c r="D308" s="22">
        <v>75.0</v>
      </c>
      <c r="E308" s="22">
        <v>76.0</v>
      </c>
      <c r="F308" s="22">
        <v>75.0</v>
      </c>
      <c r="G308" s="22">
        <v>78.0</v>
      </c>
      <c r="H308" s="27"/>
    </row>
    <row r="309">
      <c r="A309" s="10" t="s">
        <v>201</v>
      </c>
      <c r="B309" s="29" t="s">
        <v>2844</v>
      </c>
      <c r="C309" s="29" t="s">
        <v>1213</v>
      </c>
      <c r="D309" s="29" t="s">
        <v>1456</v>
      </c>
      <c r="E309" s="29" t="s">
        <v>206</v>
      </c>
      <c r="F309" s="29" t="s">
        <v>345</v>
      </c>
      <c r="G309" s="29" t="s">
        <v>2199</v>
      </c>
      <c r="H309" s="27"/>
    </row>
    <row r="310">
      <c r="A310" s="10" t="s">
        <v>209</v>
      </c>
      <c r="B310" s="22" t="s">
        <v>413</v>
      </c>
      <c r="C310" s="22" t="s">
        <v>1523</v>
      </c>
      <c r="D310" s="22" t="s">
        <v>1524</v>
      </c>
      <c r="E310" s="22" t="s">
        <v>352</v>
      </c>
      <c r="F310" s="22" t="s">
        <v>413</v>
      </c>
      <c r="G310" s="22" t="s">
        <v>2203</v>
      </c>
      <c r="H310" s="27"/>
    </row>
    <row r="311">
      <c r="A311" s="10" t="s">
        <v>215</v>
      </c>
      <c r="B311" s="29" t="s">
        <v>419</v>
      </c>
      <c r="C311" s="29" t="s">
        <v>231</v>
      </c>
      <c r="D311" s="29" t="s">
        <v>220</v>
      </c>
      <c r="E311" s="29" t="s">
        <v>419</v>
      </c>
      <c r="F311" s="29" t="s">
        <v>906</v>
      </c>
      <c r="G311" s="29" t="s">
        <v>231</v>
      </c>
      <c r="H311" s="27"/>
    </row>
    <row r="312">
      <c r="A312" s="15" t="s">
        <v>224</v>
      </c>
      <c r="B312" s="22" t="s">
        <v>2578</v>
      </c>
      <c r="C312" s="22" t="s">
        <v>2664</v>
      </c>
      <c r="D312" s="22" t="s">
        <v>587</v>
      </c>
      <c r="E312" s="22" t="s">
        <v>2040</v>
      </c>
      <c r="F312" s="22" t="s">
        <v>814</v>
      </c>
      <c r="G312" s="22" t="s">
        <v>2845</v>
      </c>
      <c r="H312" s="27"/>
    </row>
    <row r="313">
      <c r="A313" s="30"/>
      <c r="B313" s="22" t="s">
        <v>2793</v>
      </c>
      <c r="C313" s="22" t="s">
        <v>934</v>
      </c>
      <c r="D313" s="22" t="s">
        <v>1072</v>
      </c>
      <c r="E313" s="22" t="s">
        <v>234</v>
      </c>
      <c r="F313" s="22" t="s">
        <v>1891</v>
      </c>
      <c r="G313" s="22" t="s">
        <v>1353</v>
      </c>
      <c r="H313" s="27"/>
    </row>
    <row r="314">
      <c r="A314" s="30"/>
      <c r="B314" s="22" t="s">
        <v>582</v>
      </c>
      <c r="C314" s="22" t="s">
        <v>1352</v>
      </c>
      <c r="D314" s="22" t="s">
        <v>476</v>
      </c>
      <c r="E314" s="22" t="s">
        <v>361</v>
      </c>
      <c r="F314" s="22" t="s">
        <v>1363</v>
      </c>
      <c r="G314" s="22" t="s">
        <v>2439</v>
      </c>
      <c r="H314" s="27"/>
    </row>
    <row r="315">
      <c r="A315" s="25"/>
      <c r="B315" s="22" t="s">
        <v>581</v>
      </c>
      <c r="C315" s="22" t="s">
        <v>549</v>
      </c>
      <c r="D315" s="22" t="s">
        <v>1047</v>
      </c>
      <c r="E315" s="22" t="s">
        <v>362</v>
      </c>
      <c r="F315" s="22" t="s">
        <v>924</v>
      </c>
      <c r="G315" s="22" t="s">
        <v>2022</v>
      </c>
      <c r="H315" s="31"/>
      <c r="I315" s="32"/>
    </row>
    <row r="316">
      <c r="A316" s="8" t="s">
        <v>2626</v>
      </c>
      <c r="B316" s="9"/>
      <c r="C316" s="9"/>
      <c r="D316" s="9"/>
      <c r="E316" s="9"/>
      <c r="F316" s="9"/>
      <c r="G316" s="9"/>
      <c r="H316" s="9"/>
      <c r="I316" s="34"/>
    </row>
    <row r="317">
      <c r="A317" s="10" t="s">
        <v>5</v>
      </c>
      <c r="B317" s="11" t="s">
        <v>2849</v>
      </c>
      <c r="C317" s="9"/>
      <c r="D317" s="9"/>
      <c r="E317" s="9"/>
      <c r="F317" s="9"/>
      <c r="G317" s="9"/>
      <c r="H317" s="9"/>
      <c r="I317" s="13"/>
    </row>
    <row r="318" ht="60.0" customHeight="1">
      <c r="A318" s="15" t="s">
        <v>16</v>
      </c>
      <c r="B318" s="22" t="str">
        <f t="array" ref="B318">iferror(VLOOKUP(INDIRECT(ADDRESS(ROW()+1,COLUMN(), 4)),Dex!$A$2:$C493,3,false),"")</f>
        <v/>
      </c>
      <c r="C318" s="22" t="str">
        <f t="array" ref="C318">iferror(VLOOKUP(INDIRECT(ADDRESS(ROW()+1,COLUMN(), 4)),Dex!$A$2:$C493,3,false),"")</f>
        <v/>
      </c>
      <c r="D318" s="22" t="str">
        <f t="array" ref="D318">iferror(VLOOKUP(INDIRECT(ADDRESS(ROW()+1,COLUMN(), 4)),Dex!$A$2:$C493,3,false),"")</f>
        <v/>
      </c>
      <c r="E318" s="22" t="str">
        <f t="array" ref="E318">iferror(VLOOKUP(INDIRECT(ADDRESS(ROW()+1,COLUMN(), 4)),Dex!$A$2:$C493,3,false),"")</f>
        <v/>
      </c>
      <c r="F318" s="22" t="str">
        <f t="array" ref="F318">iferror(VLOOKUP(INDIRECT(ADDRESS(ROW()+1,COLUMN(), 4)),Dex!$A$2:$C493,3,false),"")</f>
        <v/>
      </c>
      <c r="G318" s="22" t="str">
        <f t="array" ref="G318">iferror(VLOOKUP(INDIRECT(ADDRESS(ROW()+1,COLUMN(), 4)),Dex!$A$2:$C493,3,false),"")</f>
        <v/>
      </c>
      <c r="H318" s="23" t="str">
        <f t="array" ref="H318">iferror(VLOOKUP("TRAINER_PIC_Brendan",Sprites!$A$1:$B493,2,false),"")</f>
        <v/>
      </c>
      <c r="I318" s="24"/>
    </row>
    <row r="319">
      <c r="A319" s="25"/>
      <c r="B319" s="26" t="s">
        <v>888</v>
      </c>
      <c r="C319" s="26" t="s">
        <v>281</v>
      </c>
      <c r="D319" s="26" t="s">
        <v>2857</v>
      </c>
      <c r="E319" s="26" t="s">
        <v>490</v>
      </c>
      <c r="F319" s="26" t="s">
        <v>1208</v>
      </c>
      <c r="G319" s="26" t="s">
        <v>1688</v>
      </c>
      <c r="H319" s="27"/>
    </row>
    <row r="320">
      <c r="A320" s="10" t="s">
        <v>199</v>
      </c>
      <c r="B320" s="22">
        <v>77.0</v>
      </c>
      <c r="C320" s="22">
        <v>76.0</v>
      </c>
      <c r="D320" s="22">
        <v>75.0</v>
      </c>
      <c r="E320" s="22">
        <v>76.0</v>
      </c>
      <c r="F320" s="22">
        <v>76.0</v>
      </c>
      <c r="G320" s="22">
        <v>77.0</v>
      </c>
      <c r="H320" s="27"/>
    </row>
    <row r="321">
      <c r="A321" s="10" t="s">
        <v>201</v>
      </c>
      <c r="B321" s="29" t="s">
        <v>206</v>
      </c>
      <c r="C321" s="29" t="s">
        <v>2692</v>
      </c>
      <c r="D321" s="29" t="s">
        <v>343</v>
      </c>
      <c r="E321" s="29" t="s">
        <v>645</v>
      </c>
      <c r="F321" s="29" t="s">
        <v>2861</v>
      </c>
      <c r="G321" s="29" t="s">
        <v>2744</v>
      </c>
      <c r="H321" s="27"/>
    </row>
    <row r="322">
      <c r="A322" s="10" t="s">
        <v>209</v>
      </c>
      <c r="B322" s="22" t="s">
        <v>2473</v>
      </c>
      <c r="C322" s="22" t="s">
        <v>1950</v>
      </c>
      <c r="D322" s="22" t="s">
        <v>2368</v>
      </c>
      <c r="E322" s="22" t="s">
        <v>2373</v>
      </c>
      <c r="F322" s="22" t="s">
        <v>1153</v>
      </c>
      <c r="G322" s="22" t="s">
        <v>2669</v>
      </c>
      <c r="H322" s="27"/>
    </row>
    <row r="323">
      <c r="A323" s="10" t="s">
        <v>215</v>
      </c>
      <c r="B323" s="29" t="s">
        <v>231</v>
      </c>
      <c r="C323" s="29" t="s">
        <v>231</v>
      </c>
      <c r="D323" s="29" t="s">
        <v>419</v>
      </c>
      <c r="E323" s="29" t="s">
        <v>419</v>
      </c>
      <c r="F323" s="29" t="s">
        <v>220</v>
      </c>
      <c r="G323" s="29" t="s">
        <v>419</v>
      </c>
      <c r="H323" s="27"/>
    </row>
    <row r="324">
      <c r="A324" s="15" t="s">
        <v>224</v>
      </c>
      <c r="B324" s="22" t="s">
        <v>2565</v>
      </c>
      <c r="C324" s="22" t="s">
        <v>1954</v>
      </c>
      <c r="D324" s="22" t="s">
        <v>2864</v>
      </c>
      <c r="E324" s="22" t="s">
        <v>805</v>
      </c>
      <c r="F324" s="22" t="s">
        <v>1352</v>
      </c>
      <c r="G324" s="22" t="s">
        <v>2831</v>
      </c>
      <c r="H324" s="27"/>
    </row>
    <row r="325">
      <c r="A325" s="30"/>
      <c r="B325" s="22" t="s">
        <v>1033</v>
      </c>
      <c r="C325" s="22" t="s">
        <v>2220</v>
      </c>
      <c r="D325" s="22" t="s">
        <v>246</v>
      </c>
      <c r="E325" s="22" t="s">
        <v>920</v>
      </c>
      <c r="F325" s="22" t="s">
        <v>477</v>
      </c>
      <c r="G325" s="22" t="s">
        <v>246</v>
      </c>
      <c r="H325" s="27"/>
    </row>
    <row r="326">
      <c r="A326" s="30"/>
      <c r="B326" s="22" t="s">
        <v>2220</v>
      </c>
      <c r="C326" s="22" t="s">
        <v>1953</v>
      </c>
      <c r="D326" s="22" t="s">
        <v>2397</v>
      </c>
      <c r="E326" s="22" t="s">
        <v>2380</v>
      </c>
      <c r="F326" s="22" t="s">
        <v>811</v>
      </c>
      <c r="G326" s="22" t="s">
        <v>2867</v>
      </c>
      <c r="H326" s="27"/>
    </row>
    <row r="327">
      <c r="A327" s="25"/>
      <c r="B327" s="22" t="s">
        <v>652</v>
      </c>
      <c r="C327" s="22" t="s">
        <v>365</v>
      </c>
      <c r="D327" s="22" t="s">
        <v>1048</v>
      </c>
      <c r="E327" s="22" t="s">
        <v>2868</v>
      </c>
      <c r="F327" s="22" t="s">
        <v>1227</v>
      </c>
      <c r="G327" s="22" t="s">
        <v>694</v>
      </c>
      <c r="H327" s="31"/>
      <c r="I327" s="32"/>
    </row>
    <row r="328">
      <c r="A328" s="10" t="s">
        <v>5</v>
      </c>
      <c r="B328" s="11" t="s">
        <v>2870</v>
      </c>
      <c r="C328" s="9"/>
      <c r="D328" s="9"/>
      <c r="E328" s="9"/>
      <c r="F328" s="9"/>
      <c r="G328" s="9"/>
      <c r="H328" s="9"/>
      <c r="I328" s="13"/>
    </row>
    <row r="329" ht="60.0" customHeight="1">
      <c r="A329" s="15" t="s">
        <v>16</v>
      </c>
      <c r="B329" s="22" t="str">
        <f t="array" ref="B329">iferror(VLOOKUP(INDIRECT(ADDRESS(ROW()+1,COLUMN(), 4)),Dex!$A$2:$C493,3,false),"")</f>
        <v/>
      </c>
      <c r="C329" s="22" t="str">
        <f t="array" ref="C329">iferror(VLOOKUP(INDIRECT(ADDRESS(ROW()+1,COLUMN(), 4)),Dex!$A$2:$C493,3,false),"")</f>
        <v/>
      </c>
      <c r="D329" s="22" t="str">
        <f t="array" ref="D329">iferror(VLOOKUP(INDIRECT(ADDRESS(ROW()+1,COLUMN(), 4)),Dex!$A$2:$C493,3,false),"")</f>
        <v/>
      </c>
      <c r="E329" s="22" t="str">
        <f t="array" ref="E329">iferror(VLOOKUP(INDIRECT(ADDRESS(ROW()+1,COLUMN(), 4)),Dex!$A$2:$C493,3,false),"")</f>
        <v/>
      </c>
      <c r="F329" s="22" t="str">
        <f t="array" ref="F329">iferror(VLOOKUP(INDIRECT(ADDRESS(ROW()+1,COLUMN(), 4)),Dex!$A$2:$C493,3,false),"")</f>
        <v/>
      </c>
      <c r="G329" s="22" t="str">
        <f t="array" ref="G329">iferror(VLOOKUP(INDIRECT(ADDRESS(ROW()+1,COLUMN(), 4)),Dex!$A$2:$C493,3,false),"")</f>
        <v/>
      </c>
      <c r="H329" s="23" t="str">
        <f t="array" ref="H329">iferror(VLOOKUP("TRAINER_PIC_Brendan",Sprites!$A$1:$B493,2,false),"")</f>
        <v/>
      </c>
      <c r="I329" s="24"/>
    </row>
    <row r="330">
      <c r="A330" s="25"/>
      <c r="B330" s="26" t="s">
        <v>1009</v>
      </c>
      <c r="C330" s="26" t="s">
        <v>1968</v>
      </c>
      <c r="D330" s="26" t="s">
        <v>2878</v>
      </c>
      <c r="E330" s="26" t="s">
        <v>490</v>
      </c>
      <c r="F330" s="26" t="s">
        <v>1899</v>
      </c>
      <c r="G330" s="26" t="s">
        <v>1689</v>
      </c>
      <c r="H330" s="27"/>
    </row>
    <row r="331">
      <c r="A331" s="10" t="s">
        <v>199</v>
      </c>
      <c r="B331" s="22">
        <v>77.0</v>
      </c>
      <c r="C331" s="22">
        <v>76.0</v>
      </c>
      <c r="D331" s="22">
        <v>75.0</v>
      </c>
      <c r="E331" s="22">
        <v>76.0</v>
      </c>
      <c r="F331" s="22">
        <v>76.0</v>
      </c>
      <c r="G331" s="22">
        <v>77.0</v>
      </c>
      <c r="H331" s="27"/>
    </row>
    <row r="332">
      <c r="A332" s="10" t="s">
        <v>201</v>
      </c>
      <c r="B332" s="29" t="s">
        <v>206</v>
      </c>
      <c r="C332" s="29" t="s">
        <v>547</v>
      </c>
      <c r="D332" s="29" t="s">
        <v>343</v>
      </c>
      <c r="E332" s="29" t="s">
        <v>645</v>
      </c>
      <c r="F332" s="29" t="s">
        <v>1014</v>
      </c>
      <c r="G332" s="29" t="s">
        <v>2696</v>
      </c>
      <c r="H332" s="27"/>
    </row>
    <row r="333">
      <c r="A333" s="10" t="s">
        <v>209</v>
      </c>
      <c r="B333" s="22" t="s">
        <v>2473</v>
      </c>
      <c r="C333" s="22" t="s">
        <v>1152</v>
      </c>
      <c r="D333" s="22" t="s">
        <v>2361</v>
      </c>
      <c r="E333" s="22" t="s">
        <v>2373</v>
      </c>
      <c r="F333" s="22" t="s">
        <v>2594</v>
      </c>
      <c r="G333" s="22" t="s">
        <v>2669</v>
      </c>
      <c r="H333" s="27"/>
    </row>
    <row r="334">
      <c r="A334" s="10" t="s">
        <v>215</v>
      </c>
      <c r="B334" s="29" t="s">
        <v>419</v>
      </c>
      <c r="C334" s="29" t="s">
        <v>231</v>
      </c>
      <c r="D334" s="29" t="s">
        <v>231</v>
      </c>
      <c r="E334" s="29" t="s">
        <v>419</v>
      </c>
      <c r="F334" s="29" t="s">
        <v>419</v>
      </c>
      <c r="G334" s="29" t="s">
        <v>419</v>
      </c>
      <c r="H334" s="27"/>
    </row>
    <row r="335">
      <c r="A335" s="15" t="s">
        <v>224</v>
      </c>
      <c r="B335" s="22" t="s">
        <v>2512</v>
      </c>
      <c r="C335" s="22" t="s">
        <v>2220</v>
      </c>
      <c r="D335" s="22" t="s">
        <v>2879</v>
      </c>
      <c r="E335" s="22" t="s">
        <v>238</v>
      </c>
      <c r="F335" s="22" t="s">
        <v>371</v>
      </c>
      <c r="G335" s="22" t="s">
        <v>1891</v>
      </c>
      <c r="H335" s="27"/>
    </row>
    <row r="336">
      <c r="A336" s="30"/>
      <c r="B336" s="22" t="s">
        <v>585</v>
      </c>
      <c r="C336" s="22" t="s">
        <v>468</v>
      </c>
      <c r="D336" s="22" t="s">
        <v>1791</v>
      </c>
      <c r="E336" s="22" t="s">
        <v>920</v>
      </c>
      <c r="F336" s="22" t="s">
        <v>234</v>
      </c>
      <c r="G336" s="22" t="s">
        <v>584</v>
      </c>
      <c r="H336" s="27"/>
    </row>
    <row r="337">
      <c r="A337" s="30"/>
      <c r="B337" s="22" t="s">
        <v>253</v>
      </c>
      <c r="C337" s="22" t="s">
        <v>2819</v>
      </c>
      <c r="D337" s="22" t="s">
        <v>2450</v>
      </c>
      <c r="E337" s="22" t="s">
        <v>2380</v>
      </c>
      <c r="F337" s="22" t="s">
        <v>360</v>
      </c>
      <c r="G337" s="22" t="s">
        <v>234</v>
      </c>
      <c r="H337" s="27"/>
    </row>
    <row r="338">
      <c r="A338" s="25"/>
      <c r="B338" s="22" t="s">
        <v>2040</v>
      </c>
      <c r="C338" s="22" t="s">
        <v>1541</v>
      </c>
      <c r="D338" s="22" t="s">
        <v>1048</v>
      </c>
      <c r="E338" s="22" t="s">
        <v>2868</v>
      </c>
      <c r="F338" s="22" t="s">
        <v>1955</v>
      </c>
      <c r="G338" s="22" t="s">
        <v>694</v>
      </c>
      <c r="H338" s="31"/>
      <c r="I338" s="32"/>
    </row>
    <row r="339">
      <c r="A339" s="10" t="s">
        <v>5</v>
      </c>
      <c r="B339" s="11" t="s">
        <v>2880</v>
      </c>
      <c r="C339" s="9"/>
      <c r="D339" s="9"/>
      <c r="E339" s="9"/>
      <c r="F339" s="9"/>
      <c r="G339" s="9"/>
      <c r="H339" s="9"/>
      <c r="I339" s="13"/>
    </row>
    <row r="340" ht="60.0" customHeight="1">
      <c r="A340" s="15" t="s">
        <v>16</v>
      </c>
      <c r="B340" s="22" t="str">
        <f t="array" ref="B340">iferror(VLOOKUP(INDIRECT(ADDRESS(ROW()+1,COLUMN(), 4)),Dex!$A$2:$C493,3,false),"")</f>
        <v/>
      </c>
      <c r="C340" s="22" t="str">
        <f t="array" ref="C340">iferror(VLOOKUP(INDIRECT(ADDRESS(ROW()+1,COLUMN(), 4)),Dex!$A$2:$C493,3,false),"")</f>
        <v/>
      </c>
      <c r="D340" s="22" t="str">
        <f t="array" ref="D340">iferror(VLOOKUP(INDIRECT(ADDRESS(ROW()+1,COLUMN(), 4)),Dex!$A$2:$C493,3,false),"")</f>
        <v/>
      </c>
      <c r="E340" s="22" t="str">
        <f t="array" ref="E340">iferror(VLOOKUP(INDIRECT(ADDRESS(ROW()+1,COLUMN(), 4)),Dex!$A$2:$C493,3,false),"")</f>
        <v/>
      </c>
      <c r="F340" s="22" t="str">
        <f t="array" ref="F340">iferror(VLOOKUP(INDIRECT(ADDRESS(ROW()+1,COLUMN(), 4)),Dex!$A$2:$C493,3,false),"")</f>
        <v/>
      </c>
      <c r="G340" s="22" t="str">
        <f t="array" ref="G340">iferror(VLOOKUP(INDIRECT(ADDRESS(ROW()+1,COLUMN(), 4)),Dex!$A$2:$C493,3,false),"")</f>
        <v/>
      </c>
      <c r="H340" s="23" t="str">
        <f t="array" ref="H340">iferror(VLOOKUP("TRAINER_PIC_Brendan",Sprites!$A$1:$B493,2,false),"")</f>
        <v/>
      </c>
      <c r="I340" s="24"/>
    </row>
    <row r="341">
      <c r="A341" s="25"/>
      <c r="B341" s="26" t="s">
        <v>1142</v>
      </c>
      <c r="C341" s="26" t="s">
        <v>1967</v>
      </c>
      <c r="D341" s="26" t="s">
        <v>2729</v>
      </c>
      <c r="E341" s="26" t="s">
        <v>490</v>
      </c>
      <c r="F341" s="26" t="s">
        <v>1312</v>
      </c>
      <c r="G341" s="26" t="s">
        <v>1698</v>
      </c>
      <c r="H341" s="27"/>
    </row>
    <row r="342">
      <c r="A342" s="10" t="s">
        <v>199</v>
      </c>
      <c r="B342" s="22">
        <v>77.0</v>
      </c>
      <c r="C342" s="22">
        <v>76.0</v>
      </c>
      <c r="D342" s="22">
        <v>75.0</v>
      </c>
      <c r="E342" s="22">
        <v>76.0</v>
      </c>
      <c r="F342" s="22">
        <v>76.0</v>
      </c>
      <c r="G342" s="22">
        <v>77.0</v>
      </c>
      <c r="H342" s="27"/>
    </row>
    <row r="343">
      <c r="A343" s="10" t="s">
        <v>201</v>
      </c>
      <c r="B343" s="29" t="s">
        <v>206</v>
      </c>
      <c r="C343" s="29" t="s">
        <v>2692</v>
      </c>
      <c r="D343" s="29" t="s">
        <v>2366</v>
      </c>
      <c r="E343" s="29" t="s">
        <v>645</v>
      </c>
      <c r="F343" s="29" t="s">
        <v>409</v>
      </c>
      <c r="G343" s="29" t="s">
        <v>2667</v>
      </c>
      <c r="H343" s="27"/>
    </row>
    <row r="344">
      <c r="A344" s="10" t="s">
        <v>209</v>
      </c>
      <c r="B344" s="22" t="s">
        <v>2473</v>
      </c>
      <c r="C344" s="22" t="s">
        <v>1763</v>
      </c>
      <c r="D344" s="22" t="s">
        <v>2361</v>
      </c>
      <c r="E344" s="22" t="s">
        <v>2373</v>
      </c>
      <c r="F344" s="22" t="s">
        <v>415</v>
      </c>
      <c r="G344" s="22" t="s">
        <v>2669</v>
      </c>
      <c r="H344" s="27"/>
    </row>
    <row r="345">
      <c r="A345" s="10" t="s">
        <v>215</v>
      </c>
      <c r="B345" s="29" t="s">
        <v>231</v>
      </c>
      <c r="C345" s="29" t="s">
        <v>220</v>
      </c>
      <c r="D345" s="29" t="s">
        <v>419</v>
      </c>
      <c r="E345" s="29" t="s">
        <v>419</v>
      </c>
      <c r="F345" s="29" t="s">
        <v>461</v>
      </c>
      <c r="G345" s="29" t="s">
        <v>419</v>
      </c>
      <c r="H345" s="27"/>
    </row>
    <row r="346">
      <c r="A346" s="15" t="s">
        <v>224</v>
      </c>
      <c r="B346" s="22" t="s">
        <v>2599</v>
      </c>
      <c r="C346" s="22" t="s">
        <v>1352</v>
      </c>
      <c r="D346" s="22" t="s">
        <v>2307</v>
      </c>
      <c r="E346" s="22" t="s">
        <v>584</v>
      </c>
      <c r="F346" s="22" t="s">
        <v>2470</v>
      </c>
      <c r="G346" s="22" t="s">
        <v>580</v>
      </c>
      <c r="H346" s="27"/>
    </row>
    <row r="347">
      <c r="A347" s="30"/>
      <c r="B347" s="22" t="s">
        <v>477</v>
      </c>
      <c r="C347" s="22" t="s">
        <v>477</v>
      </c>
      <c r="D347" s="22" t="s">
        <v>2040</v>
      </c>
      <c r="E347" s="22" t="s">
        <v>920</v>
      </c>
      <c r="F347" s="22" t="s">
        <v>652</v>
      </c>
      <c r="G347" s="22" t="s">
        <v>584</v>
      </c>
      <c r="H347" s="27"/>
    </row>
    <row r="348">
      <c r="A348" s="30"/>
      <c r="B348" s="22" t="s">
        <v>2560</v>
      </c>
      <c r="C348" s="22" t="s">
        <v>1069</v>
      </c>
      <c r="D348" s="22" t="s">
        <v>805</v>
      </c>
      <c r="E348" s="22" t="s">
        <v>2380</v>
      </c>
      <c r="F348" s="22" t="s">
        <v>247</v>
      </c>
      <c r="G348" s="22" t="s">
        <v>234</v>
      </c>
      <c r="H348" s="27"/>
    </row>
    <row r="349">
      <c r="A349" s="25"/>
      <c r="B349" s="22" t="s">
        <v>799</v>
      </c>
      <c r="C349" s="22" t="s">
        <v>549</v>
      </c>
      <c r="D349" s="22" t="s">
        <v>1048</v>
      </c>
      <c r="E349" s="22" t="s">
        <v>2868</v>
      </c>
      <c r="F349" s="22" t="s">
        <v>2499</v>
      </c>
      <c r="G349" s="22" t="s">
        <v>694</v>
      </c>
      <c r="H349" s="31"/>
      <c r="I349" s="32"/>
    </row>
    <row r="350">
      <c r="A350" s="10" t="s">
        <v>5</v>
      </c>
      <c r="B350" s="11" t="s">
        <v>2900</v>
      </c>
      <c r="C350" s="9"/>
      <c r="D350" s="9"/>
      <c r="E350" s="9"/>
      <c r="F350" s="9"/>
      <c r="G350" s="9"/>
      <c r="H350" s="9"/>
      <c r="I350" s="13"/>
    </row>
    <row r="351" ht="60.0" customHeight="1">
      <c r="A351" s="15" t="s">
        <v>16</v>
      </c>
      <c r="B351" s="22" t="str">
        <f t="array" ref="B351">iferror(VLOOKUP(INDIRECT(ADDRESS(ROW()+1,COLUMN(), 4)),Dex!$A$2:$C493,3,false),"")</f>
        <v/>
      </c>
      <c r="C351" s="22" t="str">
        <f t="array" ref="C351">iferror(VLOOKUP(INDIRECT(ADDRESS(ROW()+1,COLUMN(), 4)),Dex!$A$2:$C493,3,false),"")</f>
        <v/>
      </c>
      <c r="D351" s="22" t="str">
        <f t="array" ref="D351">iferror(VLOOKUP(INDIRECT(ADDRESS(ROW()+1,COLUMN(), 4)),Dex!$A$2:$C493,3,false),"")</f>
        <v/>
      </c>
      <c r="E351" s="22" t="str">
        <f t="array" ref="E351">iferror(VLOOKUP(INDIRECT(ADDRESS(ROW()+1,COLUMN(), 4)),Dex!$A$2:$C493,3,false),"")</f>
        <v/>
      </c>
      <c r="F351" s="22" t="str">
        <f t="array" ref="F351">iferror(VLOOKUP(INDIRECT(ADDRESS(ROW()+1,COLUMN(), 4)),Dex!$A$2:$C493,3,false),"")</f>
        <v/>
      </c>
      <c r="G351" s="22" t="str">
        <f t="array" ref="G351">iferror(VLOOKUP(INDIRECT(ADDRESS(ROW()+1,COLUMN(), 4)),Dex!$A$2:$C493,3,false),"")</f>
        <v/>
      </c>
      <c r="H351" s="23" t="str">
        <f t="array" ref="H351">iferror(VLOOKUP("TRAINER_PIC_Aqua_Grunt_Steve",Sprites!$A$1:$B493,2,false),"")</f>
        <v/>
      </c>
      <c r="I351" s="24"/>
    </row>
    <row r="352">
      <c r="A352" s="25"/>
      <c r="B352" s="26" t="s">
        <v>1062</v>
      </c>
      <c r="C352" s="26" t="s">
        <v>1683</v>
      </c>
      <c r="D352" s="26" t="s">
        <v>621</v>
      </c>
      <c r="E352" s="26" t="s">
        <v>661</v>
      </c>
      <c r="F352" s="26" t="s">
        <v>1204</v>
      </c>
      <c r="G352" s="26" t="s">
        <v>1660</v>
      </c>
      <c r="H352" s="27"/>
    </row>
    <row r="353">
      <c r="A353" s="10" t="s">
        <v>199</v>
      </c>
      <c r="B353" s="22">
        <v>76.0</v>
      </c>
      <c r="C353" s="22">
        <v>75.0</v>
      </c>
      <c r="D353" s="22">
        <v>76.0</v>
      </c>
      <c r="E353" s="22">
        <v>77.0</v>
      </c>
      <c r="F353" s="22">
        <v>76.0</v>
      </c>
      <c r="G353" s="22">
        <v>75.0</v>
      </c>
      <c r="H353" s="27"/>
    </row>
    <row r="354">
      <c r="A354" s="10" t="s">
        <v>201</v>
      </c>
      <c r="B354" s="29" t="s">
        <v>2912</v>
      </c>
      <c r="C354" s="29" t="s">
        <v>1147</v>
      </c>
      <c r="D354" s="29" t="s">
        <v>645</v>
      </c>
      <c r="E354" s="29" t="s">
        <v>2913</v>
      </c>
      <c r="F354" s="29" t="s">
        <v>409</v>
      </c>
      <c r="G354" s="29" t="s">
        <v>1521</v>
      </c>
      <c r="H354" s="27"/>
    </row>
    <row r="355">
      <c r="A355" s="10" t="s">
        <v>209</v>
      </c>
      <c r="B355" s="22" t="s">
        <v>351</v>
      </c>
      <c r="C355" s="22" t="s">
        <v>2828</v>
      </c>
      <c r="D355" s="22" t="s">
        <v>1459</v>
      </c>
      <c r="E355" s="22" t="s">
        <v>680</v>
      </c>
      <c r="F355" s="22" t="s">
        <v>2463</v>
      </c>
      <c r="G355" s="22" t="s">
        <v>2873</v>
      </c>
      <c r="H355" s="27"/>
    </row>
    <row r="356">
      <c r="A356" s="10" t="s">
        <v>215</v>
      </c>
      <c r="B356" s="29" t="s">
        <v>1646</v>
      </c>
      <c r="C356" s="29" t="s">
        <v>220</v>
      </c>
      <c r="D356" s="29" t="s">
        <v>220</v>
      </c>
      <c r="E356" s="29" t="s">
        <v>220</v>
      </c>
      <c r="F356" s="29" t="s">
        <v>231</v>
      </c>
      <c r="G356" s="29" t="s">
        <v>220</v>
      </c>
      <c r="H356" s="27"/>
    </row>
    <row r="357">
      <c r="A357" s="15" t="s">
        <v>224</v>
      </c>
      <c r="B357" s="22" t="s">
        <v>938</v>
      </c>
      <c r="C357" s="22" t="s">
        <v>1159</v>
      </c>
      <c r="D357" s="22" t="s">
        <v>2022</v>
      </c>
      <c r="E357" s="22" t="s">
        <v>363</v>
      </c>
      <c r="F357" s="22" t="s">
        <v>1798</v>
      </c>
      <c r="G357" s="22" t="s">
        <v>567</v>
      </c>
      <c r="H357" s="27"/>
    </row>
    <row r="358">
      <c r="A358" s="30"/>
      <c r="B358" s="22" t="s">
        <v>2815</v>
      </c>
      <c r="C358" s="22" t="s">
        <v>2819</v>
      </c>
      <c r="D358" s="22" t="s">
        <v>587</v>
      </c>
      <c r="E358" s="22" t="s">
        <v>431</v>
      </c>
      <c r="F358" s="22" t="s">
        <v>652</v>
      </c>
      <c r="G358" s="22" t="s">
        <v>565</v>
      </c>
      <c r="H358" s="27"/>
    </row>
    <row r="359">
      <c r="A359" s="30"/>
      <c r="B359" s="22" t="s">
        <v>927</v>
      </c>
      <c r="C359" s="22" t="s">
        <v>366</v>
      </c>
      <c r="D359" s="22" t="s">
        <v>2848</v>
      </c>
      <c r="E359" s="22" t="s">
        <v>927</v>
      </c>
      <c r="F359" s="22" t="s">
        <v>372</v>
      </c>
      <c r="G359" s="22" t="s">
        <v>555</v>
      </c>
      <c r="H359" s="27"/>
    </row>
    <row r="360">
      <c r="A360" s="25"/>
      <c r="B360" s="22" t="s">
        <v>258</v>
      </c>
      <c r="C360" s="22" t="s">
        <v>1351</v>
      </c>
      <c r="D360" s="22" t="s">
        <v>917</v>
      </c>
      <c r="E360" s="22" t="s">
        <v>361</v>
      </c>
      <c r="F360" s="22" t="s">
        <v>549</v>
      </c>
      <c r="G360" s="22" t="s">
        <v>1554</v>
      </c>
      <c r="H360" s="31"/>
      <c r="I360" s="32"/>
    </row>
    <row r="361">
      <c r="A361" s="10" t="s">
        <v>5</v>
      </c>
      <c r="B361" s="11" t="s">
        <v>2914</v>
      </c>
      <c r="C361" s="9"/>
      <c r="D361" s="9"/>
      <c r="E361" s="9"/>
      <c r="F361" s="9"/>
      <c r="G361" s="9"/>
      <c r="H361" s="9"/>
      <c r="I361" s="14"/>
    </row>
    <row r="362" ht="60.0" customHeight="1">
      <c r="A362" s="15" t="s">
        <v>16</v>
      </c>
      <c r="B362" s="22" t="str">
        <f t="array" ref="B362">iferror(VLOOKUP(INDIRECT(ADDRESS(ROW()+1,COLUMN(), 4)),Dex!$A$2:$C493,3,false),"")</f>
        <v/>
      </c>
      <c r="C362" s="22" t="str">
        <f t="array" ref="C362">iferror(VLOOKUP(INDIRECT(ADDRESS(ROW()+1,COLUMN(), 4)),Dex!$A$2:$C493,3,false),"")</f>
        <v/>
      </c>
      <c r="D362" s="22" t="str">
        <f t="array" ref="D362">iferror(VLOOKUP(INDIRECT(ADDRESS(ROW()+1,COLUMN(), 4)),Dex!$A$2:$C493,3,false),"")</f>
        <v/>
      </c>
      <c r="E362" s="22" t="str">
        <f t="array" ref="E362">iferror(VLOOKUP(INDIRECT(ADDRESS(ROW()+1,COLUMN(), 4)),Dex!$A$2:$C493,3,false),"")</f>
        <v/>
      </c>
      <c r="F362" s="22" t="str">
        <f t="array" ref="F362">iferror(VLOOKUP(INDIRECT(ADDRESS(ROW()+1,COLUMN(), 4)),Dex!$A$2:$C493,3,false),"")</f>
        <v/>
      </c>
      <c r="G362" s="22" t="str">
        <f t="array" ref="G362">iferror(VLOOKUP(INDIRECT(ADDRESS(ROW()+1,COLUMN(), 4)),Dex!$A$2:$C493,3,false),"")</f>
        <v/>
      </c>
      <c r="H362" s="23" t="str">
        <f t="array" ref="H362">iferror(VLOOKUP("TRAINER_PIC_Brendan",Sprites!$A$1:$B493,2,false),"")</f>
        <v/>
      </c>
      <c r="I362" s="24"/>
    </row>
    <row r="363">
      <c r="A363" s="25"/>
      <c r="B363" s="26" t="s">
        <v>1379</v>
      </c>
      <c r="C363" s="26" t="s">
        <v>1698</v>
      </c>
      <c r="D363" s="26" t="s">
        <v>1024</v>
      </c>
      <c r="E363" s="26"/>
      <c r="F363" s="26"/>
      <c r="G363" s="26"/>
      <c r="H363" s="27"/>
    </row>
    <row r="364">
      <c r="A364" s="10" t="s">
        <v>199</v>
      </c>
      <c r="B364" s="22">
        <v>77.0</v>
      </c>
      <c r="C364" s="22">
        <v>77.0</v>
      </c>
      <c r="D364" s="22">
        <v>78.0</v>
      </c>
      <c r="E364" s="22"/>
      <c r="F364" s="22"/>
      <c r="G364" s="22"/>
      <c r="H364" s="27"/>
    </row>
    <row r="365">
      <c r="A365" s="10" t="s">
        <v>201</v>
      </c>
      <c r="B365" s="29" t="s">
        <v>206</v>
      </c>
      <c r="C365" s="29" t="s">
        <v>2667</v>
      </c>
      <c r="D365" s="29" t="s">
        <v>2668</v>
      </c>
      <c r="E365" s="29"/>
      <c r="F365" s="29"/>
      <c r="G365" s="29"/>
      <c r="H365" s="27"/>
    </row>
    <row r="366">
      <c r="A366" s="10" t="s">
        <v>209</v>
      </c>
      <c r="B366" s="22" t="s">
        <v>1123</v>
      </c>
      <c r="C366" s="22" t="s">
        <v>2669</v>
      </c>
      <c r="D366" s="22" t="s">
        <v>2593</v>
      </c>
      <c r="E366" s="22"/>
      <c r="F366" s="22"/>
      <c r="G366" s="22"/>
      <c r="H366" s="27"/>
    </row>
    <row r="367">
      <c r="A367" s="10" t="s">
        <v>215</v>
      </c>
      <c r="B367" s="29" t="s">
        <v>2600</v>
      </c>
      <c r="C367" s="29" t="s">
        <v>231</v>
      </c>
      <c r="D367" s="29" t="s">
        <v>222</v>
      </c>
      <c r="E367" s="29"/>
      <c r="F367" s="29"/>
      <c r="G367" s="29"/>
      <c r="H367" s="27"/>
    </row>
    <row r="368">
      <c r="A368" s="15" t="s">
        <v>224</v>
      </c>
      <c r="B368" s="22" t="s">
        <v>1033</v>
      </c>
      <c r="C368" s="22" t="s">
        <v>2670</v>
      </c>
      <c r="D368" s="22" t="s">
        <v>469</v>
      </c>
      <c r="E368" s="22"/>
      <c r="F368" s="22"/>
      <c r="G368" s="22"/>
      <c r="H368" s="27"/>
    </row>
    <row r="369">
      <c r="A369" s="30"/>
      <c r="B369" s="22" t="s">
        <v>945</v>
      </c>
      <c r="C369" s="22" t="s">
        <v>2673</v>
      </c>
      <c r="D369" s="22" t="s">
        <v>589</v>
      </c>
      <c r="E369" s="22"/>
      <c r="F369" s="22"/>
      <c r="G369" s="22"/>
      <c r="H369" s="27"/>
    </row>
    <row r="370">
      <c r="A370" s="30"/>
      <c r="B370" s="22" t="s">
        <v>2111</v>
      </c>
      <c r="C370" s="22" t="s">
        <v>233</v>
      </c>
      <c r="D370" s="22" t="s">
        <v>580</v>
      </c>
      <c r="E370" s="22"/>
      <c r="F370" s="22"/>
      <c r="G370" s="22"/>
      <c r="H370" s="27"/>
    </row>
    <row r="371">
      <c r="A371" s="25"/>
      <c r="B371" s="22" t="s">
        <v>2773</v>
      </c>
      <c r="C371" s="22" t="s">
        <v>938</v>
      </c>
      <c r="D371" s="22" t="s">
        <v>2773</v>
      </c>
      <c r="E371" s="22"/>
      <c r="F371" s="22"/>
      <c r="G371" s="22"/>
      <c r="H371" s="31"/>
      <c r="I371" s="32"/>
    </row>
    <row r="372">
      <c r="A372" s="10" t="s">
        <v>5</v>
      </c>
      <c r="B372" s="11" t="s">
        <v>2926</v>
      </c>
      <c r="C372" s="9"/>
      <c r="D372" s="9"/>
      <c r="E372" s="9"/>
      <c r="F372" s="9"/>
      <c r="G372" s="9"/>
      <c r="H372" s="9"/>
      <c r="I372" s="13"/>
    </row>
    <row r="373" ht="60.0" customHeight="1">
      <c r="A373" s="15" t="s">
        <v>16</v>
      </c>
      <c r="B373" s="22" t="str">
        <f t="array" ref="B373">iferror(VLOOKUP(INDIRECT(ADDRESS(ROW()+1,COLUMN(), 4)),Dex!$A$2:$C493,3,false),"")</f>
        <v/>
      </c>
      <c r="C373" s="22" t="str">
        <f t="array" ref="C373">iferror(VLOOKUP(INDIRECT(ADDRESS(ROW()+1,COLUMN(), 4)),Dex!$A$2:$C493,3,false),"")</f>
        <v/>
      </c>
      <c r="D373" s="22" t="str">
        <f t="array" ref="D373">iferror(VLOOKUP(INDIRECT(ADDRESS(ROW()+1,COLUMN(), 4)),Dex!$A$2:$C493,3,false),"")</f>
        <v/>
      </c>
      <c r="E373" s="22" t="str">
        <f t="array" ref="E373">iferror(VLOOKUP(INDIRECT(ADDRESS(ROW()+1,COLUMN(), 4)),Dex!$A$2:$C493,3,false),"")</f>
        <v/>
      </c>
      <c r="F373" s="22" t="str">
        <f t="array" ref="F373">iferror(VLOOKUP(INDIRECT(ADDRESS(ROW()+1,COLUMN(), 4)),Dex!$A$2:$C493,3,false),"")</f>
        <v/>
      </c>
      <c r="G373" s="22" t="str">
        <f t="array" ref="G373">iferror(VLOOKUP(INDIRECT(ADDRESS(ROW()+1,COLUMN(), 4)),Dex!$A$2:$C493,3,false),"")</f>
        <v/>
      </c>
      <c r="H373" s="23" t="str">
        <f t="array" ref="H373">iferror(VLOOKUP("TRAINER_PIC_Cooltrainer_F",Sprites!$A$1:$B493,2,false),"")</f>
        <v/>
      </c>
      <c r="I373" s="24"/>
    </row>
    <row r="374">
      <c r="A374" s="25"/>
      <c r="B374" s="26" t="s">
        <v>1572</v>
      </c>
      <c r="C374" s="26" t="s">
        <v>318</v>
      </c>
      <c r="D374" s="26" t="s">
        <v>1484</v>
      </c>
      <c r="E374" s="26" t="s">
        <v>316</v>
      </c>
      <c r="F374" s="26" t="s">
        <v>2359</v>
      </c>
      <c r="G374" s="26"/>
      <c r="H374" s="27"/>
    </row>
    <row r="375">
      <c r="A375" s="10" t="s">
        <v>199</v>
      </c>
      <c r="B375" s="22">
        <v>75.0</v>
      </c>
      <c r="C375" s="22">
        <v>76.0</v>
      </c>
      <c r="D375" s="22">
        <v>76.0</v>
      </c>
      <c r="E375" s="22">
        <v>76.0</v>
      </c>
      <c r="F375" s="22">
        <v>77.0</v>
      </c>
      <c r="G375" s="22"/>
      <c r="H375" s="27"/>
    </row>
    <row r="376">
      <c r="A376" s="10" t="s">
        <v>201</v>
      </c>
      <c r="B376" s="29" t="s">
        <v>544</v>
      </c>
      <c r="C376" s="29" t="s">
        <v>203</v>
      </c>
      <c r="D376" s="29" t="s">
        <v>645</v>
      </c>
      <c r="E376" s="29" t="s">
        <v>1521</v>
      </c>
      <c r="F376" s="29" t="s">
        <v>455</v>
      </c>
      <c r="G376" s="29"/>
      <c r="H376" s="27"/>
    </row>
    <row r="377">
      <c r="A377" s="10" t="s">
        <v>209</v>
      </c>
      <c r="B377" s="22" t="s">
        <v>221</v>
      </c>
      <c r="C377" s="22" t="s">
        <v>2203</v>
      </c>
      <c r="D377" s="22" t="s">
        <v>1027</v>
      </c>
      <c r="E377" s="22" t="s">
        <v>2456</v>
      </c>
      <c r="F377" s="22" t="s">
        <v>2361</v>
      </c>
      <c r="G377" s="22"/>
      <c r="H377" s="27"/>
    </row>
    <row r="378">
      <c r="A378" s="10" t="s">
        <v>215</v>
      </c>
      <c r="B378" s="29" t="s">
        <v>564</v>
      </c>
      <c r="C378" s="29" t="s">
        <v>231</v>
      </c>
      <c r="D378" s="29" t="s">
        <v>222</v>
      </c>
      <c r="E378" s="29" t="s">
        <v>220</v>
      </c>
      <c r="F378" s="29" t="s">
        <v>220</v>
      </c>
      <c r="G378" s="29"/>
      <c r="H378" s="27"/>
    </row>
    <row r="379">
      <c r="A379" s="15" t="s">
        <v>224</v>
      </c>
      <c r="B379" s="22" t="s">
        <v>428</v>
      </c>
      <c r="C379" s="22" t="s">
        <v>2020</v>
      </c>
      <c r="D379" s="22" t="s">
        <v>1442</v>
      </c>
      <c r="E379" s="22" t="s">
        <v>2220</v>
      </c>
      <c r="F379" s="22" t="s">
        <v>1352</v>
      </c>
      <c r="G379" s="22"/>
      <c r="H379" s="27"/>
    </row>
    <row r="380">
      <c r="A380" s="30"/>
      <c r="B380" s="22" t="s">
        <v>570</v>
      </c>
      <c r="C380" s="22" t="s">
        <v>1453</v>
      </c>
      <c r="D380" s="22" t="s">
        <v>697</v>
      </c>
      <c r="E380" s="22" t="s">
        <v>477</v>
      </c>
      <c r="F380" s="22" t="s">
        <v>1035</v>
      </c>
      <c r="G380" s="22"/>
      <c r="H380" s="27"/>
    </row>
    <row r="381">
      <c r="A381" s="30"/>
      <c r="B381" s="22" t="s">
        <v>1934</v>
      </c>
      <c r="C381" s="22" t="s">
        <v>2022</v>
      </c>
      <c r="D381" s="22" t="s">
        <v>240</v>
      </c>
      <c r="E381" s="22" t="s">
        <v>702</v>
      </c>
      <c r="F381" s="22" t="s">
        <v>700</v>
      </c>
      <c r="G381" s="22"/>
      <c r="H381" s="27"/>
    </row>
    <row r="382">
      <c r="A382" s="25"/>
      <c r="B382" s="22" t="s">
        <v>424</v>
      </c>
      <c r="C382" s="22" t="s">
        <v>587</v>
      </c>
      <c r="D382" s="22" t="s">
        <v>920</v>
      </c>
      <c r="E382" s="22" t="s">
        <v>1366</v>
      </c>
      <c r="F382" s="22" t="s">
        <v>477</v>
      </c>
      <c r="G382" s="22"/>
      <c r="H382" s="31"/>
      <c r="I382" s="32"/>
    </row>
    <row r="383">
      <c r="A383" s="10" t="s">
        <v>5</v>
      </c>
      <c r="B383" s="11" t="s">
        <v>2949</v>
      </c>
      <c r="C383" s="9"/>
      <c r="D383" s="9"/>
      <c r="E383" s="9"/>
      <c r="F383" s="9"/>
      <c r="G383" s="9"/>
      <c r="H383" s="9"/>
      <c r="I383" s="14"/>
    </row>
    <row r="384" ht="60.0" customHeight="1">
      <c r="A384" s="15" t="s">
        <v>16</v>
      </c>
      <c r="B384" s="22" t="str">
        <f t="array" ref="B384">iferror(VLOOKUP(INDIRECT(ADDRESS(ROW()+1,COLUMN(), 4)),Dex!$A$2:$C493,3,false),"")</f>
        <v/>
      </c>
      <c r="C384" s="22" t="str">
        <f t="array" ref="C384">iferror(VLOOKUP(INDIRECT(ADDRESS(ROW()+1,COLUMN(), 4)),Dex!$A$2:$C493,3,false),"")</f>
        <v/>
      </c>
      <c r="D384" s="22" t="str">
        <f t="array" ref="D384">iferror(VLOOKUP(INDIRECT(ADDRESS(ROW()+1,COLUMN(), 4)),Dex!$A$2:$C493,3,false),"")</f>
        <v/>
      </c>
      <c r="E384" s="22" t="str">
        <f t="array" ref="E384">iferror(VLOOKUP(INDIRECT(ADDRESS(ROW()+1,COLUMN(), 4)),Dex!$A$2:$C493,3,false),"")</f>
        <v/>
      </c>
      <c r="F384" s="22" t="str">
        <f t="array" ref="F384">iferror(VLOOKUP(INDIRECT(ADDRESS(ROW()+1,COLUMN(), 4)),Dex!$A$2:$C493,3,false),"")</f>
        <v/>
      </c>
      <c r="G384" s="22" t="str">
        <f t="array" ref="G384">iferror(VLOOKUP(INDIRECT(ADDRESS(ROW()+1,COLUMN(), 4)),Dex!$A$2:$C493,3,false),"")</f>
        <v/>
      </c>
      <c r="H384" s="23" t="str">
        <f t="array" ref="H384">iferror(VLOOKUP("TRAINER_PIC_Ninja_Boy",Sprites!$A$1:$B493,2,false),"")</f>
        <v/>
      </c>
      <c r="I384" s="24"/>
    </row>
    <row r="385">
      <c r="A385" s="25"/>
      <c r="B385" s="26" t="s">
        <v>686</v>
      </c>
      <c r="C385" s="26" t="s">
        <v>168</v>
      </c>
      <c r="D385" s="26" t="s">
        <v>2236</v>
      </c>
      <c r="E385" s="26" t="s">
        <v>1073</v>
      </c>
      <c r="F385" s="26" t="s">
        <v>1847</v>
      </c>
      <c r="G385" s="26" t="s">
        <v>1571</v>
      </c>
      <c r="H385" s="27"/>
    </row>
    <row r="386">
      <c r="A386" s="10" t="s">
        <v>199</v>
      </c>
      <c r="B386" s="22">
        <v>76.0</v>
      </c>
      <c r="C386" s="22">
        <v>76.0</v>
      </c>
      <c r="D386" s="22">
        <v>77.0</v>
      </c>
      <c r="E386" s="22">
        <v>76.0</v>
      </c>
      <c r="F386" s="22">
        <v>76.0</v>
      </c>
      <c r="G386" s="22">
        <v>77.0</v>
      </c>
      <c r="H386" s="27"/>
    </row>
    <row r="387">
      <c r="A387" s="10" t="s">
        <v>201</v>
      </c>
      <c r="B387" s="29" t="s">
        <v>890</v>
      </c>
      <c r="C387" s="29" t="s">
        <v>2032</v>
      </c>
      <c r="D387" s="29" t="s">
        <v>1330</v>
      </c>
      <c r="E387" s="29" t="s">
        <v>1546</v>
      </c>
      <c r="F387" s="29" t="s">
        <v>408</v>
      </c>
      <c r="G387" s="29" t="s">
        <v>645</v>
      </c>
      <c r="H387" s="27"/>
    </row>
    <row r="388">
      <c r="A388" s="10" t="s">
        <v>209</v>
      </c>
      <c r="B388" s="22" t="s">
        <v>217</v>
      </c>
      <c r="C388" s="22" t="s">
        <v>554</v>
      </c>
      <c r="D388" s="22" t="s">
        <v>2959</v>
      </c>
      <c r="E388" s="22" t="s">
        <v>538</v>
      </c>
      <c r="F388" s="22" t="s">
        <v>1152</v>
      </c>
      <c r="G388" s="22" t="s">
        <v>2960</v>
      </c>
      <c r="H388" s="27"/>
    </row>
    <row r="389">
      <c r="A389" s="10" t="s">
        <v>215</v>
      </c>
      <c r="B389" s="29" t="s">
        <v>220</v>
      </c>
      <c r="C389" s="29" t="s">
        <v>222</v>
      </c>
      <c r="D389" s="29" t="s">
        <v>419</v>
      </c>
      <c r="E389" s="29" t="s">
        <v>222</v>
      </c>
      <c r="F389" s="29" t="s">
        <v>220</v>
      </c>
      <c r="G389" s="29" t="s">
        <v>222</v>
      </c>
      <c r="H389" s="27"/>
    </row>
    <row r="390">
      <c r="A390" s="15" t="s">
        <v>224</v>
      </c>
      <c r="B390" s="22" t="s">
        <v>587</v>
      </c>
      <c r="C390" s="22" t="s">
        <v>1891</v>
      </c>
      <c r="D390" s="22" t="s">
        <v>2394</v>
      </c>
      <c r="E390" s="22" t="s">
        <v>654</v>
      </c>
      <c r="F390" s="22" t="s">
        <v>587</v>
      </c>
      <c r="G390" s="22" t="s">
        <v>2397</v>
      </c>
      <c r="H390" s="27"/>
    </row>
    <row r="391">
      <c r="A391" s="30"/>
      <c r="B391" s="22" t="s">
        <v>567</v>
      </c>
      <c r="C391" s="22" t="s">
        <v>920</v>
      </c>
      <c r="D391" s="22" t="s">
        <v>815</v>
      </c>
      <c r="E391" s="22" t="s">
        <v>469</v>
      </c>
      <c r="F391" s="22" t="s">
        <v>946</v>
      </c>
      <c r="G391" s="22" t="s">
        <v>935</v>
      </c>
      <c r="H391" s="27"/>
    </row>
    <row r="392">
      <c r="A392" s="30"/>
      <c r="B392" s="22" t="s">
        <v>1350</v>
      </c>
      <c r="C392" s="22" t="s">
        <v>1955</v>
      </c>
      <c r="D392" s="22" t="s">
        <v>1891</v>
      </c>
      <c r="E392" s="22" t="s">
        <v>1955</v>
      </c>
      <c r="F392" s="22" t="s">
        <v>1352</v>
      </c>
      <c r="G392" s="22" t="s">
        <v>2963</v>
      </c>
      <c r="H392" s="27"/>
    </row>
    <row r="393">
      <c r="A393" s="25"/>
      <c r="B393" s="22" t="s">
        <v>1043</v>
      </c>
      <c r="C393" s="22" t="s">
        <v>241</v>
      </c>
      <c r="D393" s="22" t="s">
        <v>694</v>
      </c>
      <c r="E393" s="22" t="s">
        <v>1291</v>
      </c>
      <c r="F393" s="22" t="s">
        <v>1068</v>
      </c>
      <c r="G393" s="22" t="s">
        <v>2964</v>
      </c>
      <c r="H393" s="31"/>
      <c r="I393" s="32"/>
    </row>
    <row r="394">
      <c r="A394" s="10" t="s">
        <v>5</v>
      </c>
      <c r="B394" s="11" t="s">
        <v>2966</v>
      </c>
      <c r="C394" s="9"/>
      <c r="D394" s="9"/>
      <c r="E394" s="9"/>
      <c r="F394" s="9"/>
      <c r="G394" s="9"/>
      <c r="H394" s="9"/>
      <c r="I394" s="14"/>
    </row>
    <row r="395" ht="60.0" customHeight="1">
      <c r="A395" s="15" t="s">
        <v>16</v>
      </c>
      <c r="B395" s="22" t="str">
        <f t="array" ref="B395">iferror(VLOOKUP(INDIRECT(ADDRESS(ROW()+1,COLUMN(), 4)),Dex!$A$2:$C493,3,false),"")</f>
        <v/>
      </c>
      <c r="C395" s="22" t="str">
        <f t="array" ref="C395">iferror(VLOOKUP(INDIRECT(ADDRESS(ROW()+1,COLUMN(), 4)),Dex!$A$2:$C493,3,false),"")</f>
        <v/>
      </c>
      <c r="D395" s="22" t="str">
        <f t="array" ref="D395">iferror(VLOOKUP(INDIRECT(ADDRESS(ROW()+1,COLUMN(), 4)),Dex!$A$2:$C493,3,false),"")</f>
        <v/>
      </c>
      <c r="E395" s="22" t="str">
        <f t="array" ref="E395">iferror(VLOOKUP(INDIRECT(ADDRESS(ROW()+1,COLUMN(), 4)),Dex!$A$2:$C493,3,false),"")</f>
        <v/>
      </c>
      <c r="F395" s="22" t="str">
        <f t="array" ref="F395">iferror(VLOOKUP(INDIRECT(ADDRESS(ROW()+1,COLUMN(), 4)),Dex!$A$2:$C493,3,false),"")</f>
        <v/>
      </c>
      <c r="G395" s="22" t="str">
        <f t="array" ref="G395">iferror(VLOOKUP(INDIRECT(ADDRESS(ROW()+1,COLUMN(), 4)),Dex!$A$2:$C493,3,false),"")</f>
        <v/>
      </c>
      <c r="H395" s="23" t="str">
        <f t="array" ref="H395">iferror(VLOOKUP("TRAINER_PIC_Ninja_Boy",Sprites!$A$1:$B493,2,false),"")</f>
        <v/>
      </c>
      <c r="I395" s="24"/>
    </row>
    <row r="396">
      <c r="A396" s="25"/>
      <c r="B396" s="26" t="s">
        <v>1490</v>
      </c>
      <c r="C396" s="26" t="s">
        <v>2978</v>
      </c>
      <c r="D396" s="26" t="s">
        <v>532</v>
      </c>
      <c r="E396" s="26" t="s">
        <v>1836</v>
      </c>
      <c r="F396" s="26" t="s">
        <v>2441</v>
      </c>
      <c r="G396" s="26" t="s">
        <v>1648</v>
      </c>
      <c r="H396" s="27"/>
    </row>
    <row r="397">
      <c r="A397" s="10" t="s">
        <v>199</v>
      </c>
      <c r="B397" s="22">
        <v>75.0</v>
      </c>
      <c r="C397" s="22" t="s">
        <v>2979</v>
      </c>
      <c r="D397" s="22">
        <v>76.0</v>
      </c>
      <c r="E397" s="22">
        <v>76.0</v>
      </c>
      <c r="F397" s="22">
        <v>76.0</v>
      </c>
      <c r="G397" s="22">
        <v>77.0</v>
      </c>
      <c r="H397" s="27"/>
    </row>
    <row r="398">
      <c r="A398" s="10" t="s">
        <v>201</v>
      </c>
      <c r="B398" s="29" t="s">
        <v>408</v>
      </c>
      <c r="C398" s="29" t="s">
        <v>1023</v>
      </c>
      <c r="D398" s="29" t="s">
        <v>206</v>
      </c>
      <c r="E398" s="29" t="s">
        <v>455</v>
      </c>
      <c r="F398" s="29" t="s">
        <v>2980</v>
      </c>
      <c r="G398" s="29" t="s">
        <v>205</v>
      </c>
      <c r="H398" s="27"/>
    </row>
    <row r="399">
      <c r="A399" s="10" t="s">
        <v>209</v>
      </c>
      <c r="B399" s="22" t="s">
        <v>221</v>
      </c>
      <c r="C399" s="22" t="s">
        <v>2361</v>
      </c>
      <c r="D399" s="22" t="s">
        <v>1283</v>
      </c>
      <c r="E399" s="22" t="s">
        <v>1840</v>
      </c>
      <c r="F399" s="22" t="s">
        <v>2361</v>
      </c>
      <c r="G399" s="22" t="s">
        <v>1864</v>
      </c>
      <c r="H399" s="27"/>
    </row>
    <row r="400">
      <c r="A400" s="10" t="s">
        <v>215</v>
      </c>
      <c r="B400" s="29" t="s">
        <v>1343</v>
      </c>
      <c r="C400" s="29" t="s">
        <v>685</v>
      </c>
      <c r="D400" s="29" t="s">
        <v>685</v>
      </c>
      <c r="E400" s="29" t="s">
        <v>685</v>
      </c>
      <c r="F400" s="29" t="s">
        <v>461</v>
      </c>
      <c r="G400" s="29" t="s">
        <v>461</v>
      </c>
      <c r="H400" s="27"/>
    </row>
    <row r="401">
      <c r="A401" s="15" t="s">
        <v>224</v>
      </c>
      <c r="B401" s="22" t="s">
        <v>581</v>
      </c>
      <c r="C401" s="22" t="s">
        <v>2618</v>
      </c>
      <c r="D401" s="22" t="s">
        <v>578</v>
      </c>
      <c r="E401" s="22" t="s">
        <v>697</v>
      </c>
      <c r="F401" s="22" t="s">
        <v>2976</v>
      </c>
      <c r="G401" s="22" t="s">
        <v>1125</v>
      </c>
      <c r="H401" s="27"/>
    </row>
    <row r="402">
      <c r="A402" s="30"/>
      <c r="B402" s="22" t="s">
        <v>689</v>
      </c>
      <c r="C402" s="22" t="s">
        <v>253</v>
      </c>
      <c r="D402" s="22" t="s">
        <v>814</v>
      </c>
      <c r="E402" s="22" t="s">
        <v>920</v>
      </c>
      <c r="F402" s="22" t="s">
        <v>363</v>
      </c>
      <c r="G402" s="22" t="s">
        <v>356</v>
      </c>
      <c r="H402" s="27"/>
    </row>
    <row r="403">
      <c r="A403" s="30"/>
      <c r="B403" s="22" t="s">
        <v>1037</v>
      </c>
      <c r="C403" s="22" t="s">
        <v>238</v>
      </c>
      <c r="D403" s="22" t="s">
        <v>1224</v>
      </c>
      <c r="E403" s="22" t="s">
        <v>585</v>
      </c>
      <c r="F403" s="22" t="s">
        <v>700</v>
      </c>
      <c r="G403" s="22" t="s">
        <v>946</v>
      </c>
      <c r="H403" s="27"/>
    </row>
    <row r="404">
      <c r="A404" s="25"/>
      <c r="B404" s="22" t="s">
        <v>1040</v>
      </c>
      <c r="C404" s="22" t="s">
        <v>689</v>
      </c>
      <c r="D404" s="22" t="s">
        <v>367</v>
      </c>
      <c r="E404" s="22" t="s">
        <v>689</v>
      </c>
      <c r="F404" s="22" t="s">
        <v>917</v>
      </c>
      <c r="G404" s="22" t="s">
        <v>234</v>
      </c>
      <c r="H404" s="31"/>
      <c r="I404" s="32"/>
    </row>
    <row r="405">
      <c r="A405" s="8" t="s">
        <v>2981</v>
      </c>
      <c r="B405" s="9"/>
      <c r="C405" s="9"/>
      <c r="D405" s="9"/>
      <c r="E405" s="9"/>
      <c r="F405" s="9"/>
      <c r="G405" s="9"/>
      <c r="H405" s="9"/>
      <c r="I405" s="34"/>
    </row>
    <row r="406">
      <c r="A406" s="10" t="s">
        <v>5</v>
      </c>
      <c r="B406" s="11" t="s">
        <v>2982</v>
      </c>
      <c r="C406" s="9"/>
      <c r="D406" s="9"/>
      <c r="E406" s="9"/>
      <c r="F406" s="9"/>
      <c r="G406" s="9"/>
      <c r="H406" s="9"/>
      <c r="I406" s="14"/>
    </row>
    <row r="407" ht="60.0" customHeight="1">
      <c r="A407" s="15" t="s">
        <v>16</v>
      </c>
      <c r="B407" s="22" t="str">
        <f t="array" ref="B407">iferror(VLOOKUP(INDIRECT(ADDRESS(ROW()+1,COLUMN(), 4)),Dex!$A$2:$C493,3,false),"")</f>
        <v/>
      </c>
      <c r="C407" s="22" t="str">
        <f t="array" ref="C407">iferror(VLOOKUP(INDIRECT(ADDRESS(ROW()+1,COLUMN(), 4)),Dex!$A$2:$C493,3,false),"")</f>
        <v/>
      </c>
      <c r="D407" s="22" t="str">
        <f t="array" ref="D407">iferror(VLOOKUP(INDIRECT(ADDRESS(ROW()+1,COLUMN(), 4)),Dex!$A$2:$C493,3,false),"")</f>
        <v/>
      </c>
      <c r="E407" s="22" t="str">
        <f t="array" ref="E407">iferror(VLOOKUP(INDIRECT(ADDRESS(ROW()+1,COLUMN(), 4)),Dex!$A$2:$C493,3,false),"")</f>
        <v/>
      </c>
      <c r="F407" s="22" t="str">
        <f t="array" ref="F407">iferror(VLOOKUP(INDIRECT(ADDRESS(ROW()+1,COLUMN(), 4)),Dex!$A$2:$C493,3,false),"")</f>
        <v/>
      </c>
      <c r="G407" s="22" t="str">
        <f t="array" ref="G407">iferror(VLOOKUP(INDIRECT(ADDRESS(ROW()+1,COLUMN(), 4)),Dex!$A$2:$C493,3,false),"")</f>
        <v/>
      </c>
      <c r="H407" s="23" t="str">
        <f t="array" ref="H407">iferror(VLOOKUP("TRAINER_PIC_Bird_Keeper",Sprites!$A$1:$B493,2,false),"")</f>
        <v/>
      </c>
      <c r="I407" s="24"/>
    </row>
    <row r="408">
      <c r="A408" s="25"/>
      <c r="B408" s="26" t="s">
        <v>1558</v>
      </c>
      <c r="C408" s="26" t="s">
        <v>1046</v>
      </c>
      <c r="D408" s="26" t="s">
        <v>1113</v>
      </c>
      <c r="E408" s="26" t="s">
        <v>1081</v>
      </c>
      <c r="F408" s="26" t="s">
        <v>872</v>
      </c>
      <c r="G408" s="26"/>
      <c r="H408" s="27"/>
    </row>
    <row r="409">
      <c r="A409" s="10" t="s">
        <v>199</v>
      </c>
      <c r="B409" s="22">
        <v>76.0</v>
      </c>
      <c r="C409" s="22">
        <v>77.0</v>
      </c>
      <c r="D409" s="22">
        <v>76.0</v>
      </c>
      <c r="E409" s="22">
        <v>76.0</v>
      </c>
      <c r="F409" s="22">
        <v>76.0</v>
      </c>
      <c r="G409" s="22"/>
      <c r="H409" s="27"/>
    </row>
    <row r="410">
      <c r="A410" s="10" t="s">
        <v>201</v>
      </c>
      <c r="B410" s="29" t="s">
        <v>2995</v>
      </c>
      <c r="C410" s="29" t="s">
        <v>206</v>
      </c>
      <c r="D410" s="29" t="s">
        <v>2996</v>
      </c>
      <c r="E410" s="29" t="s">
        <v>346</v>
      </c>
      <c r="F410" s="29" t="s">
        <v>1455</v>
      </c>
      <c r="G410" s="29"/>
      <c r="H410" s="27"/>
    </row>
    <row r="411">
      <c r="A411" s="10" t="s">
        <v>209</v>
      </c>
      <c r="B411" s="22" t="s">
        <v>1123</v>
      </c>
      <c r="C411" s="22" t="s">
        <v>2997</v>
      </c>
      <c r="D411" s="22" t="s">
        <v>1642</v>
      </c>
      <c r="E411" s="22" t="s">
        <v>2325</v>
      </c>
      <c r="F411" s="22" t="s">
        <v>1216</v>
      </c>
      <c r="G411" s="22"/>
      <c r="H411" s="27"/>
    </row>
    <row r="412">
      <c r="A412" s="10" t="s">
        <v>215</v>
      </c>
      <c r="B412" s="29" t="s">
        <v>220</v>
      </c>
      <c r="C412" s="29" t="s">
        <v>220</v>
      </c>
      <c r="D412" s="29" t="s">
        <v>218</v>
      </c>
      <c r="E412" s="29" t="s">
        <v>419</v>
      </c>
      <c r="F412" s="29" t="s">
        <v>231</v>
      </c>
      <c r="G412" s="29"/>
      <c r="H412" s="27"/>
    </row>
    <row r="413">
      <c r="A413" s="15" t="s">
        <v>224</v>
      </c>
      <c r="B413" s="22" t="s">
        <v>2491</v>
      </c>
      <c r="C413" s="22" t="s">
        <v>549</v>
      </c>
      <c r="D413" s="22" t="s">
        <v>2578</v>
      </c>
      <c r="E413" s="22" t="s">
        <v>360</v>
      </c>
      <c r="F413" s="22" t="s">
        <v>2566</v>
      </c>
      <c r="G413" s="22"/>
      <c r="H413" s="27"/>
    </row>
    <row r="414">
      <c r="A414" s="30"/>
      <c r="B414" s="22" t="s">
        <v>2999</v>
      </c>
      <c r="C414" s="22" t="s">
        <v>2491</v>
      </c>
      <c r="D414" s="22" t="s">
        <v>3000</v>
      </c>
      <c r="E414" s="22" t="s">
        <v>232</v>
      </c>
      <c r="F414" s="22" t="s">
        <v>1844</v>
      </c>
      <c r="G414" s="22"/>
      <c r="H414" s="27"/>
    </row>
    <row r="415">
      <c r="A415" s="30"/>
      <c r="B415" s="22" t="s">
        <v>698</v>
      </c>
      <c r="C415" s="22" t="s">
        <v>2327</v>
      </c>
      <c r="D415" s="22" t="s">
        <v>357</v>
      </c>
      <c r="E415" s="22" t="s">
        <v>1664</v>
      </c>
      <c r="F415" s="22" t="s">
        <v>1366</v>
      </c>
      <c r="G415" s="22"/>
      <c r="H415" s="27"/>
    </row>
    <row r="416">
      <c r="A416" s="25"/>
      <c r="B416" s="22" t="s">
        <v>363</v>
      </c>
      <c r="C416" s="22" t="s">
        <v>243</v>
      </c>
      <c r="D416" s="22" t="s">
        <v>1541</v>
      </c>
      <c r="E416" s="22" t="s">
        <v>2514</v>
      </c>
      <c r="F416" s="22" t="s">
        <v>565</v>
      </c>
      <c r="G416" s="22"/>
      <c r="H416" s="31"/>
      <c r="I416" s="32"/>
    </row>
    <row r="417">
      <c r="A417" s="10" t="s">
        <v>5</v>
      </c>
      <c r="B417" s="11" t="s">
        <v>3001</v>
      </c>
      <c r="C417" s="9"/>
      <c r="D417" s="9"/>
      <c r="E417" s="9"/>
      <c r="F417" s="9"/>
      <c r="G417" s="9"/>
      <c r="H417" s="9"/>
      <c r="I417" s="14"/>
    </row>
    <row r="418" ht="60.0" customHeight="1">
      <c r="A418" s="15" t="s">
        <v>16</v>
      </c>
      <c r="B418" s="22" t="str">
        <f t="array" ref="B418">iferror(VLOOKUP(INDIRECT(ADDRESS(ROW()+1,COLUMN(), 4)),Dex!$A$2:$C493,3,false),"")</f>
        <v/>
      </c>
      <c r="C418" s="22" t="str">
        <f t="array" ref="C418">iferror(VLOOKUP(INDIRECT(ADDRESS(ROW()+1,COLUMN(), 4)),Dex!$A$2:$C493,3,false),"")</f>
        <v/>
      </c>
      <c r="D418" s="22" t="str">
        <f t="array" ref="D418">iferror(VLOOKUP(INDIRECT(ADDRESS(ROW()+1,COLUMN(), 4)),Dex!$A$2:$C493,3,false),"")</f>
        <v/>
      </c>
      <c r="E418" s="22" t="str">
        <f t="array" ref="E418">iferror(VLOOKUP(INDIRECT(ADDRESS(ROW()+1,COLUMN(), 4)),Dex!$A$2:$C493,3,false),"")</f>
        <v/>
      </c>
      <c r="F418" s="22" t="str">
        <f t="array" ref="F418">iferror(VLOOKUP(INDIRECT(ADDRESS(ROW()+1,COLUMN(), 4)),Dex!$A$2:$C493,3,false),"")</f>
        <v/>
      </c>
      <c r="G418" s="22" t="str">
        <f t="array" ref="G418">iferror(VLOOKUP(INDIRECT(ADDRESS(ROW()+1,COLUMN(), 4)),Dex!$A$2:$C493,3,false),"")</f>
        <v/>
      </c>
      <c r="H418" s="23" t="str">
        <f t="array" ref="H418">iferror(VLOOKUP("TRAINER_PIC_Camper",Sprites!$A$1:$B493,2,false),"")</f>
        <v/>
      </c>
      <c r="I418" s="24"/>
    </row>
    <row r="419">
      <c r="A419" s="25"/>
      <c r="B419" s="26" t="s">
        <v>716</v>
      </c>
      <c r="C419" s="26" t="s">
        <v>2075</v>
      </c>
      <c r="D419" s="26" t="s">
        <v>1722</v>
      </c>
      <c r="E419" s="26" t="s">
        <v>2063</v>
      </c>
      <c r="F419" s="26" t="s">
        <v>2151</v>
      </c>
      <c r="G419" s="26" t="s">
        <v>2145</v>
      </c>
      <c r="H419" s="27"/>
    </row>
    <row r="420">
      <c r="A420" s="10" t="s">
        <v>199</v>
      </c>
      <c r="B420" s="22">
        <v>77.0</v>
      </c>
      <c r="C420" s="22">
        <v>76.0</v>
      </c>
      <c r="D420" s="22">
        <v>76.0</v>
      </c>
      <c r="E420" s="22">
        <v>77.0</v>
      </c>
      <c r="F420" s="22">
        <v>76.0</v>
      </c>
      <c r="G420" s="22">
        <v>76.0</v>
      </c>
      <c r="H420" s="27"/>
    </row>
    <row r="421">
      <c r="A421" s="10" t="s">
        <v>201</v>
      </c>
      <c r="B421" s="29" t="s">
        <v>455</v>
      </c>
      <c r="C421" s="29" t="s">
        <v>2493</v>
      </c>
      <c r="D421" s="29" t="s">
        <v>3007</v>
      </c>
      <c r="E421" s="29" t="s">
        <v>2032</v>
      </c>
      <c r="F421" s="29" t="s">
        <v>408</v>
      </c>
      <c r="G421" s="29" t="s">
        <v>3008</v>
      </c>
      <c r="H421" s="27"/>
    </row>
    <row r="422">
      <c r="A422" s="10" t="s">
        <v>209</v>
      </c>
      <c r="B422" s="22" t="s">
        <v>2554</v>
      </c>
      <c r="C422" s="22" t="s">
        <v>2554</v>
      </c>
      <c r="D422" s="22" t="s">
        <v>2554</v>
      </c>
      <c r="E422" s="22" t="s">
        <v>2385</v>
      </c>
      <c r="F422" s="22" t="s">
        <v>2542</v>
      </c>
      <c r="G422" s="22" t="s">
        <v>413</v>
      </c>
      <c r="H422" s="27"/>
    </row>
    <row r="423">
      <c r="A423" s="10" t="s">
        <v>215</v>
      </c>
      <c r="B423" s="29" t="s">
        <v>220</v>
      </c>
      <c r="C423" s="29" t="s">
        <v>231</v>
      </c>
      <c r="D423" s="29" t="s">
        <v>461</v>
      </c>
      <c r="E423" s="29" t="s">
        <v>419</v>
      </c>
      <c r="F423" s="29" t="s">
        <v>231</v>
      </c>
      <c r="G423" s="29" t="s">
        <v>419</v>
      </c>
      <c r="H423" s="27"/>
    </row>
    <row r="424">
      <c r="A424" s="15" t="s">
        <v>224</v>
      </c>
      <c r="B424" s="22" t="s">
        <v>241</v>
      </c>
      <c r="C424" s="22" t="s">
        <v>1848</v>
      </c>
      <c r="D424" s="22" t="s">
        <v>1873</v>
      </c>
      <c r="E424" s="22" t="s">
        <v>938</v>
      </c>
      <c r="F424" s="22" t="s">
        <v>1352</v>
      </c>
      <c r="G424" s="22" t="s">
        <v>355</v>
      </c>
      <c r="H424" s="27"/>
    </row>
    <row r="425">
      <c r="A425" s="30"/>
      <c r="B425" s="22" t="s">
        <v>1791</v>
      </c>
      <c r="C425" s="22" t="s">
        <v>1752</v>
      </c>
      <c r="D425" s="22" t="s">
        <v>2538</v>
      </c>
      <c r="E425" s="22" t="s">
        <v>238</v>
      </c>
      <c r="F425" s="22" t="s">
        <v>2491</v>
      </c>
      <c r="G425" s="22" t="s">
        <v>2320</v>
      </c>
      <c r="H425" s="27"/>
    </row>
    <row r="426">
      <c r="A426" s="30"/>
      <c r="B426" s="22" t="s">
        <v>366</v>
      </c>
      <c r="C426" s="22" t="s">
        <v>1999</v>
      </c>
      <c r="D426" s="22" t="s">
        <v>356</v>
      </c>
      <c r="E426" s="22" t="s">
        <v>232</v>
      </c>
      <c r="F426" s="22" t="s">
        <v>938</v>
      </c>
      <c r="G426" s="22" t="s">
        <v>357</v>
      </c>
      <c r="H426" s="27"/>
    </row>
    <row r="427">
      <c r="A427" s="25"/>
      <c r="B427" s="22" t="s">
        <v>254</v>
      </c>
      <c r="C427" s="22" t="s">
        <v>254</v>
      </c>
      <c r="D427" s="22" t="s">
        <v>2555</v>
      </c>
      <c r="E427" s="22" t="s">
        <v>2310</v>
      </c>
      <c r="F427" s="22" t="s">
        <v>1043</v>
      </c>
      <c r="G427" s="22" t="s">
        <v>952</v>
      </c>
      <c r="H427" s="31"/>
      <c r="I427" s="32"/>
    </row>
    <row r="428">
      <c r="A428" s="10" t="s">
        <v>5</v>
      </c>
      <c r="B428" s="11" t="s">
        <v>3014</v>
      </c>
      <c r="C428" s="9"/>
      <c r="D428" s="9"/>
      <c r="E428" s="9"/>
      <c r="F428" s="9"/>
      <c r="G428" s="9"/>
      <c r="H428" s="9"/>
      <c r="I428" s="13"/>
    </row>
    <row r="429" ht="60.0" customHeight="1">
      <c r="A429" s="15" t="s">
        <v>16</v>
      </c>
      <c r="B429" s="55" t="str">
        <f t="array" ref="B429">iferror(VLOOKUP(INDIRECT(ADDRESS(ROW()+1,COLUMN(), 4)),Dex!$A$2:$C493,3,false),"")</f>
        <v/>
      </c>
      <c r="C429" s="22" t="str">
        <f t="array" ref="C429">iferror(VLOOKUP(INDIRECT(ADDRESS(ROW()+1,COLUMN(), 4)),Dex!$A$2:$C493,3,false),"")</f>
        <v/>
      </c>
      <c r="D429" s="22" t="str">
        <f t="array" ref="D429">iferror(VLOOKUP(INDIRECT(ADDRESS(ROW()+1,COLUMN(), 4)),Dex!$A$2:$C493,3,false),"")</f>
        <v/>
      </c>
      <c r="E429" s="22" t="str">
        <f t="array" ref="E429">iferror(VLOOKUP(INDIRECT(ADDRESS(ROW()+1,COLUMN(), 4)),Dex!$A$2:$C493,3,false),"")</f>
        <v/>
      </c>
      <c r="F429" s="22" t="str">
        <f t="array" ref="F429">iferror(VLOOKUP(INDIRECT(ADDRESS(ROW()+1,COLUMN(), 4)),Dex!$A$2:$C493,3,false),"")</f>
        <v/>
      </c>
      <c r="G429" s="22" t="str">
        <f t="array" ref="G429">iferror(VLOOKUP(INDIRECT(ADDRESS(ROW()+1,COLUMN(), 4)),Dex!$A$2:$C493,3,false),"")</f>
        <v/>
      </c>
      <c r="H429" s="23" t="str">
        <f t="array" ref="H429">iferror(VLOOKUP("TRAINER_PIC_Bird_Keeper",Sprites!$A$1:$B493,2,false),"")</f>
        <v/>
      </c>
      <c r="I429" s="24"/>
    </row>
    <row r="430">
      <c r="A430" s="25"/>
      <c r="B430" s="26" t="s">
        <v>522</v>
      </c>
      <c r="C430" s="26" t="s">
        <v>962</v>
      </c>
      <c r="D430" s="26" t="s">
        <v>340</v>
      </c>
      <c r="E430" s="26" t="s">
        <v>1612</v>
      </c>
      <c r="F430" s="26" t="s">
        <v>475</v>
      </c>
      <c r="G430" s="26"/>
      <c r="H430" s="27"/>
    </row>
    <row r="431">
      <c r="A431" s="10" t="s">
        <v>199</v>
      </c>
      <c r="B431" s="22">
        <v>76.0</v>
      </c>
      <c r="C431" s="22">
        <v>77.0</v>
      </c>
      <c r="D431" s="22">
        <v>77.0</v>
      </c>
      <c r="E431" s="22">
        <v>76.0</v>
      </c>
      <c r="F431" s="22">
        <v>77.0</v>
      </c>
      <c r="G431" s="22"/>
      <c r="H431" s="27"/>
    </row>
    <row r="432">
      <c r="A432" s="10" t="s">
        <v>201</v>
      </c>
      <c r="B432" s="29" t="s">
        <v>1446</v>
      </c>
      <c r="C432" s="29" t="s">
        <v>3020</v>
      </c>
      <c r="D432" s="29" t="s">
        <v>1521</v>
      </c>
      <c r="E432" s="29" t="s">
        <v>2032</v>
      </c>
      <c r="F432" s="29" t="s">
        <v>205</v>
      </c>
      <c r="G432" s="29"/>
      <c r="H432" s="27"/>
    </row>
    <row r="433">
      <c r="A433" s="10" t="s">
        <v>209</v>
      </c>
      <c r="B433" s="22" t="s">
        <v>1840</v>
      </c>
      <c r="C433" s="22" t="s">
        <v>2997</v>
      </c>
      <c r="D433" s="22" t="s">
        <v>681</v>
      </c>
      <c r="E433" s="22" t="s">
        <v>413</v>
      </c>
      <c r="F433" s="22" t="s">
        <v>2901</v>
      </c>
      <c r="G433" s="22"/>
      <c r="H433" s="27"/>
    </row>
    <row r="434">
      <c r="A434" s="10" t="s">
        <v>215</v>
      </c>
      <c r="B434" s="29" t="s">
        <v>419</v>
      </c>
      <c r="C434" s="29" t="s">
        <v>220</v>
      </c>
      <c r="D434" s="29" t="s">
        <v>231</v>
      </c>
      <c r="E434" s="29" t="s">
        <v>222</v>
      </c>
      <c r="F434" s="29" t="s">
        <v>906</v>
      </c>
      <c r="G434" s="29"/>
      <c r="H434" s="27"/>
    </row>
    <row r="435">
      <c r="A435" s="15" t="s">
        <v>224</v>
      </c>
      <c r="B435" s="22" t="s">
        <v>1458</v>
      </c>
      <c r="C435" s="22" t="s">
        <v>1352</v>
      </c>
      <c r="D435" s="22" t="s">
        <v>3021</v>
      </c>
      <c r="E435" s="22" t="s">
        <v>1048</v>
      </c>
      <c r="F435" s="22" t="s">
        <v>2936</v>
      </c>
      <c r="G435" s="22"/>
      <c r="H435" s="27"/>
    </row>
    <row r="436">
      <c r="A436" s="30"/>
      <c r="B436" s="22" t="s">
        <v>2862</v>
      </c>
      <c r="C436" s="22" t="s">
        <v>1454</v>
      </c>
      <c r="D436" s="22" t="s">
        <v>561</v>
      </c>
      <c r="E436" s="22" t="s">
        <v>238</v>
      </c>
      <c r="F436" s="22" t="s">
        <v>232</v>
      </c>
      <c r="G436" s="22"/>
      <c r="H436" s="27"/>
    </row>
    <row r="437">
      <c r="A437" s="30"/>
      <c r="B437" s="22" t="s">
        <v>232</v>
      </c>
      <c r="C437" s="22" t="s">
        <v>938</v>
      </c>
      <c r="D437" s="22" t="s">
        <v>695</v>
      </c>
      <c r="E437" s="22" t="s">
        <v>360</v>
      </c>
      <c r="F437" s="22" t="s">
        <v>236</v>
      </c>
      <c r="G437" s="22"/>
      <c r="H437" s="27"/>
    </row>
    <row r="438">
      <c r="A438" s="25"/>
      <c r="B438" s="22" t="s">
        <v>938</v>
      </c>
      <c r="C438" s="22" t="s">
        <v>1844</v>
      </c>
      <c r="D438" s="22" t="s">
        <v>2450</v>
      </c>
      <c r="E438" s="22" t="s">
        <v>232</v>
      </c>
      <c r="F438" s="22" t="s">
        <v>1354</v>
      </c>
      <c r="G438" s="22"/>
      <c r="H438" s="31"/>
      <c r="I438" s="32"/>
    </row>
    <row r="439">
      <c r="A439" s="10" t="s">
        <v>5</v>
      </c>
      <c r="B439" s="11" t="s">
        <v>3022</v>
      </c>
      <c r="C439" s="9"/>
      <c r="D439" s="9"/>
      <c r="E439" s="9"/>
      <c r="F439" s="9"/>
      <c r="G439" s="9"/>
      <c r="H439" s="9"/>
      <c r="I439" s="14"/>
    </row>
    <row r="440" ht="60.0" customHeight="1">
      <c r="A440" s="15" t="s">
        <v>16</v>
      </c>
      <c r="B440" s="22" t="str">
        <f t="array" ref="B440">iferror(VLOOKUP(INDIRECT(ADDRESS(ROW()+1,COLUMN(), 4)),Dex!$A$2:$C493,3,false),"")</f>
        <v/>
      </c>
      <c r="C440" s="22" t="str">
        <f t="array" ref="C440">iferror(VLOOKUP(INDIRECT(ADDRESS(ROW()+1,COLUMN(), 4)),Dex!$A$2:$C493,3,false),"")</f>
        <v/>
      </c>
      <c r="D440" s="22" t="str">
        <f t="array" ref="D440">iferror(VLOOKUP(INDIRECT(ADDRESS(ROW()+1,COLUMN(), 4)),Dex!$A$2:$C493,3,false),"")</f>
        <v/>
      </c>
      <c r="E440" s="22" t="str">
        <f t="array" ref="E440">iferror(VLOOKUP(INDIRECT(ADDRESS(ROW()+1,COLUMN(), 4)),Dex!$A$2:$C493,3,false),"")</f>
        <v/>
      </c>
      <c r="F440" s="22" t="str">
        <f t="array" ref="F440">iferror(VLOOKUP(INDIRECT(ADDRESS(ROW()+1,COLUMN(), 4)),Dex!$A$2:$C493,3,false),"")</f>
        <v/>
      </c>
      <c r="G440" s="22" t="str">
        <f t="array" ref="G440">iferror(VLOOKUP(INDIRECT(ADDRESS(ROW()+1,COLUMN(), 4)),Dex!$A$2:$C493,3,false),"")</f>
        <v/>
      </c>
      <c r="H440" s="23" t="str">
        <f t="array" ref="H440">iferror(VLOOKUP("TRAINER_PIC_Pokemon_Ranger_M",Sprites!$A$1:$B493,2,false),"")</f>
        <v/>
      </c>
      <c r="I440" s="24"/>
    </row>
    <row r="441">
      <c r="A441" s="25"/>
      <c r="B441" s="26" t="s">
        <v>609</v>
      </c>
      <c r="C441" s="26" t="s">
        <v>1382</v>
      </c>
      <c r="D441" s="26" t="s">
        <v>513</v>
      </c>
      <c r="E441" s="26" t="s">
        <v>2272</v>
      </c>
      <c r="F441" s="26" t="s">
        <v>466</v>
      </c>
      <c r="G441" s="26"/>
      <c r="H441" s="27"/>
    </row>
    <row r="442">
      <c r="A442" s="10" t="s">
        <v>199</v>
      </c>
      <c r="B442" s="22">
        <v>76.0</v>
      </c>
      <c r="C442" s="22">
        <v>77.0</v>
      </c>
      <c r="D442" s="22">
        <v>77.0</v>
      </c>
      <c r="E442" s="22">
        <v>76.0</v>
      </c>
      <c r="F442" s="22">
        <v>77.0</v>
      </c>
      <c r="G442" s="22"/>
      <c r="H442" s="27"/>
    </row>
    <row r="443">
      <c r="A443" s="10" t="s">
        <v>201</v>
      </c>
      <c r="B443" s="29" t="s">
        <v>409</v>
      </c>
      <c r="C443" s="29" t="s">
        <v>3036</v>
      </c>
      <c r="D443" s="29" t="s">
        <v>1635</v>
      </c>
      <c r="E443" s="29" t="s">
        <v>2099</v>
      </c>
      <c r="F443" s="29" t="s">
        <v>1147</v>
      </c>
      <c r="G443" s="29"/>
      <c r="H443" s="27"/>
    </row>
    <row r="444">
      <c r="A444" s="10" t="s">
        <v>209</v>
      </c>
      <c r="B444" s="22" t="s">
        <v>541</v>
      </c>
      <c r="C444" s="22" t="s">
        <v>2437</v>
      </c>
      <c r="D444" s="22" t="s">
        <v>911</v>
      </c>
      <c r="E444" s="22" t="s">
        <v>541</v>
      </c>
      <c r="F444" s="22" t="s">
        <v>785</v>
      </c>
      <c r="G444" s="22"/>
      <c r="H444" s="27"/>
    </row>
    <row r="445">
      <c r="A445" s="10" t="s">
        <v>215</v>
      </c>
      <c r="B445" s="29" t="s">
        <v>220</v>
      </c>
      <c r="C445" s="29" t="s">
        <v>220</v>
      </c>
      <c r="D445" s="29" t="s">
        <v>419</v>
      </c>
      <c r="E445" s="29" t="s">
        <v>231</v>
      </c>
      <c r="F445" s="29" t="s">
        <v>231</v>
      </c>
      <c r="G445" s="29"/>
      <c r="H445" s="27"/>
    </row>
    <row r="446">
      <c r="A446" s="15" t="s">
        <v>224</v>
      </c>
      <c r="B446" s="22" t="s">
        <v>1029</v>
      </c>
      <c r="C446" s="22" t="s">
        <v>2469</v>
      </c>
      <c r="D446" s="22" t="s">
        <v>552</v>
      </c>
      <c r="E446" s="22" t="s">
        <v>1454</v>
      </c>
      <c r="F446" s="22" t="s">
        <v>1069</v>
      </c>
      <c r="G446" s="22"/>
      <c r="H446" s="27"/>
    </row>
    <row r="447">
      <c r="A447" s="30"/>
      <c r="B447" s="22" t="s">
        <v>930</v>
      </c>
      <c r="C447" s="22" t="s">
        <v>1752</v>
      </c>
      <c r="D447" s="22" t="s">
        <v>694</v>
      </c>
      <c r="E447" s="22" t="s">
        <v>1128</v>
      </c>
      <c r="F447" s="22" t="s">
        <v>3037</v>
      </c>
      <c r="G447" s="22"/>
      <c r="H447" s="27"/>
    </row>
    <row r="448">
      <c r="A448" s="30"/>
      <c r="B448" s="22" t="s">
        <v>1793</v>
      </c>
      <c r="C448" s="22" t="s">
        <v>363</v>
      </c>
      <c r="D448" s="22" t="s">
        <v>2115</v>
      </c>
      <c r="E448" s="22" t="s">
        <v>1354</v>
      </c>
      <c r="F448" s="22" t="s">
        <v>476</v>
      </c>
      <c r="G448" s="22"/>
      <c r="H448" s="27"/>
    </row>
    <row r="449">
      <c r="A449" s="25"/>
      <c r="B449" s="22" t="s">
        <v>549</v>
      </c>
      <c r="C449" s="22" t="s">
        <v>2047</v>
      </c>
      <c r="D449" s="22" t="s">
        <v>236</v>
      </c>
      <c r="E449" s="22" t="s">
        <v>1535</v>
      </c>
      <c r="F449" s="22" t="s">
        <v>254</v>
      </c>
      <c r="G449" s="22"/>
      <c r="H449" s="31"/>
      <c r="I449" s="32"/>
    </row>
    <row r="450">
      <c r="A450" s="10" t="s">
        <v>5</v>
      </c>
      <c r="B450" s="11" t="s">
        <v>3038</v>
      </c>
      <c r="C450" s="9"/>
      <c r="D450" s="9"/>
      <c r="E450" s="9"/>
      <c r="F450" s="9"/>
      <c r="G450" s="9"/>
      <c r="H450" s="9"/>
      <c r="I450" s="14"/>
    </row>
    <row r="451" ht="60.0" customHeight="1">
      <c r="A451" s="15" t="s">
        <v>16</v>
      </c>
      <c r="B451" s="22" t="str">
        <f t="array" ref="B451">iferror(VLOOKUP(INDIRECT(ADDRESS(ROW()+1,COLUMN(), 4)),Dex!$A$2:$C493,3,false),"")</f>
        <v/>
      </c>
      <c r="C451" s="22" t="str">
        <f t="array" ref="C451">iferror(VLOOKUP(INDIRECT(ADDRESS(ROW()+1,COLUMN(), 4)),Dex!$A$2:$C493,3,false),"")</f>
        <v/>
      </c>
      <c r="D451" s="22" t="str">
        <f t="array" ref="D451">iferror(VLOOKUP(INDIRECT(ADDRESS(ROW()+1,COLUMN(), 4)),Dex!$A$2:$C493,3,false),"")</f>
        <v/>
      </c>
      <c r="E451" s="22" t="str">
        <f t="array" ref="E451">iferror(VLOOKUP(INDIRECT(ADDRESS(ROW()+1,COLUMN(), 4)),Dex!$A$2:$C493,3,false),"")</f>
        <v/>
      </c>
      <c r="F451" s="22" t="str">
        <f t="array" ref="F451">iferror(VLOOKUP(INDIRECT(ADDRESS(ROW()+1,COLUMN(), 4)),Dex!$A$2:$C493,3,false),"")</f>
        <v/>
      </c>
      <c r="G451" s="22" t="str">
        <f t="array" ref="G451">iferror(VLOOKUP(INDIRECT(ADDRESS(ROW()+1,COLUMN(), 4)),Dex!$A$2:$C493,3,false),"")</f>
        <v/>
      </c>
      <c r="H451" s="23" t="str">
        <f t="array" ref="H451">iferror(VLOOKUP("TRAINER_PIC_Bird_Keeper",Sprites!$A$1:$B493,2,false),"")</f>
        <v/>
      </c>
      <c r="I451" s="24"/>
    </row>
    <row r="452">
      <c r="A452" s="25"/>
      <c r="B452" s="26" t="s">
        <v>2182</v>
      </c>
      <c r="C452" s="26" t="s">
        <v>1320</v>
      </c>
      <c r="D452" s="26" t="s">
        <v>1883</v>
      </c>
      <c r="E452" s="26" t="s">
        <v>628</v>
      </c>
      <c r="F452" s="26" t="s">
        <v>460</v>
      </c>
      <c r="G452" s="26"/>
      <c r="H452" s="27"/>
    </row>
    <row r="453">
      <c r="A453" s="10" t="s">
        <v>199</v>
      </c>
      <c r="B453" s="22">
        <v>76.0</v>
      </c>
      <c r="C453" s="22">
        <v>76.0</v>
      </c>
      <c r="D453" s="22">
        <v>77.0</v>
      </c>
      <c r="E453" s="22">
        <v>77.0</v>
      </c>
      <c r="F453" s="22">
        <v>77.0</v>
      </c>
      <c r="G453" s="22"/>
      <c r="H453" s="27"/>
    </row>
    <row r="454">
      <c r="A454" s="10" t="s">
        <v>201</v>
      </c>
      <c r="B454" s="29" t="s">
        <v>205</v>
      </c>
      <c r="C454" s="29" t="s">
        <v>408</v>
      </c>
      <c r="D454" s="29" t="s">
        <v>2324</v>
      </c>
      <c r="E454" s="29" t="s">
        <v>3051</v>
      </c>
      <c r="F454" s="29" t="s">
        <v>1926</v>
      </c>
      <c r="G454" s="29"/>
      <c r="H454" s="27"/>
    </row>
    <row r="455">
      <c r="A455" s="10" t="s">
        <v>209</v>
      </c>
      <c r="B455" s="22" t="s">
        <v>3052</v>
      </c>
      <c r="C455" s="22" t="s">
        <v>1336</v>
      </c>
      <c r="D455" s="22" t="s">
        <v>2638</v>
      </c>
      <c r="E455" s="22" t="s">
        <v>2342</v>
      </c>
      <c r="F455" s="22" t="s">
        <v>900</v>
      </c>
      <c r="G455" s="22"/>
      <c r="H455" s="27"/>
    </row>
    <row r="456">
      <c r="A456" s="10" t="s">
        <v>215</v>
      </c>
      <c r="B456" s="29" t="s">
        <v>904</v>
      </c>
      <c r="C456" s="29" t="s">
        <v>231</v>
      </c>
      <c r="D456" s="29" t="s">
        <v>220</v>
      </c>
      <c r="E456" s="29" t="s">
        <v>231</v>
      </c>
      <c r="F456" s="29" t="s">
        <v>419</v>
      </c>
      <c r="G456" s="29"/>
      <c r="H456" s="27"/>
    </row>
    <row r="457">
      <c r="A457" s="15" t="s">
        <v>224</v>
      </c>
      <c r="B457" s="22" t="s">
        <v>803</v>
      </c>
      <c r="C457" s="22" t="s">
        <v>361</v>
      </c>
      <c r="D457" s="22" t="s">
        <v>2639</v>
      </c>
      <c r="E457" s="22" t="s">
        <v>2491</v>
      </c>
      <c r="F457" s="22" t="s">
        <v>2115</v>
      </c>
      <c r="G457" s="22"/>
      <c r="H457" s="27"/>
    </row>
    <row r="458">
      <c r="A458" s="30"/>
      <c r="B458" s="22" t="s">
        <v>3053</v>
      </c>
      <c r="C458" s="22" t="s">
        <v>477</v>
      </c>
      <c r="D458" s="22" t="s">
        <v>477</v>
      </c>
      <c r="E458" s="22" t="s">
        <v>652</v>
      </c>
      <c r="F458" s="22" t="s">
        <v>3054</v>
      </c>
      <c r="G458" s="22"/>
      <c r="H458" s="27"/>
    </row>
    <row r="459">
      <c r="A459" s="30"/>
      <c r="B459" s="22" t="s">
        <v>468</v>
      </c>
      <c r="C459" s="22" t="s">
        <v>2549</v>
      </c>
      <c r="D459" s="22" t="s">
        <v>1224</v>
      </c>
      <c r="E459" s="22" t="s">
        <v>1798</v>
      </c>
      <c r="F459" s="22" t="s">
        <v>1442</v>
      </c>
      <c r="G459" s="22"/>
      <c r="H459" s="27"/>
    </row>
    <row r="460">
      <c r="A460" s="25"/>
      <c r="B460" s="22" t="s">
        <v>1454</v>
      </c>
      <c r="C460" s="22" t="s">
        <v>1036</v>
      </c>
      <c r="D460" s="22" t="s">
        <v>930</v>
      </c>
      <c r="E460" s="22" t="s">
        <v>549</v>
      </c>
      <c r="F460" s="22" t="s">
        <v>1354</v>
      </c>
      <c r="G460" s="22"/>
      <c r="H460" s="31"/>
      <c r="I460" s="32"/>
    </row>
    <row r="461">
      <c r="A461" s="10" t="s">
        <v>5</v>
      </c>
      <c r="B461" s="11" t="s">
        <v>3056</v>
      </c>
      <c r="C461" s="9"/>
      <c r="D461" s="9"/>
      <c r="E461" s="9"/>
      <c r="F461" s="9"/>
      <c r="G461" s="9"/>
      <c r="H461" s="9"/>
      <c r="I461" s="14"/>
    </row>
    <row r="462" ht="60.0" customHeight="1">
      <c r="A462" s="15" t="s">
        <v>16</v>
      </c>
      <c r="B462" s="22" t="str">
        <f t="array" ref="B462">iferror(VLOOKUP(INDIRECT(ADDRESS(ROW()+1,COLUMN(), 4)),Dex!$A$2:$C493,3,false),"")</f>
        <v/>
      </c>
      <c r="C462" s="22" t="str">
        <f t="array" ref="C462">iferror(VLOOKUP(INDIRECT(ADDRESS(ROW()+1,COLUMN(), 4)),Dex!$A$2:$C493,3,false),"")</f>
        <v/>
      </c>
      <c r="D462" s="22" t="str">
        <f t="array" ref="D462">iferror(VLOOKUP(INDIRECT(ADDRESS(ROW()+1,COLUMN(), 4)),Dex!$A$2:$C493,3,false),"")</f>
        <v/>
      </c>
      <c r="E462" s="22" t="str">
        <f t="array" ref="E462">iferror(VLOOKUP(INDIRECT(ADDRESS(ROW()+1,COLUMN(), 4)),Dex!$A$2:$C493,3,false),"")</f>
        <v/>
      </c>
      <c r="F462" s="22" t="str">
        <f t="array" ref="F462">iferror(VLOOKUP(INDIRECT(ADDRESS(ROW()+1,COLUMN(), 4)),Dex!$A$2:$C493,3,false),"")</f>
        <v/>
      </c>
      <c r="G462" s="22" t="str">
        <f t="array" ref="G462">iferror(VLOOKUP(INDIRECT(ADDRESS(ROW()+1,COLUMN(), 4)),Dex!$A$2:$C493,3,false),"")</f>
        <v/>
      </c>
      <c r="H462" s="23" t="str">
        <f t="array" ref="H462">iferror(VLOOKUP("TRAINER_PIC_Dragon_Tamer",Sprites!$A$1:$B493,2,false),"")</f>
        <v/>
      </c>
      <c r="I462" s="24"/>
    </row>
    <row r="463">
      <c r="A463" s="25"/>
      <c r="B463" s="26" t="s">
        <v>423</v>
      </c>
      <c r="C463" s="26" t="s">
        <v>772</v>
      </c>
      <c r="D463" s="26" t="s">
        <v>83</v>
      </c>
      <c r="E463" s="26" t="s">
        <v>336</v>
      </c>
      <c r="F463" s="26" t="s">
        <v>603</v>
      </c>
      <c r="G463" s="26" t="s">
        <v>2230</v>
      </c>
      <c r="H463" s="27"/>
    </row>
    <row r="464">
      <c r="A464" s="10" t="s">
        <v>199</v>
      </c>
      <c r="B464" s="22">
        <v>77.0</v>
      </c>
      <c r="C464" s="22">
        <v>77.0</v>
      </c>
      <c r="D464" s="22">
        <v>77.0</v>
      </c>
      <c r="E464" s="22">
        <v>77.0</v>
      </c>
      <c r="F464" s="22">
        <v>77.0</v>
      </c>
      <c r="G464" s="22">
        <v>78.0</v>
      </c>
      <c r="H464" s="27"/>
    </row>
    <row r="465">
      <c r="A465" s="10" t="s">
        <v>201</v>
      </c>
      <c r="B465" s="29" t="s">
        <v>203</v>
      </c>
      <c r="C465" s="29" t="s">
        <v>644</v>
      </c>
      <c r="D465" s="29" t="s">
        <v>3068</v>
      </c>
      <c r="E465" s="29" t="s">
        <v>1213</v>
      </c>
      <c r="F465" s="29" t="s">
        <v>2338</v>
      </c>
      <c r="G465" s="29" t="s">
        <v>536</v>
      </c>
      <c r="H465" s="27"/>
    </row>
    <row r="466">
      <c r="A466" s="10" t="s">
        <v>209</v>
      </c>
      <c r="B466" s="22" t="s">
        <v>219</v>
      </c>
      <c r="C466" s="22" t="s">
        <v>3069</v>
      </c>
      <c r="D466" s="22" t="s">
        <v>2353</v>
      </c>
      <c r="E466" s="22" t="s">
        <v>1950</v>
      </c>
      <c r="F466" s="22" t="s">
        <v>538</v>
      </c>
      <c r="G466" s="22" t="s">
        <v>3070</v>
      </c>
      <c r="H466" s="27"/>
    </row>
    <row r="467">
      <c r="A467" s="10" t="s">
        <v>215</v>
      </c>
      <c r="B467" s="29" t="s">
        <v>231</v>
      </c>
      <c r="C467" s="29" t="s">
        <v>220</v>
      </c>
      <c r="D467" s="29" t="s">
        <v>419</v>
      </c>
      <c r="E467" s="29" t="s">
        <v>419</v>
      </c>
      <c r="F467" s="29" t="s">
        <v>231</v>
      </c>
      <c r="G467" s="29" t="s">
        <v>231</v>
      </c>
      <c r="H467" s="27"/>
    </row>
    <row r="468">
      <c r="A468" s="15" t="s">
        <v>224</v>
      </c>
      <c r="B468" s="22" t="s">
        <v>1460</v>
      </c>
      <c r="C468" s="22" t="s">
        <v>803</v>
      </c>
      <c r="D468" s="22" t="s">
        <v>246</v>
      </c>
      <c r="E468" s="22" t="s">
        <v>2555</v>
      </c>
      <c r="F468" s="22" t="s">
        <v>2387</v>
      </c>
      <c r="G468" s="22" t="s">
        <v>2426</v>
      </c>
      <c r="H468" s="27"/>
    </row>
    <row r="469">
      <c r="A469" s="30"/>
      <c r="B469" s="22" t="s">
        <v>2819</v>
      </c>
      <c r="C469" s="22" t="s">
        <v>1131</v>
      </c>
      <c r="D469" s="22" t="s">
        <v>232</v>
      </c>
      <c r="E469" s="22" t="s">
        <v>2578</v>
      </c>
      <c r="F469" s="22" t="s">
        <v>356</v>
      </c>
      <c r="G469" s="22" t="s">
        <v>549</v>
      </c>
      <c r="H469" s="27"/>
    </row>
    <row r="470">
      <c r="A470" s="30"/>
      <c r="B470" s="22" t="s">
        <v>356</v>
      </c>
      <c r="C470" s="22" t="s">
        <v>1454</v>
      </c>
      <c r="D470" s="22" t="s">
        <v>1958</v>
      </c>
      <c r="E470" s="22" t="s">
        <v>577</v>
      </c>
      <c r="F470" s="22" t="s">
        <v>808</v>
      </c>
      <c r="G470" s="22" t="s">
        <v>1542</v>
      </c>
      <c r="H470" s="27"/>
    </row>
    <row r="471">
      <c r="A471" s="25"/>
      <c r="B471" s="22" t="s">
        <v>2805</v>
      </c>
      <c r="C471" s="22" t="s">
        <v>361</v>
      </c>
      <c r="D471" s="22" t="s">
        <v>938</v>
      </c>
      <c r="E471" s="22" t="s">
        <v>1953</v>
      </c>
      <c r="F471" s="22" t="s">
        <v>2556</v>
      </c>
      <c r="G471" s="22" t="s">
        <v>1453</v>
      </c>
      <c r="H471" s="31"/>
      <c r="I471" s="32"/>
    </row>
    <row r="472">
      <c r="A472" s="10" t="s">
        <v>5</v>
      </c>
      <c r="B472" s="11" t="s">
        <v>3072</v>
      </c>
      <c r="C472" s="9"/>
      <c r="D472" s="9"/>
      <c r="E472" s="9"/>
      <c r="F472" s="9"/>
      <c r="G472" s="9"/>
      <c r="H472" s="9"/>
      <c r="I472" s="13"/>
    </row>
    <row r="473" ht="60.0" customHeight="1">
      <c r="A473" s="15" t="s">
        <v>16</v>
      </c>
      <c r="B473" s="22" t="str">
        <f t="array" ref="B473">iferror(VLOOKUP(INDIRECT(ADDRESS(ROW()+1,COLUMN(), 4)),Dex!$A$2:$C493,3,false),"")</f>
        <v/>
      </c>
      <c r="C473" s="22" t="str">
        <f t="array" ref="C473">iferror(VLOOKUP(INDIRECT(ADDRESS(ROW()+1,COLUMN(), 4)),Dex!$A$2:$C493,3,false),"")</f>
        <v/>
      </c>
      <c r="D473" s="22" t="str">
        <f t="array" ref="D473">iferror(VLOOKUP(INDIRECT(ADDRESS(ROW()+1,COLUMN(), 4)),Dex!$A$2:$C493,3,false),"")</f>
        <v/>
      </c>
      <c r="E473" s="22" t="str">
        <f t="array" ref="E473">iferror(VLOOKUP(INDIRECT(ADDRESS(ROW()+1,COLUMN(), 4)),Dex!$A$2:$C493,3,false),"")</f>
        <v/>
      </c>
      <c r="F473" s="22" t="str">
        <f t="array" ref="F473">iferror(VLOOKUP(INDIRECT(ADDRESS(ROW()+1,COLUMN(), 4)),Dex!$A$2:$C493,3,false),"")</f>
        <v/>
      </c>
      <c r="G473" s="22" t="str">
        <f t="array" ref="G473">iferror(VLOOKUP(INDIRECT(ADDRESS(ROW()+1,COLUMN(), 4)),Dex!$A$2:$C493,3,false),"")</f>
        <v/>
      </c>
      <c r="H473" s="23" t="str">
        <f t="array" ref="H473">iferror(VLOOKUP("TRAINER_PIC_Leader_Winona",Sprites!$A$1:$B493,2,false),"")</f>
        <v/>
      </c>
      <c r="I473" s="24"/>
    </row>
    <row r="474">
      <c r="A474" s="25"/>
      <c r="B474" s="26" t="s">
        <v>662</v>
      </c>
      <c r="C474" s="26" t="s">
        <v>1396</v>
      </c>
      <c r="D474" s="26" t="s">
        <v>1749</v>
      </c>
      <c r="E474" s="26" t="s">
        <v>445</v>
      </c>
      <c r="F474" s="26" t="s">
        <v>1411</v>
      </c>
      <c r="G474" s="26" t="s">
        <v>819</v>
      </c>
      <c r="H474" s="27"/>
    </row>
    <row r="475">
      <c r="A475" s="10" t="s">
        <v>199</v>
      </c>
      <c r="B475" s="22">
        <v>77.0</v>
      </c>
      <c r="C475" s="22">
        <v>76.0</v>
      </c>
      <c r="D475" s="22">
        <v>77.0</v>
      </c>
      <c r="E475" s="22">
        <v>77.0</v>
      </c>
      <c r="F475" s="22">
        <v>77.0</v>
      </c>
      <c r="G475" s="22">
        <v>78.0</v>
      </c>
      <c r="H475" s="27"/>
    </row>
    <row r="476">
      <c r="A476" s="10" t="s">
        <v>201</v>
      </c>
      <c r="B476" s="29" t="s">
        <v>1342</v>
      </c>
      <c r="C476" s="29" t="s">
        <v>408</v>
      </c>
      <c r="D476" s="29" t="s">
        <v>2338</v>
      </c>
      <c r="E476" s="29" t="s">
        <v>2493</v>
      </c>
      <c r="F476" s="29" t="s">
        <v>1521</v>
      </c>
      <c r="G476" s="29" t="s">
        <v>3083</v>
      </c>
      <c r="H476" s="27"/>
    </row>
    <row r="477">
      <c r="A477" s="10" t="s">
        <v>209</v>
      </c>
      <c r="B477" s="22" t="s">
        <v>2391</v>
      </c>
      <c r="C477" s="22" t="s">
        <v>413</v>
      </c>
      <c r="D477" s="22" t="s">
        <v>2035</v>
      </c>
      <c r="E477" s="22" t="s">
        <v>2262</v>
      </c>
      <c r="F477" s="22" t="s">
        <v>219</v>
      </c>
      <c r="G477" s="22" t="s">
        <v>2596</v>
      </c>
      <c r="H477" s="27"/>
    </row>
    <row r="478">
      <c r="A478" s="10" t="s">
        <v>215</v>
      </c>
      <c r="B478" s="29" t="s">
        <v>419</v>
      </c>
      <c r="C478" s="29" t="s">
        <v>419</v>
      </c>
      <c r="D478" s="29" t="s">
        <v>564</v>
      </c>
      <c r="E478" s="29" t="s">
        <v>231</v>
      </c>
      <c r="F478" s="29" t="s">
        <v>231</v>
      </c>
      <c r="G478" s="29" t="s">
        <v>218</v>
      </c>
      <c r="H478" s="27"/>
    </row>
    <row r="479">
      <c r="A479" s="15" t="s">
        <v>224</v>
      </c>
      <c r="B479" s="22" t="s">
        <v>1040</v>
      </c>
      <c r="C479" s="22" t="s">
        <v>694</v>
      </c>
      <c r="D479" s="22" t="s">
        <v>2115</v>
      </c>
      <c r="E479" s="22" t="s">
        <v>2268</v>
      </c>
      <c r="F479" s="22" t="s">
        <v>356</v>
      </c>
      <c r="G479" s="22" t="s">
        <v>2831</v>
      </c>
      <c r="H479" s="27"/>
    </row>
    <row r="480">
      <c r="A480" s="30"/>
      <c r="B480" s="22" t="s">
        <v>1037</v>
      </c>
      <c r="C480" s="22" t="s">
        <v>2528</v>
      </c>
      <c r="D480" s="22" t="s">
        <v>469</v>
      </c>
      <c r="E480" s="22" t="s">
        <v>2491</v>
      </c>
      <c r="F480" s="22" t="s">
        <v>2987</v>
      </c>
      <c r="G480" s="22" t="s">
        <v>246</v>
      </c>
      <c r="H480" s="27"/>
    </row>
    <row r="481">
      <c r="A481" s="30"/>
      <c r="B481" s="22" t="s">
        <v>2115</v>
      </c>
      <c r="C481" s="22" t="s">
        <v>585</v>
      </c>
      <c r="D481" s="22" t="s">
        <v>2555</v>
      </c>
      <c r="E481" s="22" t="s">
        <v>927</v>
      </c>
      <c r="F481" s="22" t="s">
        <v>477</v>
      </c>
      <c r="G481" s="22" t="s">
        <v>356</v>
      </c>
      <c r="H481" s="27"/>
    </row>
    <row r="482">
      <c r="A482" s="25"/>
      <c r="B482" s="22" t="s">
        <v>2793</v>
      </c>
      <c r="C482" s="22" t="s">
        <v>469</v>
      </c>
      <c r="D482" s="22" t="s">
        <v>2047</v>
      </c>
      <c r="E482" s="22" t="s">
        <v>361</v>
      </c>
      <c r="F482" s="22" t="s">
        <v>1162</v>
      </c>
      <c r="G482" s="22" t="s">
        <v>1799</v>
      </c>
      <c r="H482" s="31"/>
      <c r="I482" s="32"/>
    </row>
    <row r="483">
      <c r="A483" s="10" t="s">
        <v>5</v>
      </c>
      <c r="B483" s="11" t="s">
        <v>3089</v>
      </c>
      <c r="C483" s="9"/>
      <c r="D483" s="9"/>
      <c r="E483" s="9"/>
      <c r="F483" s="9"/>
      <c r="G483" s="9"/>
      <c r="H483" s="9"/>
      <c r="I483" s="14"/>
    </row>
    <row r="484" ht="60.0" customHeight="1">
      <c r="A484" s="15" t="s">
        <v>16</v>
      </c>
      <c r="B484" s="22" t="str">
        <f t="array" ref="B484">iferror(VLOOKUP(INDIRECT(ADDRESS(ROW()+1,COLUMN(), 4)),Dex!$A$2:$C493,3,false),"")</f>
        <v/>
      </c>
      <c r="C484" s="22" t="str">
        <f t="array" ref="C484">iferror(VLOOKUP(INDIRECT(ADDRESS(ROW()+1,COLUMN(), 4)),Dex!$A$2:$C493,3,false),"")</f>
        <v/>
      </c>
      <c r="D484" s="22" t="str">
        <f t="array" ref="D484">iferror(VLOOKUP(INDIRECT(ADDRESS(ROW()+1,COLUMN(), 4)),Dex!$A$2:$C493,3,false),"")</f>
        <v/>
      </c>
      <c r="E484" s="22" t="str">
        <f t="array" ref="E484">iferror(VLOOKUP(INDIRECT(ADDRESS(ROW()+1,COLUMN(), 4)),Dex!$A$2:$C493,3,false),"")</f>
        <v/>
      </c>
      <c r="F484" s="22" t="str">
        <f t="array" ref="F484">iferror(VLOOKUP(INDIRECT(ADDRESS(ROW()+1,COLUMN(), 4)),Dex!$A$2:$C493,3,false),"")</f>
        <v/>
      </c>
      <c r="G484" s="22" t="str">
        <f t="array" ref="G484">iferror(VLOOKUP(INDIRECT(ADDRESS(ROW()+1,COLUMN(), 4)),Dex!$A$2:$C493,3,false),"")</f>
        <v/>
      </c>
      <c r="H484" s="23" t="str">
        <f t="array" ref="H484">iferror(VLOOKUP("TRAINER_PIC_Leader_Winona",Sprites!$A$1:$B493,2,false),"")</f>
        <v/>
      </c>
      <c r="I484" s="24"/>
    </row>
    <row r="485">
      <c r="A485" s="25"/>
      <c r="B485" s="26" t="s">
        <v>662</v>
      </c>
      <c r="C485" s="26" t="s">
        <v>1008</v>
      </c>
      <c r="D485" s="26" t="s">
        <v>1080</v>
      </c>
      <c r="E485" s="26" t="s">
        <v>1708</v>
      </c>
      <c r="F485" s="26" t="s">
        <v>676</v>
      </c>
      <c r="G485" s="26" t="s">
        <v>819</v>
      </c>
      <c r="H485" s="27"/>
    </row>
    <row r="486">
      <c r="A486" s="10" t="s">
        <v>199</v>
      </c>
      <c r="B486" s="22">
        <v>77.0</v>
      </c>
      <c r="C486" s="22">
        <v>76.0</v>
      </c>
      <c r="D486" s="22">
        <v>77.0</v>
      </c>
      <c r="E486" s="22">
        <v>77.0</v>
      </c>
      <c r="F486" s="22">
        <v>77.0</v>
      </c>
      <c r="G486" s="22">
        <v>78.0</v>
      </c>
      <c r="H486" s="27"/>
    </row>
    <row r="487">
      <c r="A487" s="10" t="s">
        <v>201</v>
      </c>
      <c r="B487" s="29" t="s">
        <v>645</v>
      </c>
      <c r="C487" s="29" t="s">
        <v>2032</v>
      </c>
      <c r="D487" s="29" t="s">
        <v>1745</v>
      </c>
      <c r="E487" s="29" t="s">
        <v>2493</v>
      </c>
      <c r="F487" s="29" t="s">
        <v>408</v>
      </c>
      <c r="G487" s="29" t="s">
        <v>3083</v>
      </c>
      <c r="H487" s="27"/>
    </row>
    <row r="488">
      <c r="A488" s="10" t="s">
        <v>209</v>
      </c>
      <c r="B488" s="22" t="s">
        <v>2391</v>
      </c>
      <c r="C488" s="22" t="s">
        <v>3069</v>
      </c>
      <c r="D488" s="22" t="s">
        <v>900</v>
      </c>
      <c r="E488" s="22" t="s">
        <v>2315</v>
      </c>
      <c r="F488" s="22" t="s">
        <v>2325</v>
      </c>
      <c r="G488" s="22" t="s">
        <v>2596</v>
      </c>
      <c r="H488" s="27"/>
    </row>
    <row r="489">
      <c r="A489" s="10" t="s">
        <v>215</v>
      </c>
      <c r="B489" s="29" t="s">
        <v>419</v>
      </c>
      <c r="C489" s="29" t="s">
        <v>231</v>
      </c>
      <c r="D489" s="29" t="s">
        <v>906</v>
      </c>
      <c r="E489" s="29" t="s">
        <v>231</v>
      </c>
      <c r="F489" s="29" t="s">
        <v>220</v>
      </c>
      <c r="G489" s="29" t="s">
        <v>685</v>
      </c>
      <c r="H489" s="27"/>
    </row>
    <row r="490">
      <c r="A490" s="15" t="s">
        <v>224</v>
      </c>
      <c r="B490" s="22" t="s">
        <v>938</v>
      </c>
      <c r="C490" s="22" t="s">
        <v>356</v>
      </c>
      <c r="D490" s="22" t="s">
        <v>938</v>
      </c>
      <c r="E490" s="22" t="s">
        <v>555</v>
      </c>
      <c r="F490" s="22" t="s">
        <v>2332</v>
      </c>
      <c r="G490" s="22" t="s">
        <v>1873</v>
      </c>
      <c r="H490" s="27"/>
    </row>
    <row r="491">
      <c r="A491" s="30"/>
      <c r="B491" s="22" t="s">
        <v>2815</v>
      </c>
      <c r="C491" s="22" t="s">
        <v>2464</v>
      </c>
      <c r="D491" s="22" t="s">
        <v>232</v>
      </c>
      <c r="E491" s="22" t="s">
        <v>356</v>
      </c>
      <c r="F491" s="22" t="s">
        <v>473</v>
      </c>
      <c r="G491" s="22" t="s">
        <v>356</v>
      </c>
      <c r="H491" s="27"/>
    </row>
    <row r="492">
      <c r="A492" s="30"/>
      <c r="B492" s="22" t="s">
        <v>2793</v>
      </c>
      <c r="C492" s="22" t="s">
        <v>1224</v>
      </c>
      <c r="D492" s="22" t="s">
        <v>1039</v>
      </c>
      <c r="E492" s="22" t="s">
        <v>2020</v>
      </c>
      <c r="F492" s="22" t="s">
        <v>555</v>
      </c>
      <c r="G492" s="22" t="s">
        <v>236</v>
      </c>
      <c r="H492" s="27"/>
    </row>
    <row r="493">
      <c r="A493" s="25"/>
      <c r="B493" s="22" t="s">
        <v>2041</v>
      </c>
      <c r="C493" s="22" t="s">
        <v>2427</v>
      </c>
      <c r="D493" s="22" t="s">
        <v>236</v>
      </c>
      <c r="E493" s="22" t="s">
        <v>2987</v>
      </c>
      <c r="F493" s="22" t="s">
        <v>2560</v>
      </c>
      <c r="G493" s="22" t="s">
        <v>938</v>
      </c>
      <c r="H493" s="31"/>
      <c r="I493" s="32"/>
    </row>
  </sheetData>
  <mergeCells count="185">
    <mergeCell ref="B60:H60"/>
    <mergeCell ref="B71:H71"/>
    <mergeCell ref="B82:H82"/>
    <mergeCell ref="A93:I93"/>
    <mergeCell ref="B94:H94"/>
    <mergeCell ref="B105:H105"/>
    <mergeCell ref="A67:A70"/>
    <mergeCell ref="A72:A73"/>
    <mergeCell ref="A78:A81"/>
    <mergeCell ref="A83:A84"/>
    <mergeCell ref="A89:A92"/>
    <mergeCell ref="A95:A96"/>
    <mergeCell ref="A101:A104"/>
    <mergeCell ref="A106:A107"/>
    <mergeCell ref="A112:A115"/>
    <mergeCell ref="B116:H116"/>
    <mergeCell ref="A117:A118"/>
    <mergeCell ref="A123:A126"/>
    <mergeCell ref="A127:I127"/>
    <mergeCell ref="B128:H128"/>
    <mergeCell ref="A129:A130"/>
    <mergeCell ref="A135:A138"/>
    <mergeCell ref="B139:H139"/>
    <mergeCell ref="A190:A193"/>
    <mergeCell ref="A195:A196"/>
    <mergeCell ref="A168:A171"/>
    <mergeCell ref="B172:H172"/>
    <mergeCell ref="A173:A174"/>
    <mergeCell ref="A179:A182"/>
    <mergeCell ref="B183:H183"/>
    <mergeCell ref="A184:A185"/>
    <mergeCell ref="B194:H194"/>
    <mergeCell ref="H117:I126"/>
    <mergeCell ref="H129:I138"/>
    <mergeCell ref="H140:I149"/>
    <mergeCell ref="H151:I160"/>
    <mergeCell ref="H162:I171"/>
    <mergeCell ref="H173:I182"/>
    <mergeCell ref="H184:I193"/>
    <mergeCell ref="H195:I204"/>
    <mergeCell ref="H206:I215"/>
    <mergeCell ref="H217:I226"/>
    <mergeCell ref="H228:I237"/>
    <mergeCell ref="H239:I248"/>
    <mergeCell ref="H251:I260"/>
    <mergeCell ref="H262:I271"/>
    <mergeCell ref="H273:I282"/>
    <mergeCell ref="H284:I293"/>
    <mergeCell ref="H295:I304"/>
    <mergeCell ref="H306:I315"/>
    <mergeCell ref="H318:I327"/>
    <mergeCell ref="H329:I338"/>
    <mergeCell ref="H340:I349"/>
    <mergeCell ref="H429:I438"/>
    <mergeCell ref="H440:I449"/>
    <mergeCell ref="H451:I460"/>
    <mergeCell ref="H462:I471"/>
    <mergeCell ref="H473:I482"/>
    <mergeCell ref="H484:I493"/>
    <mergeCell ref="H351:I360"/>
    <mergeCell ref="H362:I371"/>
    <mergeCell ref="H373:I382"/>
    <mergeCell ref="H384:I393"/>
    <mergeCell ref="H395:I404"/>
    <mergeCell ref="H407:I416"/>
    <mergeCell ref="H418:I427"/>
    <mergeCell ref="A201:A204"/>
    <mergeCell ref="A206:A207"/>
    <mergeCell ref="A212:A215"/>
    <mergeCell ref="A217:A218"/>
    <mergeCell ref="A223:A226"/>
    <mergeCell ref="A228:A229"/>
    <mergeCell ref="A234:A237"/>
    <mergeCell ref="A239:A240"/>
    <mergeCell ref="A245:A248"/>
    <mergeCell ref="A251:A252"/>
    <mergeCell ref="A257:A260"/>
    <mergeCell ref="A262:A263"/>
    <mergeCell ref="A268:A271"/>
    <mergeCell ref="A273:A274"/>
    <mergeCell ref="A279:A282"/>
    <mergeCell ref="A284:A285"/>
    <mergeCell ref="A290:A293"/>
    <mergeCell ref="A295:A296"/>
    <mergeCell ref="A301:A304"/>
    <mergeCell ref="A306:A307"/>
    <mergeCell ref="A312:A315"/>
    <mergeCell ref="A318:A319"/>
    <mergeCell ref="A324:A327"/>
    <mergeCell ref="A329:A330"/>
    <mergeCell ref="A335:A338"/>
    <mergeCell ref="A340:A341"/>
    <mergeCell ref="A346:A349"/>
    <mergeCell ref="A351:A352"/>
    <mergeCell ref="A357:A360"/>
    <mergeCell ref="A362:A363"/>
    <mergeCell ref="A368:A371"/>
    <mergeCell ref="A373:A374"/>
    <mergeCell ref="A379:A382"/>
    <mergeCell ref="A384:A385"/>
    <mergeCell ref="A390:A393"/>
    <mergeCell ref="A395:A396"/>
    <mergeCell ref="A401:A404"/>
    <mergeCell ref="A407:A408"/>
    <mergeCell ref="A413:A416"/>
    <mergeCell ref="A418:A419"/>
    <mergeCell ref="A424:A427"/>
    <mergeCell ref="A429:A430"/>
    <mergeCell ref="A473:A474"/>
    <mergeCell ref="A479:A482"/>
    <mergeCell ref="A484:A485"/>
    <mergeCell ref="A490:A493"/>
    <mergeCell ref="A435:A438"/>
    <mergeCell ref="A440:A441"/>
    <mergeCell ref="A446:A449"/>
    <mergeCell ref="A451:A452"/>
    <mergeCell ref="A457:A460"/>
    <mergeCell ref="A462:A463"/>
    <mergeCell ref="A468:A471"/>
    <mergeCell ref="B205:H205"/>
    <mergeCell ref="B216:H216"/>
    <mergeCell ref="B227:H227"/>
    <mergeCell ref="B238:H238"/>
    <mergeCell ref="A249:I249"/>
    <mergeCell ref="B250:H250"/>
    <mergeCell ref="B261:H261"/>
    <mergeCell ref="B272:H272"/>
    <mergeCell ref="B283:H283"/>
    <mergeCell ref="B294:H294"/>
    <mergeCell ref="B305:H305"/>
    <mergeCell ref="A316:I316"/>
    <mergeCell ref="B317:H317"/>
    <mergeCell ref="B328:H328"/>
    <mergeCell ref="A10:A13"/>
    <mergeCell ref="A16:A17"/>
    <mergeCell ref="B1:H1"/>
    <mergeCell ref="A2:I2"/>
    <mergeCell ref="B3:H3"/>
    <mergeCell ref="H4:I13"/>
    <mergeCell ref="A14:I14"/>
    <mergeCell ref="B15:H15"/>
    <mergeCell ref="H16:I25"/>
    <mergeCell ref="A26:I26"/>
    <mergeCell ref="B27:H27"/>
    <mergeCell ref="H28:I37"/>
    <mergeCell ref="A34:A37"/>
    <mergeCell ref="B38:H38"/>
    <mergeCell ref="A45:A48"/>
    <mergeCell ref="B49:H49"/>
    <mergeCell ref="H39:I48"/>
    <mergeCell ref="H50:I59"/>
    <mergeCell ref="H61:I70"/>
    <mergeCell ref="H72:I81"/>
    <mergeCell ref="H83:I92"/>
    <mergeCell ref="H95:I104"/>
    <mergeCell ref="H106:I115"/>
    <mergeCell ref="A4:A5"/>
    <mergeCell ref="A22:A25"/>
    <mergeCell ref="A28:A29"/>
    <mergeCell ref="A39:A40"/>
    <mergeCell ref="A50:A51"/>
    <mergeCell ref="A56:A59"/>
    <mergeCell ref="A61:A62"/>
    <mergeCell ref="A140:A141"/>
    <mergeCell ref="A146:A149"/>
    <mergeCell ref="B150:H150"/>
    <mergeCell ref="A151:A152"/>
    <mergeCell ref="A157:A160"/>
    <mergeCell ref="B161:H161"/>
    <mergeCell ref="A162:A163"/>
    <mergeCell ref="B406:H406"/>
    <mergeCell ref="B417:H417"/>
    <mergeCell ref="B428:H428"/>
    <mergeCell ref="B439:H439"/>
    <mergeCell ref="B450:H450"/>
    <mergeCell ref="B461:H461"/>
    <mergeCell ref="B472:H472"/>
    <mergeCell ref="B483:H483"/>
    <mergeCell ref="B339:H339"/>
    <mergeCell ref="B350:H350"/>
    <mergeCell ref="B361:H361"/>
    <mergeCell ref="B372:H372"/>
    <mergeCell ref="B383:H383"/>
    <mergeCell ref="B394:H394"/>
    <mergeCell ref="A405:I405"/>
  </mergeCells>
  <conditionalFormatting sqref="A1">
    <cfRule type="notContainsBlanks" dxfId="3" priority="1">
      <formula>LEN(TRIM(A1))&gt;0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1"/>
      <c r="B1" s="49"/>
      <c r="C1" s="32"/>
      <c r="D1" s="32"/>
      <c r="E1" s="32"/>
      <c r="F1" s="32"/>
      <c r="G1" s="32"/>
      <c r="H1" s="25"/>
      <c r="I1" s="5"/>
    </row>
    <row r="2">
      <c r="A2" s="8" t="s">
        <v>2460</v>
      </c>
      <c r="B2" s="9"/>
      <c r="C2" s="9"/>
      <c r="D2" s="9"/>
      <c r="E2" s="9"/>
      <c r="F2" s="9"/>
      <c r="G2" s="9"/>
      <c r="H2" s="9"/>
      <c r="I2" s="34"/>
    </row>
    <row r="3">
      <c r="A3" s="10" t="s">
        <v>5</v>
      </c>
      <c r="B3" s="11" t="s">
        <v>2461</v>
      </c>
      <c r="C3" s="9"/>
      <c r="D3" s="9"/>
      <c r="E3" s="9"/>
      <c r="F3" s="9"/>
      <c r="G3" s="9"/>
      <c r="H3" s="9"/>
      <c r="I3" s="13"/>
    </row>
    <row r="4" ht="60.0" customHeight="1">
      <c r="A4" s="15" t="s">
        <v>16</v>
      </c>
      <c r="B4" s="22" t="str">
        <f t="array" ref="B4">iferror(VLOOKUP(INDIRECT(ADDRESS(ROW()+1,COLUMN(), 4)),Dex!$A$2:$C671,3,false),"")</f>
        <v/>
      </c>
      <c r="C4" s="22" t="str">
        <f t="array" ref="C4">iferror(VLOOKUP(INDIRECT(ADDRESS(ROW()+1,COLUMN(), 4)),Dex!$A$2:$C671,3,false),"")</f>
        <v/>
      </c>
      <c r="D4" s="22" t="str">
        <f t="array" ref="D4">iferror(VLOOKUP(INDIRECT(ADDRESS(ROW()+1,COLUMN(), 4)),Dex!$A$2:$C671,3,false),"")</f>
        <v/>
      </c>
      <c r="E4" s="22" t="str">
        <f t="array" ref="E4">iferror(VLOOKUP(INDIRECT(ADDRESS(ROW()+1,COLUMN(), 4)),Dex!$A$2:$C671,3,false),"")</f>
        <v/>
      </c>
      <c r="F4" s="22" t="str">
        <f t="array" ref="F4">iferror(VLOOKUP(INDIRECT(ADDRESS(ROW()+1,COLUMN(), 4)),Dex!$A$2:$C671,3,false),"")</f>
        <v/>
      </c>
      <c r="G4" s="22" t="str">
        <f t="array" ref="G4">iferror(VLOOKUP(INDIRECT(ADDRESS(ROW()+1,COLUMN(), 4)),Dex!$A$2:$C671,3,false),"")</f>
        <v/>
      </c>
      <c r="H4" s="23" t="str">
        <f t="array" ref="H4">iferror(VLOOKUP("TRAINER_PIC_Kecleon",Sprites!$A$1:$B671,2,false),"")</f>
        <v/>
      </c>
      <c r="I4" s="24"/>
    </row>
    <row r="5">
      <c r="A5" s="25"/>
      <c r="B5" s="26" t="s">
        <v>841</v>
      </c>
      <c r="C5" s="26"/>
      <c r="D5" s="26"/>
      <c r="E5" s="26"/>
      <c r="F5" s="26"/>
      <c r="G5" s="26"/>
      <c r="H5" s="27"/>
    </row>
    <row r="6">
      <c r="A6" s="10" t="s">
        <v>199</v>
      </c>
      <c r="B6" s="22">
        <v>80.0</v>
      </c>
      <c r="C6" s="22"/>
      <c r="D6" s="22"/>
      <c r="E6" s="22"/>
      <c r="F6" s="22"/>
      <c r="G6" s="22"/>
      <c r="H6" s="27"/>
    </row>
    <row r="7">
      <c r="A7" s="10" t="s">
        <v>201</v>
      </c>
      <c r="B7" s="29" t="s">
        <v>27</v>
      </c>
      <c r="C7" s="29"/>
      <c r="D7" s="29"/>
      <c r="E7" s="29"/>
      <c r="F7" s="29"/>
      <c r="G7" s="29"/>
      <c r="H7" s="27"/>
    </row>
    <row r="8">
      <c r="A8" s="10" t="s">
        <v>209</v>
      </c>
      <c r="B8" s="22" t="s">
        <v>2473</v>
      </c>
      <c r="C8" s="22"/>
      <c r="D8" s="22"/>
      <c r="E8" s="22"/>
      <c r="F8" s="22"/>
      <c r="G8" s="22"/>
      <c r="H8" s="27"/>
    </row>
    <row r="9">
      <c r="A9" s="10" t="s">
        <v>215</v>
      </c>
      <c r="B9" s="29" t="s">
        <v>220</v>
      </c>
      <c r="C9" s="29"/>
      <c r="D9" s="29"/>
      <c r="E9" s="29"/>
      <c r="F9" s="29"/>
      <c r="G9" s="29"/>
      <c r="H9" s="27"/>
    </row>
    <row r="10">
      <c r="A10" s="15" t="s">
        <v>224</v>
      </c>
      <c r="B10" s="22" t="s">
        <v>1999</v>
      </c>
      <c r="C10" s="22"/>
      <c r="D10" s="22"/>
      <c r="E10" s="22"/>
      <c r="F10" s="22"/>
      <c r="G10" s="22"/>
      <c r="H10" s="27"/>
    </row>
    <row r="11">
      <c r="A11" s="30"/>
      <c r="B11" s="22" t="s">
        <v>951</v>
      </c>
      <c r="C11" s="22"/>
      <c r="D11" s="22"/>
      <c r="E11" s="22"/>
      <c r="F11" s="22"/>
      <c r="G11" s="22"/>
      <c r="H11" s="27"/>
    </row>
    <row r="12">
      <c r="A12" s="30"/>
      <c r="B12" s="22" t="s">
        <v>477</v>
      </c>
      <c r="C12" s="22"/>
      <c r="D12" s="22"/>
      <c r="E12" s="22"/>
      <c r="F12" s="22"/>
      <c r="G12" s="22"/>
      <c r="H12" s="27"/>
    </row>
    <row r="13">
      <c r="A13" s="25"/>
      <c r="B13" s="22" t="s">
        <v>801</v>
      </c>
      <c r="C13" s="22"/>
      <c r="D13" s="22"/>
      <c r="E13" s="22"/>
      <c r="F13" s="22"/>
      <c r="G13" s="22"/>
      <c r="H13" s="31"/>
      <c r="I13" s="32"/>
    </row>
    <row r="14">
      <c r="A14" s="10" t="s">
        <v>5</v>
      </c>
      <c r="B14" s="11" t="s">
        <v>2475</v>
      </c>
      <c r="C14" s="9"/>
      <c r="D14" s="9"/>
      <c r="E14" s="9"/>
      <c r="F14" s="9"/>
      <c r="G14" s="9"/>
      <c r="H14" s="9"/>
      <c r="I14" s="14"/>
    </row>
    <row r="15" ht="60.0" customHeight="1">
      <c r="A15" s="15" t="s">
        <v>16</v>
      </c>
      <c r="B15" s="22" t="str">
        <f t="array" ref="B15">iferror(VLOOKUP(INDIRECT(ADDRESS(ROW()+1,COLUMN(), 4)),Dex!$A$2:$C671,3,false),"")</f>
        <v/>
      </c>
      <c r="C15" s="22" t="str">
        <f t="array" ref="C15">iferror(VLOOKUP(INDIRECT(ADDRESS(ROW()+1,COLUMN(), 4)),Dex!$A$2:$C671,3,false),"")</f>
        <v/>
      </c>
      <c r="D15" s="22" t="str">
        <f t="array" ref="D15">iferror(VLOOKUP(INDIRECT(ADDRESS(ROW()+1,COLUMN(), 4)),Dex!$A$2:$C671,3,false),"")</f>
        <v/>
      </c>
      <c r="E15" s="22" t="str">
        <f t="array" ref="E15">iferror(VLOOKUP(INDIRECT(ADDRESS(ROW()+1,COLUMN(), 4)),Dex!$A$2:$C671,3,false),"")</f>
        <v/>
      </c>
      <c r="F15" s="22" t="str">
        <f t="array" ref="F15">iferror(VLOOKUP(INDIRECT(ADDRESS(ROW()+1,COLUMN(), 4)),Dex!$A$2:$C671,3,false),"")</f>
        <v/>
      </c>
      <c r="G15" s="22" t="str">
        <f t="array" ref="G15">iferror(VLOOKUP(INDIRECT(ADDRESS(ROW()+1,COLUMN(), 4)),Dex!$A$2:$C671,3,false),"")</f>
        <v/>
      </c>
      <c r="H15" s="23" t="str">
        <f t="array" ref="H15">iferror(VLOOKUP("TRAINER_PIC_Cooltrainer_M",Sprites!$A$1:$B671,2,false),"")</f>
        <v/>
      </c>
      <c r="I15" s="24"/>
    </row>
    <row r="16">
      <c r="A16" s="25"/>
      <c r="B16" s="26" t="s">
        <v>273</v>
      </c>
      <c r="C16" s="26" t="s">
        <v>718</v>
      </c>
      <c r="D16" s="26" t="s">
        <v>1073</v>
      </c>
      <c r="E16" s="26" t="s">
        <v>1634</v>
      </c>
      <c r="F16" s="26" t="s">
        <v>225</v>
      </c>
      <c r="G16" s="26"/>
      <c r="H16" s="27"/>
    </row>
    <row r="17">
      <c r="A17" s="10" t="s">
        <v>199</v>
      </c>
      <c r="B17" s="22">
        <v>78.0</v>
      </c>
      <c r="C17" s="22" t="s">
        <v>2488</v>
      </c>
      <c r="D17" s="22">
        <v>79.0</v>
      </c>
      <c r="E17" s="22">
        <v>78.0</v>
      </c>
      <c r="F17" s="22">
        <v>78.0</v>
      </c>
      <c r="G17" s="22"/>
      <c r="H17" s="27"/>
    </row>
    <row r="18">
      <c r="A18" s="10" t="s">
        <v>201</v>
      </c>
      <c r="B18" s="29" t="s">
        <v>408</v>
      </c>
      <c r="C18" s="29" t="s">
        <v>206</v>
      </c>
      <c r="D18" s="29" t="s">
        <v>776</v>
      </c>
      <c r="E18" s="29" t="s">
        <v>1148</v>
      </c>
      <c r="F18" s="29" t="s">
        <v>2430</v>
      </c>
      <c r="G18" s="29"/>
      <c r="H18" s="27"/>
    </row>
    <row r="19">
      <c r="A19" s="10" t="s">
        <v>209</v>
      </c>
      <c r="B19" s="22" t="s">
        <v>911</v>
      </c>
      <c r="C19" s="22" t="s">
        <v>458</v>
      </c>
      <c r="D19" s="22" t="s">
        <v>2489</v>
      </c>
      <c r="E19" s="22" t="s">
        <v>899</v>
      </c>
      <c r="F19" s="22" t="s">
        <v>416</v>
      </c>
      <c r="G19" s="22"/>
      <c r="H19" s="27"/>
    </row>
    <row r="20">
      <c r="A20" s="10" t="s">
        <v>215</v>
      </c>
      <c r="B20" s="29" t="s">
        <v>419</v>
      </c>
      <c r="C20" s="29" t="s">
        <v>231</v>
      </c>
      <c r="D20" s="29" t="s">
        <v>906</v>
      </c>
      <c r="E20" s="29" t="s">
        <v>419</v>
      </c>
      <c r="F20" s="29" t="s">
        <v>231</v>
      </c>
      <c r="G20" s="29"/>
      <c r="H20" s="27"/>
    </row>
    <row r="21">
      <c r="A21" s="15" t="s">
        <v>224</v>
      </c>
      <c r="B21" s="22" t="s">
        <v>920</v>
      </c>
      <c r="C21" s="22" t="s">
        <v>1065</v>
      </c>
      <c r="D21" s="22" t="s">
        <v>424</v>
      </c>
      <c r="E21" s="22" t="s">
        <v>2490</v>
      </c>
      <c r="F21" s="22" t="s">
        <v>356</v>
      </c>
      <c r="G21" s="22"/>
      <c r="H21" s="27"/>
    </row>
    <row r="22">
      <c r="A22" s="30"/>
      <c r="B22" s="22" t="s">
        <v>1458</v>
      </c>
      <c r="C22" s="22" t="s">
        <v>1072</v>
      </c>
      <c r="D22" s="22" t="s">
        <v>469</v>
      </c>
      <c r="E22" s="22" t="s">
        <v>697</v>
      </c>
      <c r="F22" s="22" t="s">
        <v>363</v>
      </c>
      <c r="G22" s="22"/>
      <c r="H22" s="27"/>
    </row>
    <row r="23">
      <c r="A23" s="30"/>
      <c r="B23" s="22" t="s">
        <v>2490</v>
      </c>
      <c r="C23" s="22" t="s">
        <v>2491</v>
      </c>
      <c r="D23" s="22" t="s">
        <v>565</v>
      </c>
      <c r="E23" s="22" t="s">
        <v>360</v>
      </c>
      <c r="F23" s="22" t="s">
        <v>468</v>
      </c>
      <c r="G23" s="22"/>
      <c r="H23" s="27"/>
    </row>
    <row r="24">
      <c r="A24" s="25"/>
      <c r="B24" s="22" t="s">
        <v>582</v>
      </c>
      <c r="C24" s="22" t="s">
        <v>1162</v>
      </c>
      <c r="D24" s="22" t="s">
        <v>588</v>
      </c>
      <c r="E24" s="22" t="s">
        <v>1169</v>
      </c>
      <c r="F24" s="22" t="s">
        <v>549</v>
      </c>
      <c r="G24" s="22"/>
      <c r="H24" s="31"/>
      <c r="I24" s="32"/>
    </row>
    <row r="25">
      <c r="A25" s="10" t="s">
        <v>5</v>
      </c>
      <c r="B25" s="11" t="s">
        <v>2495</v>
      </c>
      <c r="C25" s="9"/>
      <c r="D25" s="9"/>
      <c r="E25" s="9"/>
      <c r="F25" s="9"/>
      <c r="G25" s="9"/>
      <c r="H25" s="9"/>
      <c r="I25" s="14"/>
    </row>
    <row r="26" ht="60.0" customHeight="1">
      <c r="A26" s="15" t="s">
        <v>16</v>
      </c>
      <c r="B26" s="22" t="str">
        <f t="array" ref="B26">iferror(VLOOKUP(INDIRECT(ADDRESS(ROW()+1,COLUMN(), 4)),Dex!$A$2:$C671,3,false),"")</f>
        <v/>
      </c>
      <c r="C26" s="22" t="str">
        <f t="array" ref="C26">iferror(VLOOKUP(INDIRECT(ADDRESS(ROW()+1,COLUMN(), 4)),Dex!$A$2:$C671,3,false),"")</f>
        <v/>
      </c>
      <c r="D26" s="22" t="str">
        <f t="array" ref="D26">iferror(VLOOKUP(INDIRECT(ADDRESS(ROW()+1,COLUMN(), 4)),Dex!$A$2:$C671,3,false),"")</f>
        <v/>
      </c>
      <c r="E26" s="22" t="str">
        <f t="array" ref="E26">iferror(VLOOKUP(INDIRECT(ADDRESS(ROW()+1,COLUMN(), 4)),Dex!$A$2:$C671,3,false),"")</f>
        <v/>
      </c>
      <c r="F26" s="22" t="str">
        <f t="array" ref="F26">iferror(VLOOKUP(INDIRECT(ADDRESS(ROW()+1,COLUMN(), 4)),Dex!$A$2:$C671,3,false),"")</f>
        <v/>
      </c>
      <c r="G26" s="22" t="str">
        <f t="array" ref="G26">iferror(VLOOKUP(INDIRECT(ADDRESS(ROW()+1,COLUMN(), 4)),Dex!$A$2:$C671,3,false),"")</f>
        <v/>
      </c>
      <c r="H26" s="23" t="str">
        <f t="array" ref="H26">iferror(VLOOKUP("TRAINER_PIC_Parasol_Lady",Sprites!$A$1:$B671,2,false),"")</f>
        <v/>
      </c>
      <c r="I26" s="24"/>
    </row>
    <row r="27">
      <c r="A27" s="25"/>
      <c r="B27" s="26" t="s">
        <v>1717</v>
      </c>
      <c r="C27" s="26" t="s">
        <v>835</v>
      </c>
      <c r="D27" s="26" t="s">
        <v>1911</v>
      </c>
      <c r="E27" s="26" t="s">
        <v>676</v>
      </c>
      <c r="F27" s="26" t="s">
        <v>1463</v>
      </c>
      <c r="G27" s="26"/>
      <c r="H27" s="27"/>
    </row>
    <row r="28">
      <c r="A28" s="10" t="s">
        <v>199</v>
      </c>
      <c r="B28" s="22">
        <v>78.0</v>
      </c>
      <c r="C28" s="22">
        <v>78.0</v>
      </c>
      <c r="D28" s="22">
        <v>78.0</v>
      </c>
      <c r="E28" s="22">
        <v>79.0</v>
      </c>
      <c r="F28" s="22">
        <v>79.0</v>
      </c>
      <c r="G28" s="22"/>
      <c r="H28" s="27"/>
    </row>
    <row r="29">
      <c r="A29" s="10" t="s">
        <v>201</v>
      </c>
      <c r="B29" s="29" t="s">
        <v>2510</v>
      </c>
      <c r="C29" s="29" t="s">
        <v>2389</v>
      </c>
      <c r="D29" s="29" t="s">
        <v>1279</v>
      </c>
      <c r="E29" s="29" t="s">
        <v>1213</v>
      </c>
      <c r="F29" s="29" t="s">
        <v>2511</v>
      </c>
      <c r="G29" s="29"/>
      <c r="H29" s="27"/>
    </row>
    <row r="30">
      <c r="A30" s="10" t="s">
        <v>209</v>
      </c>
      <c r="B30" s="22" t="s">
        <v>1996</v>
      </c>
      <c r="C30" s="22" t="s">
        <v>351</v>
      </c>
      <c r="D30" s="22" t="s">
        <v>2205</v>
      </c>
      <c r="E30" s="22" t="s">
        <v>2325</v>
      </c>
      <c r="F30" s="22" t="s">
        <v>1339</v>
      </c>
      <c r="G30" s="22"/>
      <c r="H30" s="27"/>
    </row>
    <row r="31">
      <c r="A31" s="10" t="s">
        <v>215</v>
      </c>
      <c r="B31" s="29" t="s">
        <v>231</v>
      </c>
      <c r="C31" s="29" t="s">
        <v>906</v>
      </c>
      <c r="D31" s="29" t="s">
        <v>220</v>
      </c>
      <c r="E31" s="29" t="s">
        <v>220</v>
      </c>
      <c r="F31" s="29" t="s">
        <v>1346</v>
      </c>
      <c r="G31" s="29"/>
      <c r="H31" s="27"/>
    </row>
    <row r="32">
      <c r="A32" s="15" t="s">
        <v>224</v>
      </c>
      <c r="B32" s="22" t="s">
        <v>549</v>
      </c>
      <c r="C32" s="22" t="s">
        <v>926</v>
      </c>
      <c r="D32" s="22" t="s">
        <v>1650</v>
      </c>
      <c r="E32" s="22" t="s">
        <v>2327</v>
      </c>
      <c r="F32" s="22" t="s">
        <v>2512</v>
      </c>
      <c r="G32" s="22"/>
      <c r="H32" s="27"/>
    </row>
    <row r="33">
      <c r="A33" s="30"/>
      <c r="B33" s="22" t="s">
        <v>799</v>
      </c>
      <c r="C33" s="22" t="s">
        <v>1664</v>
      </c>
      <c r="D33" s="22" t="s">
        <v>2513</v>
      </c>
      <c r="E33" s="22" t="s">
        <v>1352</v>
      </c>
      <c r="F33" s="22" t="s">
        <v>1788</v>
      </c>
      <c r="G33" s="22"/>
      <c r="H33" s="27"/>
    </row>
    <row r="34">
      <c r="A34" s="30"/>
      <c r="B34" s="22" t="s">
        <v>934</v>
      </c>
      <c r="C34" s="22" t="s">
        <v>367</v>
      </c>
      <c r="D34" s="22" t="s">
        <v>2217</v>
      </c>
      <c r="E34" s="22" t="s">
        <v>549</v>
      </c>
      <c r="F34" s="22" t="s">
        <v>2220</v>
      </c>
      <c r="G34" s="22"/>
      <c r="H34" s="27"/>
    </row>
    <row r="35">
      <c r="A35" s="25"/>
      <c r="B35" s="22" t="s">
        <v>1999</v>
      </c>
      <c r="C35" s="22" t="s">
        <v>2346</v>
      </c>
      <c r="D35" s="22" t="s">
        <v>431</v>
      </c>
      <c r="E35" s="22" t="s">
        <v>2514</v>
      </c>
      <c r="F35" s="22" t="s">
        <v>2109</v>
      </c>
      <c r="G35" s="22"/>
      <c r="H35" s="31"/>
      <c r="I35" s="32"/>
    </row>
    <row r="36">
      <c r="A36" s="10" t="s">
        <v>5</v>
      </c>
      <c r="B36" s="11" t="s">
        <v>2516</v>
      </c>
      <c r="C36" s="9"/>
      <c r="D36" s="9"/>
      <c r="E36" s="9"/>
      <c r="F36" s="9"/>
      <c r="G36" s="9"/>
      <c r="H36" s="9"/>
      <c r="I36" s="14"/>
    </row>
    <row r="37" ht="60.0" customHeight="1">
      <c r="A37" s="15" t="s">
        <v>16</v>
      </c>
      <c r="B37" s="22" t="str">
        <f t="array" ref="B37">iferror(VLOOKUP(INDIRECT(ADDRESS(ROW()+1,COLUMN(), 4)),Dex!$A$2:$C671,3,false),"")</f>
        <v/>
      </c>
      <c r="C37" s="22" t="str">
        <f t="array" ref="C37">iferror(VLOOKUP(INDIRECT(ADDRESS(ROW()+1,COLUMN(), 4)),Dex!$A$2:$C671,3,false),"")</f>
        <v/>
      </c>
      <c r="D37" s="22" t="str">
        <f t="array" ref="D37">iferror(VLOOKUP(INDIRECT(ADDRESS(ROW()+1,COLUMN(), 4)),Dex!$A$2:$C671,3,false),"")</f>
        <v/>
      </c>
      <c r="E37" s="22" t="str">
        <f t="array" ref="E37">iferror(VLOOKUP(INDIRECT(ADDRESS(ROW()+1,COLUMN(), 4)),Dex!$A$2:$C671,3,false),"")</f>
        <v/>
      </c>
      <c r="F37" s="22" t="str">
        <f t="array" ref="F37">iferror(VLOOKUP(INDIRECT(ADDRESS(ROW()+1,COLUMN(), 4)),Dex!$A$2:$C671,3,false),"")</f>
        <v/>
      </c>
      <c r="G37" s="22" t="str">
        <f t="array" ref="G37">iferror(VLOOKUP(INDIRECT(ADDRESS(ROW()+1,COLUMN(), 4)),Dex!$A$2:$C671,3,false),"")</f>
        <v/>
      </c>
      <c r="H37" s="23" t="str">
        <f t="array" ref="H37">iferror(VLOOKUP("TRAINER_PIC_Ninja_Boy",Sprites!$A$1:$B671,2,false),"")</f>
        <v/>
      </c>
      <c r="I37" s="24"/>
    </row>
    <row r="38">
      <c r="A38" s="25"/>
      <c r="B38" s="26" t="s">
        <v>841</v>
      </c>
      <c r="C38" s="26" t="s">
        <v>1081</v>
      </c>
      <c r="D38" s="26" t="s">
        <v>889</v>
      </c>
      <c r="E38" s="26" t="s">
        <v>1084</v>
      </c>
      <c r="F38" s="26" t="s">
        <v>1943</v>
      </c>
      <c r="G38" s="26"/>
      <c r="H38" s="27"/>
    </row>
    <row r="39">
      <c r="A39" s="10" t="s">
        <v>199</v>
      </c>
      <c r="B39" s="22">
        <v>78.0</v>
      </c>
      <c r="C39" s="22">
        <v>78.0</v>
      </c>
      <c r="D39" s="22">
        <v>78.0</v>
      </c>
      <c r="E39" s="22" t="s">
        <v>2531</v>
      </c>
      <c r="F39" s="22">
        <v>79.0</v>
      </c>
      <c r="G39" s="22"/>
      <c r="H39" s="27"/>
    </row>
    <row r="40">
      <c r="A40" s="10" t="s">
        <v>201</v>
      </c>
      <c r="B40" s="29" t="s">
        <v>644</v>
      </c>
      <c r="C40" s="29" t="s">
        <v>2474</v>
      </c>
      <c r="D40" s="29" t="s">
        <v>206</v>
      </c>
      <c r="E40" s="29" t="s">
        <v>2493</v>
      </c>
      <c r="F40" s="29" t="s">
        <v>2532</v>
      </c>
      <c r="G40" s="29"/>
      <c r="H40" s="27"/>
    </row>
    <row r="41">
      <c r="A41" s="10" t="s">
        <v>209</v>
      </c>
      <c r="B41" s="22" t="s">
        <v>2473</v>
      </c>
      <c r="C41" s="22" t="s">
        <v>348</v>
      </c>
      <c r="D41" s="22" t="s">
        <v>2533</v>
      </c>
      <c r="E41" s="22" t="s">
        <v>2405</v>
      </c>
      <c r="F41" s="22" t="s">
        <v>1339</v>
      </c>
      <c r="G41" s="22"/>
      <c r="H41" s="27"/>
    </row>
    <row r="42">
      <c r="A42" s="10" t="s">
        <v>215</v>
      </c>
      <c r="B42" s="29" t="s">
        <v>220</v>
      </c>
      <c r="C42" s="29" t="s">
        <v>419</v>
      </c>
      <c r="D42" s="29" t="s">
        <v>419</v>
      </c>
      <c r="E42" s="29" t="s">
        <v>231</v>
      </c>
      <c r="F42" s="29" t="s">
        <v>231</v>
      </c>
      <c r="G42" s="29"/>
      <c r="H42" s="27"/>
    </row>
    <row r="43">
      <c r="A43" s="15" t="s">
        <v>224</v>
      </c>
      <c r="B43" s="22" t="s">
        <v>361</v>
      </c>
      <c r="C43" s="22" t="s">
        <v>2115</v>
      </c>
      <c r="D43" s="22" t="s">
        <v>582</v>
      </c>
      <c r="E43" s="22" t="s">
        <v>549</v>
      </c>
      <c r="F43" s="22" t="s">
        <v>1848</v>
      </c>
      <c r="G43" s="22"/>
      <c r="H43" s="27"/>
    </row>
    <row r="44">
      <c r="A44" s="30"/>
      <c r="B44" s="22" t="s">
        <v>1941</v>
      </c>
      <c r="C44" s="22" t="s">
        <v>360</v>
      </c>
      <c r="D44" s="22" t="s">
        <v>1359</v>
      </c>
      <c r="E44" s="22" t="s">
        <v>356</v>
      </c>
      <c r="F44" s="22" t="s">
        <v>477</v>
      </c>
      <c r="G44" s="22"/>
      <c r="H44" s="27"/>
    </row>
    <row r="45">
      <c r="A45" s="30"/>
      <c r="B45" s="22" t="s">
        <v>477</v>
      </c>
      <c r="C45" s="22" t="s">
        <v>1162</v>
      </c>
      <c r="D45" s="22" t="s">
        <v>585</v>
      </c>
      <c r="E45" s="22" t="s">
        <v>1454</v>
      </c>
      <c r="F45" s="22" t="s">
        <v>463</v>
      </c>
      <c r="G45" s="22"/>
      <c r="H45" s="27"/>
    </row>
    <row r="46">
      <c r="A46" s="25"/>
      <c r="B46" s="22" t="s">
        <v>698</v>
      </c>
      <c r="C46" s="22"/>
      <c r="D46" s="22" t="s">
        <v>2047</v>
      </c>
      <c r="E46" s="22" t="s">
        <v>1068</v>
      </c>
      <c r="F46" s="22" t="s">
        <v>1251</v>
      </c>
      <c r="G46" s="22"/>
      <c r="H46" s="31"/>
      <c r="I46" s="32"/>
    </row>
    <row r="47">
      <c r="A47" s="10" t="s">
        <v>5</v>
      </c>
      <c r="B47" s="11" t="s">
        <v>2536</v>
      </c>
      <c r="C47" s="9"/>
      <c r="D47" s="9"/>
      <c r="E47" s="9"/>
      <c r="F47" s="9"/>
      <c r="G47" s="9"/>
      <c r="H47" s="9"/>
      <c r="I47" s="14"/>
    </row>
    <row r="48" ht="60.0" customHeight="1">
      <c r="A48" s="15" t="s">
        <v>16</v>
      </c>
      <c r="B48" s="22" t="str">
        <f t="array" ref="B48">iferror(VLOOKUP(INDIRECT(ADDRESS(ROW()+1,COLUMN(), 4)),Dex!$A$2:$C671,3,false),"")</f>
        <v/>
      </c>
      <c r="C48" s="22" t="str">
        <f t="array" ref="C48">iferror(VLOOKUP(INDIRECT(ADDRESS(ROW()+1,COLUMN(), 4)),Dex!$A$2:$C671,3,false),"")</f>
        <v/>
      </c>
      <c r="D48" s="22" t="str">
        <f t="array" ref="D48">iferror(VLOOKUP(INDIRECT(ADDRESS(ROW()+1,COLUMN(), 4)),Dex!$A$2:$C671,3,false),"")</f>
        <v/>
      </c>
      <c r="E48" s="22" t="str">
        <f t="array" ref="E48">iferror(VLOOKUP(INDIRECT(ADDRESS(ROW()+1,COLUMN(), 4)),Dex!$A$2:$C671,3,false),"")</f>
        <v/>
      </c>
      <c r="F48" s="22" t="str">
        <f t="array" ref="F48">iferror(VLOOKUP(INDIRECT(ADDRESS(ROW()+1,COLUMN(), 4)),Dex!$A$2:$C671,3,false),"")</f>
        <v/>
      </c>
      <c r="G48" s="22" t="str">
        <f t="array" ref="G48">iferror(VLOOKUP(INDIRECT(ADDRESS(ROW()+1,COLUMN(), 4)),Dex!$A$2:$C671,3,false),"")</f>
        <v/>
      </c>
      <c r="H48" s="23" t="str">
        <f t="array" ref="H48">iferror(VLOOKUP("TRAINER_PIC_Cooltrainer_M",Sprites!$A$1:$B671,2,false),"")</f>
        <v/>
      </c>
      <c r="I48" s="24"/>
    </row>
    <row r="49">
      <c r="A49" s="25"/>
      <c r="B49" s="26" t="s">
        <v>671</v>
      </c>
      <c r="C49" s="26" t="s">
        <v>1445</v>
      </c>
      <c r="D49" s="26" t="s">
        <v>2136</v>
      </c>
      <c r="E49" s="26" t="s">
        <v>548</v>
      </c>
      <c r="F49" s="26" t="s">
        <v>482</v>
      </c>
      <c r="G49" s="26"/>
      <c r="H49" s="27"/>
    </row>
    <row r="50">
      <c r="A50" s="10" t="s">
        <v>199</v>
      </c>
      <c r="B50" s="22">
        <v>78.0</v>
      </c>
      <c r="C50" s="22">
        <v>79.0</v>
      </c>
      <c r="D50" s="22">
        <v>79.0</v>
      </c>
      <c r="E50" s="22">
        <v>78.0</v>
      </c>
      <c r="F50" s="22">
        <v>80.0</v>
      </c>
      <c r="G50" s="22"/>
      <c r="H50" s="27"/>
    </row>
    <row r="51">
      <c r="A51" s="10" t="s">
        <v>201</v>
      </c>
      <c r="B51" s="29" t="s">
        <v>455</v>
      </c>
      <c r="C51" s="29" t="s">
        <v>2552</v>
      </c>
      <c r="D51" s="29" t="s">
        <v>1546</v>
      </c>
      <c r="E51" s="29" t="s">
        <v>545</v>
      </c>
      <c r="F51" s="29" t="s">
        <v>2338</v>
      </c>
      <c r="G51" s="29"/>
      <c r="H51" s="27"/>
    </row>
    <row r="52">
      <c r="A52" s="10" t="s">
        <v>209</v>
      </c>
      <c r="B52" s="22" t="s">
        <v>553</v>
      </c>
      <c r="C52" s="22" t="s">
        <v>2553</v>
      </c>
      <c r="D52" s="22" t="s">
        <v>2508</v>
      </c>
      <c r="E52" s="22" t="s">
        <v>1950</v>
      </c>
      <c r="F52" s="22" t="s">
        <v>2391</v>
      </c>
      <c r="G52" s="22"/>
      <c r="H52" s="27"/>
    </row>
    <row r="53">
      <c r="A53" s="10" t="s">
        <v>215</v>
      </c>
      <c r="B53" s="29" t="s">
        <v>1346</v>
      </c>
      <c r="C53" s="29" t="s">
        <v>419</v>
      </c>
      <c r="D53" s="29" t="s">
        <v>231</v>
      </c>
      <c r="E53" s="29" t="s">
        <v>419</v>
      </c>
      <c r="F53" s="29" t="s">
        <v>220</v>
      </c>
      <c r="G53" s="29"/>
      <c r="H53" s="27"/>
    </row>
    <row r="54">
      <c r="A54" s="15" t="s">
        <v>224</v>
      </c>
      <c r="B54" s="22" t="s">
        <v>2386</v>
      </c>
      <c r="C54" s="22" t="s">
        <v>2555</v>
      </c>
      <c r="D54" s="22" t="s">
        <v>2556</v>
      </c>
      <c r="E54" s="22" t="s">
        <v>1769</v>
      </c>
      <c r="F54" s="22" t="s">
        <v>1460</v>
      </c>
      <c r="G54" s="22"/>
      <c r="H54" s="27"/>
    </row>
    <row r="55">
      <c r="A55" s="30"/>
      <c r="B55" s="22" t="s">
        <v>577</v>
      </c>
      <c r="C55" s="22" t="s">
        <v>2557</v>
      </c>
      <c r="D55" s="22" t="s">
        <v>2558</v>
      </c>
      <c r="E55" s="22" t="s">
        <v>581</v>
      </c>
      <c r="F55" s="22" t="s">
        <v>2559</v>
      </c>
      <c r="G55" s="22"/>
      <c r="H55" s="27"/>
    </row>
    <row r="56">
      <c r="A56" s="30"/>
      <c r="B56" s="22" t="s">
        <v>2560</v>
      </c>
      <c r="C56" s="22" t="s">
        <v>697</v>
      </c>
      <c r="D56" s="22" t="s">
        <v>652</v>
      </c>
      <c r="E56" s="22" t="s">
        <v>577</v>
      </c>
      <c r="F56" s="22" t="s">
        <v>1454</v>
      </c>
      <c r="G56" s="22"/>
      <c r="H56" s="27"/>
    </row>
    <row r="57">
      <c r="A57" s="25"/>
      <c r="B57" s="22" t="s">
        <v>1069</v>
      </c>
      <c r="C57" s="22" t="s">
        <v>694</v>
      </c>
      <c r="D57" s="22" t="s">
        <v>2561</v>
      </c>
      <c r="E57" s="22" t="s">
        <v>2562</v>
      </c>
      <c r="F57" s="22" t="s">
        <v>356</v>
      </c>
      <c r="G57" s="22"/>
      <c r="H57" s="31"/>
      <c r="I57" s="32"/>
    </row>
    <row r="58">
      <c r="A58" s="10" t="s">
        <v>5</v>
      </c>
      <c r="B58" s="11" t="s">
        <v>2563</v>
      </c>
      <c r="C58" s="9"/>
      <c r="D58" s="9"/>
      <c r="E58" s="9"/>
      <c r="F58" s="9"/>
      <c r="G58" s="9"/>
      <c r="H58" s="9"/>
      <c r="I58" s="14"/>
    </row>
    <row r="59" ht="60.0" customHeight="1">
      <c r="A59" s="15" t="s">
        <v>16</v>
      </c>
      <c r="B59" s="22" t="str">
        <f t="array" ref="B59">iferror(VLOOKUP(INDIRECT(ADDRESS(ROW()+1,COLUMN(), 4)),Dex!$A$2:$C671,3,false),"")</f>
        <v/>
      </c>
      <c r="C59" s="22" t="str">
        <f t="array" ref="C59">iferror(VLOOKUP(INDIRECT(ADDRESS(ROW()+1,COLUMN(), 4)),Dex!$A$2:$C671,3,false),"")</f>
        <v/>
      </c>
      <c r="D59" s="22" t="str">
        <f t="array" ref="D59">iferror(VLOOKUP(INDIRECT(ADDRESS(ROW()+1,COLUMN(), 4)),Dex!$A$2:$C671,3,false),"")</f>
        <v/>
      </c>
      <c r="E59" s="22" t="str">
        <f t="array" ref="E59">iferror(VLOOKUP(INDIRECT(ADDRESS(ROW()+1,COLUMN(), 4)),Dex!$A$2:$C671,3,false),"")</f>
        <v/>
      </c>
      <c r="F59" s="22" t="str">
        <f t="array" ref="F59">iferror(VLOOKUP(INDIRECT(ADDRESS(ROW()+1,COLUMN(), 4)),Dex!$A$2:$C671,3,false),"")</f>
        <v/>
      </c>
      <c r="G59" s="22" t="str">
        <f t="array" ref="G59">iferror(VLOOKUP(INDIRECT(ADDRESS(ROW()+1,COLUMN(), 4)),Dex!$A$2:$C671,3,false),"")</f>
        <v/>
      </c>
      <c r="H59" s="23" t="str">
        <f t="array" ref="H59">iferror(VLOOKUP("TRAINER_PIC_Cooltrainer_F",Sprites!$A$1:$B671,2,false),"")</f>
        <v/>
      </c>
      <c r="I59" s="24"/>
    </row>
    <row r="60">
      <c r="A60" s="25"/>
      <c r="B60" s="26" t="s">
        <v>611</v>
      </c>
      <c r="C60" s="26" t="s">
        <v>747</v>
      </c>
      <c r="D60" s="26" t="s">
        <v>969</v>
      </c>
      <c r="E60" s="26" t="s">
        <v>1946</v>
      </c>
      <c r="F60" s="26" t="s">
        <v>1825</v>
      </c>
      <c r="G60" s="26" t="s">
        <v>1318</v>
      </c>
      <c r="H60" s="27"/>
    </row>
    <row r="61">
      <c r="A61" s="10" t="s">
        <v>199</v>
      </c>
      <c r="B61" s="22">
        <v>78.0</v>
      </c>
      <c r="C61" s="22">
        <v>79.0</v>
      </c>
      <c r="D61" s="22" t="s">
        <v>2568</v>
      </c>
      <c r="E61" s="22">
        <v>79.0</v>
      </c>
      <c r="F61" s="22">
        <v>79.0</v>
      </c>
      <c r="G61" s="22">
        <v>78.0</v>
      </c>
      <c r="H61" s="27"/>
    </row>
    <row r="62">
      <c r="A62" s="10" t="s">
        <v>201</v>
      </c>
      <c r="B62" s="29" t="s">
        <v>1022</v>
      </c>
      <c r="C62" s="29" t="s">
        <v>2570</v>
      </c>
      <c r="D62" s="29" t="s">
        <v>1546</v>
      </c>
      <c r="E62" s="29" t="s">
        <v>2571</v>
      </c>
      <c r="F62" s="29" t="s">
        <v>408</v>
      </c>
      <c r="G62" s="29" t="s">
        <v>644</v>
      </c>
      <c r="H62" s="27"/>
    </row>
    <row r="63">
      <c r="A63" s="10" t="s">
        <v>209</v>
      </c>
      <c r="B63" s="22" t="s">
        <v>538</v>
      </c>
      <c r="C63" s="22" t="s">
        <v>2404</v>
      </c>
      <c r="D63" s="22" t="s">
        <v>458</v>
      </c>
      <c r="E63" s="22" t="s">
        <v>2424</v>
      </c>
      <c r="F63" s="22" t="s">
        <v>2205</v>
      </c>
      <c r="G63" s="22" t="s">
        <v>1641</v>
      </c>
      <c r="H63" s="27"/>
    </row>
    <row r="64">
      <c r="A64" s="10" t="s">
        <v>215</v>
      </c>
      <c r="B64" s="29" t="s">
        <v>1343</v>
      </c>
      <c r="C64" s="29" t="s">
        <v>231</v>
      </c>
      <c r="D64" s="29" t="s">
        <v>231</v>
      </c>
      <c r="E64" s="29" t="s">
        <v>419</v>
      </c>
      <c r="F64" s="29" t="s">
        <v>231</v>
      </c>
      <c r="G64" s="29" t="s">
        <v>419</v>
      </c>
      <c r="H64" s="27"/>
    </row>
    <row r="65">
      <c r="A65" s="15" t="s">
        <v>224</v>
      </c>
      <c r="B65" s="22" t="s">
        <v>806</v>
      </c>
      <c r="C65" s="22" t="s">
        <v>549</v>
      </c>
      <c r="D65" s="22" t="s">
        <v>2575</v>
      </c>
      <c r="E65" s="22" t="s">
        <v>2576</v>
      </c>
      <c r="F65" s="22" t="s">
        <v>2268</v>
      </c>
      <c r="G65" s="22" t="s">
        <v>806</v>
      </c>
      <c r="H65" s="27"/>
    </row>
    <row r="66">
      <c r="A66" s="30"/>
      <c r="B66" s="22" t="s">
        <v>581</v>
      </c>
      <c r="C66" s="22" t="s">
        <v>799</v>
      </c>
      <c r="D66" s="22" t="s">
        <v>254</v>
      </c>
      <c r="E66" s="22" t="s">
        <v>2578</v>
      </c>
      <c r="F66" s="22" t="s">
        <v>1650</v>
      </c>
      <c r="G66" s="22" t="s">
        <v>2579</v>
      </c>
      <c r="H66" s="27"/>
    </row>
    <row r="67">
      <c r="A67" s="30"/>
      <c r="B67" s="22" t="s">
        <v>477</v>
      </c>
      <c r="C67" s="22" t="s">
        <v>652</v>
      </c>
      <c r="D67" s="22" t="s">
        <v>1068</v>
      </c>
      <c r="E67" s="22" t="s">
        <v>2555</v>
      </c>
      <c r="F67" s="22" t="s">
        <v>2582</v>
      </c>
      <c r="G67" s="22" t="s">
        <v>1434</v>
      </c>
      <c r="H67" s="27"/>
    </row>
    <row r="68">
      <c r="A68" s="25"/>
      <c r="B68" s="22" t="s">
        <v>1716</v>
      </c>
      <c r="C68" s="22" t="s">
        <v>366</v>
      </c>
      <c r="D68" s="22" t="s">
        <v>2583</v>
      </c>
      <c r="E68" s="22" t="s">
        <v>1366</v>
      </c>
      <c r="F68" s="22" t="s">
        <v>2217</v>
      </c>
      <c r="G68" s="22" t="s">
        <v>1291</v>
      </c>
      <c r="H68" s="31"/>
      <c r="I68" s="32"/>
    </row>
    <row r="69">
      <c r="A69" s="8" t="s">
        <v>2585</v>
      </c>
      <c r="B69" s="9"/>
      <c r="C69" s="9"/>
      <c r="D69" s="9"/>
      <c r="E69" s="9"/>
      <c r="F69" s="9"/>
      <c r="G69" s="9"/>
      <c r="H69" s="9"/>
      <c r="I69" s="34"/>
    </row>
    <row r="70">
      <c r="A70" s="10" t="s">
        <v>5</v>
      </c>
      <c r="B70" s="11" t="s">
        <v>2587</v>
      </c>
      <c r="C70" s="9"/>
      <c r="D70" s="9"/>
      <c r="E70" s="9"/>
      <c r="F70" s="9"/>
      <c r="G70" s="9"/>
      <c r="H70" s="9"/>
      <c r="I70" s="14"/>
    </row>
    <row r="71" ht="60.0" customHeight="1">
      <c r="A71" s="15" t="s">
        <v>16</v>
      </c>
      <c r="B71" s="22" t="str">
        <f t="array" ref="B71">iferror(VLOOKUP(INDIRECT(ADDRESS(ROW()+1,COLUMN(), 4)),Dex!$A$2:$C671,3,false),"")</f>
        <v/>
      </c>
      <c r="C71" s="22" t="str">
        <f t="array" ref="C71">iferror(VLOOKUP(INDIRECT(ADDRESS(ROW()+1,COLUMN(), 4)),Dex!$A$2:$C671,3,false),"")</f>
        <v/>
      </c>
      <c r="D71" s="22" t="str">
        <f t="array" ref="D71">iferror(VLOOKUP(INDIRECT(ADDRESS(ROW()+1,COLUMN(), 4)),Dex!$A$2:$C671,3,false),"")</f>
        <v/>
      </c>
      <c r="E71" s="22" t="str">
        <f t="array" ref="E71">iferror(VLOOKUP(INDIRECT(ADDRESS(ROW()+1,COLUMN(), 4)),Dex!$A$2:$C671,3,false),"")</f>
        <v/>
      </c>
      <c r="F71" s="22" t="str">
        <f t="array" ref="F71">iferror(VLOOKUP(INDIRECT(ADDRESS(ROW()+1,COLUMN(), 4)),Dex!$A$2:$C671,3,false),"")</f>
        <v/>
      </c>
      <c r="G71" s="22" t="str">
        <f t="array" ref="G71">iferror(VLOOKUP(INDIRECT(ADDRESS(ROW()+1,COLUMN(), 4)),Dex!$A$2:$C671,3,false),"")</f>
        <v/>
      </c>
      <c r="H71" s="23" t="str">
        <f t="array" ref="H71">iferror(VLOOKUP("TRAINER_PIC_Beauty",Sprites!$A$1:$B671,2,false),"")</f>
        <v/>
      </c>
      <c r="I71" s="24"/>
    </row>
    <row r="72">
      <c r="A72" s="25"/>
      <c r="B72" s="26" t="s">
        <v>1532</v>
      </c>
      <c r="C72" s="26" t="s">
        <v>176</v>
      </c>
      <c r="D72" s="26" t="s">
        <v>666</v>
      </c>
      <c r="E72" s="26" t="s">
        <v>839</v>
      </c>
      <c r="F72" s="26" t="s">
        <v>851</v>
      </c>
      <c r="G72" s="26"/>
      <c r="H72" s="27"/>
    </row>
    <row r="73">
      <c r="A73" s="10" t="s">
        <v>199</v>
      </c>
      <c r="B73" s="22">
        <v>79.0</v>
      </c>
      <c r="C73" s="22">
        <v>79.0</v>
      </c>
      <c r="D73" s="22">
        <v>79.0</v>
      </c>
      <c r="E73" s="22" t="s">
        <v>2592</v>
      </c>
      <c r="F73" s="22">
        <v>80.0</v>
      </c>
      <c r="G73" s="22"/>
      <c r="H73" s="27"/>
    </row>
    <row r="74">
      <c r="A74" s="10" t="s">
        <v>201</v>
      </c>
      <c r="B74" s="29" t="s">
        <v>1281</v>
      </c>
      <c r="C74" s="29" t="s">
        <v>206</v>
      </c>
      <c r="D74" s="29" t="s">
        <v>644</v>
      </c>
      <c r="E74" s="29" t="s">
        <v>645</v>
      </c>
      <c r="F74" s="29" t="s">
        <v>2595</v>
      </c>
      <c r="G74" s="29"/>
      <c r="H74" s="27"/>
    </row>
    <row r="75">
      <c r="A75" s="10" t="s">
        <v>209</v>
      </c>
      <c r="B75" s="22" t="s">
        <v>2596</v>
      </c>
      <c r="C75" s="22" t="s">
        <v>352</v>
      </c>
      <c r="D75" s="22" t="s">
        <v>1785</v>
      </c>
      <c r="E75" s="22" t="s">
        <v>2598</v>
      </c>
      <c r="F75" s="22" t="s">
        <v>1840</v>
      </c>
      <c r="G75" s="22"/>
      <c r="H75" s="27"/>
    </row>
    <row r="76">
      <c r="A76" s="10" t="s">
        <v>215</v>
      </c>
      <c r="B76" s="29" t="s">
        <v>906</v>
      </c>
      <c r="C76" s="29" t="s">
        <v>419</v>
      </c>
      <c r="D76" s="29" t="s">
        <v>419</v>
      </c>
      <c r="E76" s="29" t="s">
        <v>1343</v>
      </c>
      <c r="F76" s="29" t="s">
        <v>231</v>
      </c>
      <c r="G76" s="29"/>
      <c r="H76" s="27"/>
    </row>
    <row r="77">
      <c r="A77" s="15" t="s">
        <v>224</v>
      </c>
      <c r="B77" s="22" t="s">
        <v>1873</v>
      </c>
      <c r="C77" s="22" t="s">
        <v>2601</v>
      </c>
      <c r="D77" s="22" t="s">
        <v>1458</v>
      </c>
      <c r="E77" s="22" t="s">
        <v>362</v>
      </c>
      <c r="F77" s="22" t="s">
        <v>477</v>
      </c>
      <c r="G77" s="22"/>
      <c r="H77" s="27"/>
    </row>
    <row r="78">
      <c r="A78" s="30"/>
      <c r="B78" s="22" t="s">
        <v>701</v>
      </c>
      <c r="C78" s="22" t="s">
        <v>2040</v>
      </c>
      <c r="D78" s="22" t="s">
        <v>1564</v>
      </c>
      <c r="E78" s="22" t="s">
        <v>940</v>
      </c>
      <c r="F78" s="22" t="s">
        <v>1352</v>
      </c>
      <c r="G78" s="22"/>
      <c r="H78" s="27"/>
    </row>
    <row r="79">
      <c r="A79" s="30"/>
      <c r="B79" s="22" t="s">
        <v>1935</v>
      </c>
      <c r="C79" s="22" t="s">
        <v>1363</v>
      </c>
      <c r="D79" s="22" t="s">
        <v>467</v>
      </c>
      <c r="E79" s="22" t="s">
        <v>367</v>
      </c>
      <c r="F79" s="22" t="s">
        <v>809</v>
      </c>
      <c r="G79" s="22"/>
      <c r="H79" s="27"/>
    </row>
    <row r="80">
      <c r="A80" s="25"/>
      <c r="B80" s="22" t="s">
        <v>1442</v>
      </c>
      <c r="C80" s="22" t="s">
        <v>2555</v>
      </c>
      <c r="D80" s="22" t="s">
        <v>1169</v>
      </c>
      <c r="E80" s="22" t="s">
        <v>1131</v>
      </c>
      <c r="F80" s="22" t="s">
        <v>549</v>
      </c>
      <c r="G80" s="22"/>
      <c r="H80" s="31"/>
      <c r="I80" s="32"/>
    </row>
    <row r="81">
      <c r="A81" s="10" t="s">
        <v>5</v>
      </c>
      <c r="B81" s="11" t="s">
        <v>2607</v>
      </c>
      <c r="C81" s="9"/>
      <c r="D81" s="9"/>
      <c r="E81" s="9"/>
      <c r="F81" s="9"/>
      <c r="G81" s="9"/>
      <c r="H81" s="9"/>
      <c r="I81" s="14"/>
    </row>
    <row r="82" ht="60.0" customHeight="1">
      <c r="A82" s="15" t="s">
        <v>16</v>
      </c>
      <c r="B82" s="22" t="str">
        <f t="array" ref="B82">iferror(VLOOKUP(INDIRECT(ADDRESS(ROW()+1,COLUMN(), 4)),Dex!$A$2:$C671,3,false),"")</f>
        <v/>
      </c>
      <c r="C82" s="22" t="str">
        <f t="array" ref="C82">iferror(VLOOKUP(INDIRECT(ADDRESS(ROW()+1,COLUMN(), 4)),Dex!$A$2:$C671,3,false),"")</f>
        <v/>
      </c>
      <c r="D82" s="22" t="str">
        <f t="array" ref="D82">iferror(VLOOKUP(INDIRECT(ADDRESS(ROW()+1,COLUMN(), 4)),Dex!$A$2:$C671,3,false),"")</f>
        <v/>
      </c>
      <c r="E82" s="22" t="str">
        <f t="array" ref="E82">iferror(VLOOKUP(INDIRECT(ADDRESS(ROW()+1,COLUMN(), 4)),Dex!$A$2:$C671,3,false),"")</f>
        <v/>
      </c>
      <c r="F82" s="22" t="str">
        <f t="array" ref="F82">iferror(VLOOKUP(INDIRECT(ADDRESS(ROW()+1,COLUMN(), 4)),Dex!$A$2:$C671,3,false),"")</f>
        <v/>
      </c>
      <c r="G82" s="22" t="str">
        <f t="array" ref="G82">iferror(VLOOKUP(INDIRECT(ADDRESS(ROW()+1,COLUMN(), 4)),Dex!$A$2:$C671,3,false),"")</f>
        <v/>
      </c>
      <c r="H82" s="23" t="str">
        <f t="array" ref="H82">iferror(VLOOKUP("TRAINER_PIC_SR_AND_JR",Sprites!$A$1:$B671,2,false),"")</f>
        <v/>
      </c>
      <c r="I82" s="24"/>
    </row>
    <row r="83">
      <c r="A83" s="25"/>
      <c r="B83" s="26" t="s">
        <v>1876</v>
      </c>
      <c r="C83" s="26" t="s">
        <v>1967</v>
      </c>
      <c r="D83" s="26" t="s">
        <v>1086</v>
      </c>
      <c r="E83" s="26" t="s">
        <v>2180</v>
      </c>
      <c r="F83" s="26" t="s">
        <v>1114</v>
      </c>
      <c r="G83" s="26" t="s">
        <v>1116</v>
      </c>
      <c r="H83" s="27"/>
    </row>
    <row r="84">
      <c r="A84" s="10" t="s">
        <v>199</v>
      </c>
      <c r="B84" s="22">
        <v>78.0</v>
      </c>
      <c r="C84" s="22">
        <v>78.0</v>
      </c>
      <c r="D84" s="22">
        <v>79.0</v>
      </c>
      <c r="E84" s="22">
        <v>79.0</v>
      </c>
      <c r="F84" s="22" t="s">
        <v>2612</v>
      </c>
      <c r="G84" s="22">
        <v>80.0</v>
      </c>
      <c r="H84" s="27"/>
    </row>
    <row r="85">
      <c r="A85" s="10" t="s">
        <v>201</v>
      </c>
      <c r="B85" s="29" t="s">
        <v>205</v>
      </c>
      <c r="C85" s="29" t="s">
        <v>2032</v>
      </c>
      <c r="D85" s="29" t="s">
        <v>408</v>
      </c>
      <c r="E85" s="29" t="s">
        <v>1926</v>
      </c>
      <c r="F85" s="29" t="s">
        <v>453</v>
      </c>
      <c r="G85" s="29" t="s">
        <v>776</v>
      </c>
      <c r="H85" s="27"/>
    </row>
    <row r="86">
      <c r="A86" s="10" t="s">
        <v>209</v>
      </c>
      <c r="B86" s="22" t="s">
        <v>221</v>
      </c>
      <c r="C86" s="22" t="s">
        <v>2456</v>
      </c>
      <c r="D86" s="22" t="s">
        <v>2613</v>
      </c>
      <c r="E86" s="22" t="s">
        <v>2614</v>
      </c>
      <c r="F86" s="22" t="s">
        <v>413</v>
      </c>
      <c r="G86" s="22" t="s">
        <v>2615</v>
      </c>
      <c r="H86" s="27"/>
    </row>
    <row r="87">
      <c r="A87" s="10" t="s">
        <v>215</v>
      </c>
      <c r="B87" s="29" t="s">
        <v>542</v>
      </c>
      <c r="C87" s="29" t="s">
        <v>231</v>
      </c>
      <c r="D87" s="29" t="s">
        <v>419</v>
      </c>
      <c r="E87" s="29" t="s">
        <v>222</v>
      </c>
      <c r="F87" s="29" t="s">
        <v>906</v>
      </c>
      <c r="G87" s="29" t="s">
        <v>419</v>
      </c>
      <c r="H87" s="27"/>
    </row>
    <row r="88">
      <c r="A88" s="15" t="s">
        <v>224</v>
      </c>
      <c r="B88" s="22" t="s">
        <v>1227</v>
      </c>
      <c r="C88" s="22" t="s">
        <v>241</v>
      </c>
      <c r="D88" s="22" t="s">
        <v>2448</v>
      </c>
      <c r="E88" s="22" t="s">
        <v>560</v>
      </c>
      <c r="F88" s="22" t="s">
        <v>920</v>
      </c>
      <c r="G88" s="22" t="s">
        <v>2616</v>
      </c>
      <c r="H88" s="27"/>
    </row>
    <row r="89">
      <c r="A89" s="30"/>
      <c r="B89" s="22" t="s">
        <v>2616</v>
      </c>
      <c r="C89" s="22" t="s">
        <v>1893</v>
      </c>
      <c r="D89" s="22" t="s">
        <v>560</v>
      </c>
      <c r="E89" s="22" t="s">
        <v>1873</v>
      </c>
      <c r="F89" s="22" t="s">
        <v>229</v>
      </c>
      <c r="G89" s="22" t="s">
        <v>2617</v>
      </c>
      <c r="H89" s="27"/>
    </row>
    <row r="90">
      <c r="A90" s="30"/>
      <c r="B90" s="22" t="s">
        <v>2618</v>
      </c>
      <c r="C90" s="22" t="s">
        <v>477</v>
      </c>
      <c r="D90" s="22" t="s">
        <v>589</v>
      </c>
      <c r="E90" s="22" t="s">
        <v>229</v>
      </c>
      <c r="F90" s="22" t="s">
        <v>2619</v>
      </c>
      <c r="G90" s="22" t="s">
        <v>582</v>
      </c>
      <c r="H90" s="27"/>
    </row>
    <row r="91">
      <c r="A91" s="25"/>
      <c r="B91" s="22" t="s">
        <v>2620</v>
      </c>
      <c r="C91" s="22" t="s">
        <v>2621</v>
      </c>
      <c r="D91" s="22" t="s">
        <v>694</v>
      </c>
      <c r="E91" s="22" t="s">
        <v>552</v>
      </c>
      <c r="F91" s="22" t="s">
        <v>2049</v>
      </c>
      <c r="G91" s="22" t="s">
        <v>355</v>
      </c>
      <c r="H91" s="31"/>
      <c r="I91" s="32"/>
    </row>
    <row r="92">
      <c r="A92" s="10" t="s">
        <v>5</v>
      </c>
      <c r="B92" s="11" t="s">
        <v>2622</v>
      </c>
      <c r="C92" s="9"/>
      <c r="D92" s="9"/>
      <c r="E92" s="9"/>
      <c r="F92" s="9"/>
      <c r="G92" s="9"/>
      <c r="H92" s="9"/>
      <c r="I92" s="14"/>
    </row>
    <row r="93" ht="60.0" customHeight="1">
      <c r="A93" s="15" t="s">
        <v>16</v>
      </c>
      <c r="B93" s="22" t="str">
        <f t="array" ref="B93">iferror(VLOOKUP(INDIRECT(ADDRESS(ROW()+1,COLUMN(), 4)),Dex!$A$2:$C671,3,false),"")</f>
        <v/>
      </c>
      <c r="C93" s="22" t="str">
        <f t="array" ref="C93">iferror(VLOOKUP(INDIRECT(ADDRESS(ROW()+1,COLUMN(), 4)),Dex!$A$2:$C671,3,false),"")</f>
        <v/>
      </c>
      <c r="D93" s="22" t="str">
        <f t="array" ref="D93">iferror(VLOOKUP(INDIRECT(ADDRESS(ROW()+1,COLUMN(), 4)),Dex!$A$2:$C671,3,false),"")</f>
        <v/>
      </c>
      <c r="E93" s="22" t="str">
        <f t="array" ref="E93">iferror(VLOOKUP(INDIRECT(ADDRESS(ROW()+1,COLUMN(), 4)),Dex!$A$2:$C671,3,false),"")</f>
        <v/>
      </c>
      <c r="F93" s="22" t="str">
        <f t="array" ref="F93">iferror(VLOOKUP(INDIRECT(ADDRESS(ROW()+1,COLUMN(), 4)),Dex!$A$2:$C671,3,false),"")</f>
        <v/>
      </c>
      <c r="G93" s="22" t="str">
        <f t="array" ref="G93">iferror(VLOOKUP(INDIRECT(ADDRESS(ROW()+1,COLUMN(), 4)),Dex!$A$2:$C671,3,false),"")</f>
        <v/>
      </c>
      <c r="H93" s="23" t="str">
        <f t="array" ref="H93">iferror(VLOOKUP("TRAINER_PIC_Cooltrainer_M",Sprites!$A$1:$B671,2,false),"")</f>
        <v/>
      </c>
      <c r="I93" s="24"/>
    </row>
    <row r="94">
      <c r="A94" s="25"/>
      <c r="B94" s="26" t="s">
        <v>876</v>
      </c>
      <c r="C94" s="26" t="s">
        <v>1426</v>
      </c>
      <c r="D94" s="26" t="s">
        <v>1909</v>
      </c>
      <c r="E94" s="26" t="s">
        <v>2286</v>
      </c>
      <c r="F94" s="26" t="s">
        <v>2143</v>
      </c>
      <c r="G94" s="26" t="s">
        <v>641</v>
      </c>
      <c r="H94" s="27"/>
    </row>
    <row r="95">
      <c r="A95" s="10" t="s">
        <v>199</v>
      </c>
      <c r="B95" s="22">
        <v>78.0</v>
      </c>
      <c r="C95" s="22">
        <v>79.0</v>
      </c>
      <c r="D95" s="22">
        <v>80.0</v>
      </c>
      <c r="E95" s="22">
        <v>79.0</v>
      </c>
      <c r="F95" s="22">
        <v>79.0</v>
      </c>
      <c r="G95" s="22">
        <v>80.0</v>
      </c>
      <c r="H95" s="27"/>
    </row>
    <row r="96">
      <c r="A96" s="10" t="s">
        <v>201</v>
      </c>
      <c r="B96" s="29" t="s">
        <v>1015</v>
      </c>
      <c r="C96" s="29" t="s">
        <v>2631</v>
      </c>
      <c r="D96" s="29" t="s">
        <v>537</v>
      </c>
      <c r="E96" s="29" t="s">
        <v>408</v>
      </c>
      <c r="F96" s="29" t="s">
        <v>1928</v>
      </c>
      <c r="G96" s="29" t="s">
        <v>1148</v>
      </c>
      <c r="H96" s="27"/>
    </row>
    <row r="97">
      <c r="A97" s="10" t="s">
        <v>209</v>
      </c>
      <c r="B97" s="22" t="s">
        <v>1216</v>
      </c>
      <c r="C97" s="22" t="s">
        <v>786</v>
      </c>
      <c r="D97" s="22" t="s">
        <v>1459</v>
      </c>
      <c r="E97" s="22" t="s">
        <v>912</v>
      </c>
      <c r="F97" s="22" t="s">
        <v>2314</v>
      </c>
      <c r="G97" s="22" t="s">
        <v>541</v>
      </c>
      <c r="H97" s="27"/>
    </row>
    <row r="98">
      <c r="A98" s="10" t="s">
        <v>215</v>
      </c>
      <c r="B98" s="29" t="s">
        <v>904</v>
      </c>
      <c r="C98" s="29" t="s">
        <v>904</v>
      </c>
      <c r="D98" s="29" t="s">
        <v>220</v>
      </c>
      <c r="E98" s="29" t="s">
        <v>222</v>
      </c>
      <c r="F98" s="29" t="s">
        <v>419</v>
      </c>
      <c r="G98" s="29" t="s">
        <v>220</v>
      </c>
      <c r="H98" s="27"/>
    </row>
    <row r="99">
      <c r="A99" s="15" t="s">
        <v>224</v>
      </c>
      <c r="B99" s="22" t="s">
        <v>917</v>
      </c>
      <c r="C99" s="22" t="s">
        <v>942</v>
      </c>
      <c r="D99" s="22" t="s">
        <v>2447</v>
      </c>
      <c r="E99" s="22" t="s">
        <v>2528</v>
      </c>
      <c r="F99" s="22" t="s">
        <v>1937</v>
      </c>
      <c r="G99" s="22" t="s">
        <v>2634</v>
      </c>
      <c r="H99" s="27"/>
    </row>
    <row r="100">
      <c r="A100" s="30"/>
      <c r="B100" s="22" t="s">
        <v>652</v>
      </c>
      <c r="C100" s="22" t="s">
        <v>565</v>
      </c>
      <c r="D100" s="22" t="s">
        <v>795</v>
      </c>
      <c r="E100" s="22" t="s">
        <v>577</v>
      </c>
      <c r="F100" s="22" t="s">
        <v>2040</v>
      </c>
      <c r="G100" s="22" t="s">
        <v>2111</v>
      </c>
      <c r="H100" s="27"/>
    </row>
    <row r="101">
      <c r="A101" s="30"/>
      <c r="B101" s="22" t="s">
        <v>565</v>
      </c>
      <c r="C101" s="22" t="s">
        <v>555</v>
      </c>
      <c r="D101" s="22" t="s">
        <v>809</v>
      </c>
      <c r="E101" s="22" t="s">
        <v>1713</v>
      </c>
      <c r="F101" s="22" t="s">
        <v>2320</v>
      </c>
      <c r="G101" s="22" t="s">
        <v>242</v>
      </c>
      <c r="H101" s="27"/>
    </row>
    <row r="102">
      <c r="A102" s="25"/>
      <c r="B102" s="22" t="s">
        <v>424</v>
      </c>
      <c r="C102" s="22" t="s">
        <v>570</v>
      </c>
      <c r="D102" s="22" t="s">
        <v>1759</v>
      </c>
      <c r="E102" s="22" t="s">
        <v>357</v>
      </c>
      <c r="F102" s="22" t="s">
        <v>357</v>
      </c>
      <c r="G102" s="22" t="s">
        <v>254</v>
      </c>
      <c r="H102" s="31"/>
      <c r="I102" s="32"/>
    </row>
    <row r="103">
      <c r="A103" s="10" t="s">
        <v>5</v>
      </c>
      <c r="B103" s="11" t="s">
        <v>2641</v>
      </c>
      <c r="C103" s="9"/>
      <c r="D103" s="9"/>
      <c r="E103" s="9"/>
      <c r="F103" s="9"/>
      <c r="G103" s="9"/>
      <c r="H103" s="9"/>
      <c r="I103" s="13"/>
    </row>
    <row r="104" ht="60.0" customHeight="1">
      <c r="A104" s="15" t="s">
        <v>16</v>
      </c>
      <c r="B104" s="22" t="str">
        <f t="array" ref="B104">iferror(VLOOKUP(INDIRECT(ADDRESS(ROW()+1,COLUMN(), 4)),Dex!$A$2:$C671,3,false),"")</f>
        <v/>
      </c>
      <c r="C104" s="22" t="str">
        <f t="array" ref="C104">iferror(VLOOKUP(INDIRECT(ADDRESS(ROW()+1,COLUMN(), 4)),Dex!$A$2:$C671,3,false),"")</f>
        <v/>
      </c>
      <c r="D104" s="22" t="str">
        <f t="array" ref="D104">iferror(VLOOKUP(INDIRECT(ADDRESS(ROW()+1,COLUMN(), 4)),Dex!$A$2:$C671,3,false),"")</f>
        <v/>
      </c>
      <c r="E104" s="22" t="str">
        <f t="array" ref="E104">iferror(VLOOKUP(INDIRECT(ADDRESS(ROW()+1,COLUMN(), 4)),Dex!$A$2:$C671,3,false),"")</f>
        <v/>
      </c>
      <c r="F104" s="22" t="str">
        <f t="array" ref="F104">iferror(VLOOKUP(INDIRECT(ADDRESS(ROW()+1,COLUMN(), 4)),Dex!$A$2:$C671,3,false),"")</f>
        <v/>
      </c>
      <c r="G104" s="22" t="str">
        <f t="array" ref="G104">iferror(VLOOKUP(INDIRECT(ADDRESS(ROW()+1,COLUMN(), 4)),Dex!$A$2:$C671,3,false),"")</f>
        <v/>
      </c>
      <c r="H104" s="23" t="str">
        <f t="array" ref="H104">iferror(VLOOKUP("TRAINER_PIC_Cooltrainer_F",Sprites!$A$1:$B671,2,false),"")</f>
        <v/>
      </c>
      <c r="I104" s="24"/>
    </row>
    <row r="105">
      <c r="A105" s="25"/>
      <c r="B105" s="26" t="s">
        <v>686</v>
      </c>
      <c r="C105" s="26" t="s">
        <v>1733</v>
      </c>
      <c r="D105" s="26" t="s">
        <v>2091</v>
      </c>
      <c r="E105" s="26" t="s">
        <v>2645</v>
      </c>
      <c r="F105" s="26" t="s">
        <v>1987</v>
      </c>
      <c r="G105" s="26" t="s">
        <v>1189</v>
      </c>
      <c r="H105" s="27"/>
    </row>
    <row r="106">
      <c r="A106" s="10" t="s">
        <v>199</v>
      </c>
      <c r="B106" s="22">
        <v>79.0</v>
      </c>
      <c r="C106" s="22">
        <v>80.0</v>
      </c>
      <c r="D106" s="22">
        <v>78.0</v>
      </c>
      <c r="E106" s="22">
        <v>80.0</v>
      </c>
      <c r="F106" s="22">
        <v>80.0</v>
      </c>
      <c r="G106" s="22">
        <v>78.0</v>
      </c>
      <c r="H106" s="27"/>
    </row>
    <row r="107">
      <c r="A107" s="10" t="s">
        <v>201</v>
      </c>
      <c r="B107" s="29" t="s">
        <v>345</v>
      </c>
      <c r="C107" s="29" t="s">
        <v>2408</v>
      </c>
      <c r="D107" s="29" t="s">
        <v>2372</v>
      </c>
      <c r="E107" s="29" t="s">
        <v>2366</v>
      </c>
      <c r="F107" s="29" t="s">
        <v>1456</v>
      </c>
      <c r="G107" s="29" t="s">
        <v>1518</v>
      </c>
      <c r="H107" s="27"/>
    </row>
    <row r="108">
      <c r="A108" s="10" t="s">
        <v>209</v>
      </c>
      <c r="B108" s="22" t="s">
        <v>217</v>
      </c>
      <c r="C108" s="22" t="s">
        <v>2646</v>
      </c>
      <c r="D108" s="22" t="s">
        <v>2373</v>
      </c>
      <c r="E108" s="22" t="s">
        <v>2361</v>
      </c>
      <c r="F108" s="22" t="s">
        <v>217</v>
      </c>
      <c r="G108" s="22" t="s">
        <v>212</v>
      </c>
      <c r="H108" s="27"/>
    </row>
    <row r="109">
      <c r="A109" s="10" t="s">
        <v>215</v>
      </c>
      <c r="B109" s="29" t="s">
        <v>220</v>
      </c>
      <c r="C109" s="29" t="s">
        <v>419</v>
      </c>
      <c r="D109" s="29" t="s">
        <v>222</v>
      </c>
      <c r="E109" s="29" t="s">
        <v>419</v>
      </c>
      <c r="F109" s="29" t="s">
        <v>231</v>
      </c>
      <c r="G109" s="29" t="s">
        <v>419</v>
      </c>
      <c r="H109" s="27"/>
    </row>
    <row r="110">
      <c r="A110" s="15" t="s">
        <v>224</v>
      </c>
      <c r="B110" s="22" t="s">
        <v>361</v>
      </c>
      <c r="C110" s="22" t="s">
        <v>1458</v>
      </c>
      <c r="D110" s="22" t="s">
        <v>2647</v>
      </c>
      <c r="E110" s="22" t="s">
        <v>2647</v>
      </c>
      <c r="F110" s="22" t="s">
        <v>587</v>
      </c>
      <c r="G110" s="22" t="s">
        <v>2555</v>
      </c>
      <c r="H110" s="27"/>
    </row>
    <row r="111">
      <c r="A111" s="30"/>
      <c r="B111" s="22" t="s">
        <v>587</v>
      </c>
      <c r="C111" s="22" t="s">
        <v>920</v>
      </c>
      <c r="D111" s="22" t="s">
        <v>920</v>
      </c>
      <c r="E111" s="22" t="s">
        <v>1359</v>
      </c>
      <c r="F111" s="22" t="s">
        <v>1072</v>
      </c>
      <c r="G111" s="22" t="s">
        <v>580</v>
      </c>
      <c r="H111" s="27"/>
    </row>
    <row r="112">
      <c r="A112" s="30"/>
      <c r="B112" s="22" t="s">
        <v>356</v>
      </c>
      <c r="C112" s="22" t="s">
        <v>697</v>
      </c>
      <c r="D112" s="22" t="s">
        <v>360</v>
      </c>
      <c r="E112" s="22" t="s">
        <v>701</v>
      </c>
      <c r="F112" s="22" t="s">
        <v>2560</v>
      </c>
      <c r="G112" s="22" t="s">
        <v>253</v>
      </c>
      <c r="H112" s="27"/>
    </row>
    <row r="113">
      <c r="A113" s="25"/>
      <c r="B113" s="22" t="s">
        <v>1350</v>
      </c>
      <c r="C113" s="22" t="s">
        <v>2651</v>
      </c>
      <c r="D113" s="22" t="s">
        <v>2221</v>
      </c>
      <c r="E113" s="22" t="s">
        <v>2653</v>
      </c>
      <c r="F113" s="22" t="s">
        <v>1069</v>
      </c>
      <c r="G113" s="22" t="s">
        <v>2654</v>
      </c>
      <c r="H113" s="31"/>
      <c r="I113" s="32"/>
    </row>
    <row r="114">
      <c r="A114" s="8" t="s">
        <v>2655</v>
      </c>
      <c r="B114" s="9"/>
      <c r="C114" s="9"/>
      <c r="D114" s="9"/>
      <c r="E114" s="9"/>
      <c r="F114" s="9"/>
      <c r="G114" s="9"/>
      <c r="H114" s="9"/>
      <c r="I114" s="34"/>
    </row>
    <row r="115">
      <c r="A115" s="10" t="s">
        <v>5</v>
      </c>
      <c r="B115" s="11" t="s">
        <v>2657</v>
      </c>
      <c r="C115" s="9"/>
      <c r="D115" s="9"/>
      <c r="E115" s="9"/>
      <c r="F115" s="9"/>
      <c r="G115" s="9"/>
      <c r="H115" s="9"/>
      <c r="I115" s="14"/>
    </row>
    <row r="116" ht="60.0" customHeight="1">
      <c r="A116" s="15" t="s">
        <v>16</v>
      </c>
      <c r="B116" s="22" t="str">
        <f t="array" ref="B116">iferror(VLOOKUP(INDIRECT(ADDRESS(ROW()+1,COLUMN(), 4)),Dex!$A$2:$C671,3,false),"")</f>
        <v/>
      </c>
      <c r="C116" s="22" t="str">
        <f t="array" ref="C116">iferror(VLOOKUP(INDIRECT(ADDRESS(ROW()+1,COLUMN(), 4)),Dex!$A$2:$C671,3,false),"")</f>
        <v/>
      </c>
      <c r="D116" s="22" t="str">
        <f t="array" ref="D116">iferror(VLOOKUP(INDIRECT(ADDRESS(ROW()+1,COLUMN(), 4)),Dex!$A$2:$C671,3,false),"")</f>
        <v/>
      </c>
      <c r="E116" s="22" t="str">
        <f t="array" ref="E116">iferror(VLOOKUP(INDIRECT(ADDRESS(ROW()+1,COLUMN(), 4)),Dex!$A$2:$C671,3,false),"")</f>
        <v/>
      </c>
      <c r="F116" s="22" t="str">
        <f t="array" ref="F116">iferror(VLOOKUP(INDIRECT(ADDRESS(ROW()+1,COLUMN(), 4)),Dex!$A$2:$C671,3,false),"")</f>
        <v/>
      </c>
      <c r="G116" s="22" t="str">
        <f t="array" ref="G116">iferror(VLOOKUP(INDIRECT(ADDRESS(ROW()+1,COLUMN(), 4)),Dex!$A$2:$C671,3,false),"")</f>
        <v/>
      </c>
      <c r="H116" s="23" t="str">
        <f t="array" ref="H116">iferror(VLOOKUP("TRAINER_PIC_Brendan",Sprites!$A$1:$B671,2,false),"")</f>
        <v/>
      </c>
      <c r="I116" s="24"/>
    </row>
    <row r="117">
      <c r="A117" s="25"/>
      <c r="B117" s="26" t="s">
        <v>1698</v>
      </c>
      <c r="C117" s="26" t="s">
        <v>485</v>
      </c>
      <c r="D117" s="26" t="s">
        <v>888</v>
      </c>
      <c r="E117" s="26" t="s">
        <v>1396</v>
      </c>
      <c r="F117" s="26" t="s">
        <v>1019</v>
      </c>
      <c r="G117" s="26" t="s">
        <v>1024</v>
      </c>
      <c r="H117" s="27"/>
    </row>
    <row r="118">
      <c r="A118" s="10" t="s">
        <v>199</v>
      </c>
      <c r="B118" s="22">
        <v>82.0</v>
      </c>
      <c r="C118" s="22">
        <v>83.0</v>
      </c>
      <c r="D118" s="22">
        <v>82.0</v>
      </c>
      <c r="E118" s="22">
        <v>81.0</v>
      </c>
      <c r="F118" s="22">
        <v>80.0</v>
      </c>
      <c r="G118" s="22">
        <v>82.0</v>
      </c>
      <c r="H118" s="27"/>
    </row>
    <row r="119">
      <c r="A119" s="10" t="s">
        <v>201</v>
      </c>
      <c r="B119" s="29" t="s">
        <v>2667</v>
      </c>
      <c r="C119" s="29" t="s">
        <v>408</v>
      </c>
      <c r="D119" s="29" t="s">
        <v>206</v>
      </c>
      <c r="E119" s="29" t="s">
        <v>2571</v>
      </c>
      <c r="F119" s="29" t="s">
        <v>645</v>
      </c>
      <c r="G119" s="29" t="s">
        <v>2668</v>
      </c>
      <c r="H119" s="27"/>
    </row>
    <row r="120">
      <c r="A120" s="10" t="s">
        <v>209</v>
      </c>
      <c r="B120" s="22" t="s">
        <v>2669</v>
      </c>
      <c r="C120" s="22" t="s">
        <v>1641</v>
      </c>
      <c r="D120" s="22" t="s">
        <v>2473</v>
      </c>
      <c r="E120" s="22" t="s">
        <v>413</v>
      </c>
      <c r="F120" s="22" t="s">
        <v>219</v>
      </c>
      <c r="G120" s="22" t="s">
        <v>2593</v>
      </c>
      <c r="H120" s="27"/>
    </row>
    <row r="121">
      <c r="A121" s="10" t="s">
        <v>215</v>
      </c>
      <c r="B121" s="29" t="s">
        <v>231</v>
      </c>
      <c r="C121" s="29" t="s">
        <v>419</v>
      </c>
      <c r="D121" s="29" t="s">
        <v>231</v>
      </c>
      <c r="E121" s="29" t="s">
        <v>419</v>
      </c>
      <c r="F121" s="29" t="s">
        <v>220</v>
      </c>
      <c r="G121" s="29" t="s">
        <v>419</v>
      </c>
      <c r="H121" s="27"/>
    </row>
    <row r="122">
      <c r="A122" s="15" t="s">
        <v>224</v>
      </c>
      <c r="B122" s="22" t="s">
        <v>2670</v>
      </c>
      <c r="C122" s="22" t="s">
        <v>241</v>
      </c>
      <c r="D122" s="22" t="s">
        <v>2565</v>
      </c>
      <c r="E122" s="22" t="s">
        <v>2578</v>
      </c>
      <c r="F122" s="22" t="s">
        <v>1941</v>
      </c>
      <c r="G122" s="22" t="s">
        <v>694</v>
      </c>
      <c r="H122" s="27"/>
    </row>
    <row r="123">
      <c r="A123" s="30"/>
      <c r="B123" s="22" t="s">
        <v>938</v>
      </c>
      <c r="C123" s="22" t="s">
        <v>2557</v>
      </c>
      <c r="D123" s="22" t="s">
        <v>2220</v>
      </c>
      <c r="E123" s="22" t="s">
        <v>585</v>
      </c>
      <c r="F123" s="22" t="s">
        <v>1042</v>
      </c>
      <c r="G123" s="22" t="s">
        <v>582</v>
      </c>
      <c r="H123" s="27"/>
    </row>
    <row r="124">
      <c r="A124" s="30"/>
      <c r="B124" s="22" t="s">
        <v>1039</v>
      </c>
      <c r="C124" s="22" t="s">
        <v>1891</v>
      </c>
      <c r="D124" s="22" t="s">
        <v>951</v>
      </c>
      <c r="E124" s="22" t="s">
        <v>694</v>
      </c>
      <c r="F124" s="22" t="s">
        <v>1040</v>
      </c>
      <c r="G124" s="22" t="s">
        <v>469</v>
      </c>
      <c r="H124" s="27"/>
    </row>
    <row r="125">
      <c r="A125" s="25"/>
      <c r="B125" s="22" t="s">
        <v>555</v>
      </c>
      <c r="C125" s="22" t="s">
        <v>582</v>
      </c>
      <c r="D125" s="22" t="s">
        <v>1043</v>
      </c>
      <c r="E125" s="22" t="s">
        <v>357</v>
      </c>
      <c r="F125" s="22" t="s">
        <v>1037</v>
      </c>
      <c r="G125" s="22" t="s">
        <v>585</v>
      </c>
      <c r="H125" s="31"/>
      <c r="I125" s="32"/>
    </row>
    <row r="126">
      <c r="A126" s="10" t="s">
        <v>5</v>
      </c>
      <c r="B126" s="11" t="s">
        <v>2671</v>
      </c>
      <c r="C126" s="9"/>
      <c r="D126" s="9"/>
      <c r="E126" s="9"/>
      <c r="F126" s="9"/>
      <c r="G126" s="9"/>
      <c r="H126" s="9"/>
      <c r="I126" s="14"/>
    </row>
    <row r="127" ht="60.0" customHeight="1">
      <c r="A127" s="15" t="s">
        <v>16</v>
      </c>
      <c r="B127" s="22" t="str">
        <f t="array" ref="B127">iferror(VLOOKUP(INDIRECT(ADDRESS(ROW()+1,COLUMN(), 4)),Dex!$A$2:$C671,3,false),"")</f>
        <v/>
      </c>
      <c r="C127" s="22" t="str">
        <f t="array" ref="C127">iferror(VLOOKUP(INDIRECT(ADDRESS(ROW()+1,COLUMN(), 4)),Dex!$A$2:$C671,3,false),"")</f>
        <v/>
      </c>
      <c r="D127" s="22" t="str">
        <f t="array" ref="D127">iferror(VLOOKUP(INDIRECT(ADDRESS(ROW()+1,COLUMN(), 4)),Dex!$A$2:$C671,3,false),"")</f>
        <v/>
      </c>
      <c r="E127" s="22" t="str">
        <f t="array" ref="E127">iferror(VLOOKUP(INDIRECT(ADDRESS(ROW()+1,COLUMN(), 4)),Dex!$A$2:$C671,3,false),"")</f>
        <v/>
      </c>
      <c r="F127" s="22" t="str">
        <f t="array" ref="F127">iferror(VLOOKUP(INDIRECT(ADDRESS(ROW()+1,COLUMN(), 4)),Dex!$A$2:$C671,3,false),"")</f>
        <v/>
      </c>
      <c r="G127" s="22" t="str">
        <f t="array" ref="G127">iferror(VLOOKUP(INDIRECT(ADDRESS(ROW()+1,COLUMN(), 4)),Dex!$A$2:$C671,3,false),"")</f>
        <v/>
      </c>
      <c r="H127" s="23" t="str">
        <f t="array" ref="H127">iferror(VLOOKUP("TRAINER_PIC_Brendan",Sprites!$A$1:$B671,2,false),"")</f>
        <v/>
      </c>
      <c r="I127" s="24"/>
    </row>
    <row r="128">
      <c r="A128" s="25"/>
      <c r="B128" s="26" t="s">
        <v>1699</v>
      </c>
      <c r="C128" s="26" t="s">
        <v>485</v>
      </c>
      <c r="D128" s="26" t="s">
        <v>1009</v>
      </c>
      <c r="E128" s="26" t="s">
        <v>482</v>
      </c>
      <c r="F128" s="26" t="s">
        <v>969</v>
      </c>
      <c r="G128" s="26" t="s">
        <v>1024</v>
      </c>
      <c r="H128" s="28"/>
    </row>
    <row r="129">
      <c r="A129" s="10" t="s">
        <v>199</v>
      </c>
      <c r="B129" s="22">
        <v>82.0</v>
      </c>
      <c r="C129" s="22">
        <v>83.0</v>
      </c>
      <c r="D129" s="22">
        <v>82.0</v>
      </c>
      <c r="E129" s="22">
        <v>81.0</v>
      </c>
      <c r="F129" s="22">
        <v>80.0</v>
      </c>
      <c r="G129" s="22">
        <v>82.0</v>
      </c>
      <c r="H129" s="27"/>
    </row>
    <row r="130">
      <c r="A130" s="10" t="s">
        <v>201</v>
      </c>
      <c r="B130" s="29" t="s">
        <v>2684</v>
      </c>
      <c r="C130" s="29" t="s">
        <v>408</v>
      </c>
      <c r="D130" s="29" t="s">
        <v>206</v>
      </c>
      <c r="E130" s="29" t="s">
        <v>2571</v>
      </c>
      <c r="F130" s="29" t="s">
        <v>645</v>
      </c>
      <c r="G130" s="29" t="s">
        <v>2668</v>
      </c>
      <c r="H130" s="27"/>
    </row>
    <row r="131">
      <c r="A131" s="10" t="s">
        <v>209</v>
      </c>
      <c r="B131" s="22" t="s">
        <v>2669</v>
      </c>
      <c r="C131" s="22" t="s">
        <v>1641</v>
      </c>
      <c r="D131" s="22" t="s">
        <v>2473</v>
      </c>
      <c r="E131" s="22" t="s">
        <v>911</v>
      </c>
      <c r="F131" s="22" t="s">
        <v>219</v>
      </c>
      <c r="G131" s="22" t="s">
        <v>2593</v>
      </c>
      <c r="H131" s="27"/>
    </row>
    <row r="132">
      <c r="A132" s="10" t="s">
        <v>215</v>
      </c>
      <c r="B132" s="29" t="s">
        <v>231</v>
      </c>
      <c r="C132" s="29" t="s">
        <v>419</v>
      </c>
      <c r="D132" s="29" t="s">
        <v>419</v>
      </c>
      <c r="E132" s="29" t="s">
        <v>231</v>
      </c>
      <c r="F132" s="29" t="s">
        <v>220</v>
      </c>
      <c r="G132" s="29" t="s">
        <v>231</v>
      </c>
      <c r="H132" s="27"/>
    </row>
    <row r="133">
      <c r="A133" s="15" t="s">
        <v>224</v>
      </c>
      <c r="B133" s="22" t="s">
        <v>2670</v>
      </c>
      <c r="C133" s="22" t="s">
        <v>241</v>
      </c>
      <c r="D133" s="22" t="s">
        <v>2512</v>
      </c>
      <c r="E133" s="22" t="s">
        <v>2513</v>
      </c>
      <c r="F133" s="22" t="s">
        <v>1771</v>
      </c>
      <c r="G133" s="22" t="s">
        <v>549</v>
      </c>
      <c r="H133" s="27"/>
    </row>
    <row r="134">
      <c r="A134" s="30"/>
      <c r="B134" s="22" t="s">
        <v>938</v>
      </c>
      <c r="C134" s="22" t="s">
        <v>2557</v>
      </c>
      <c r="D134" s="22" t="s">
        <v>2617</v>
      </c>
      <c r="E134" s="22" t="s">
        <v>1454</v>
      </c>
      <c r="F134" s="22" t="s">
        <v>2575</v>
      </c>
      <c r="G134" s="22" t="s">
        <v>1352</v>
      </c>
      <c r="H134" s="27"/>
    </row>
    <row r="135">
      <c r="A135" s="30"/>
      <c r="B135" s="22" t="s">
        <v>1039</v>
      </c>
      <c r="C135" s="22" t="s">
        <v>1891</v>
      </c>
      <c r="D135" s="22" t="s">
        <v>234</v>
      </c>
      <c r="E135" s="22" t="s">
        <v>1460</v>
      </c>
      <c r="F135" s="22" t="s">
        <v>1068</v>
      </c>
      <c r="G135" s="22" t="s">
        <v>2566</v>
      </c>
      <c r="H135" s="27"/>
    </row>
    <row r="136">
      <c r="A136" s="25"/>
      <c r="B136" s="22" t="s">
        <v>555</v>
      </c>
      <c r="C136" s="22" t="s">
        <v>582</v>
      </c>
      <c r="D136" s="22" t="s">
        <v>1043</v>
      </c>
      <c r="E136" s="22" t="s">
        <v>373</v>
      </c>
      <c r="F136" s="22" t="s">
        <v>800</v>
      </c>
      <c r="G136" s="22" t="s">
        <v>431</v>
      </c>
      <c r="H136" s="31"/>
      <c r="I136" s="32"/>
    </row>
    <row r="137">
      <c r="A137" s="10" t="s">
        <v>5</v>
      </c>
      <c r="B137" s="11" t="s">
        <v>2685</v>
      </c>
      <c r="C137" s="9"/>
      <c r="D137" s="9"/>
      <c r="E137" s="9"/>
      <c r="F137" s="9"/>
      <c r="G137" s="9"/>
      <c r="H137" s="9"/>
      <c r="I137" s="14"/>
    </row>
    <row r="138" ht="60.0" customHeight="1">
      <c r="A138" s="15" t="s">
        <v>16</v>
      </c>
      <c r="B138" s="22" t="str">
        <f t="array" ref="B138">iferror(VLOOKUP(INDIRECT(ADDRESS(ROW()+1,COLUMN(), 4)),Dex!$A$2:$C671,3,false),"")</f>
        <v/>
      </c>
      <c r="C138" s="22" t="str">
        <f t="array" ref="C138">iferror(VLOOKUP(INDIRECT(ADDRESS(ROW()+1,COLUMN(), 4)),Dex!$A$2:$C671,3,false),"")</f>
        <v/>
      </c>
      <c r="D138" s="22" t="str">
        <f t="array" ref="D138">iferror(VLOOKUP(INDIRECT(ADDRESS(ROW()+1,COLUMN(), 4)),Dex!$A$2:$C671,3,false),"")</f>
        <v/>
      </c>
      <c r="E138" s="22" t="str">
        <f t="array" ref="E138">iferror(VLOOKUP(INDIRECT(ADDRESS(ROW()+1,COLUMN(), 4)),Dex!$A$2:$C671,3,false),"")</f>
        <v/>
      </c>
      <c r="F138" s="22" t="str">
        <f t="array" ref="F138">iferror(VLOOKUP(INDIRECT(ADDRESS(ROW()+1,COLUMN(), 4)),Dex!$A$2:$C671,3,false),"")</f>
        <v/>
      </c>
      <c r="G138" s="22" t="str">
        <f t="array" ref="G138">iferror(VLOOKUP(INDIRECT(ADDRESS(ROW()+1,COLUMN(), 4)),Dex!$A$2:$C671,3,false),"")</f>
        <v/>
      </c>
      <c r="H138" s="23" t="str">
        <f t="array" ref="H138">iferror(VLOOKUP("TRAINER_PIC_Brendan",Sprites!$A$1:$B671,2,false),"")</f>
        <v/>
      </c>
      <c r="I138" s="24"/>
    </row>
    <row r="139">
      <c r="A139" s="25"/>
      <c r="B139" s="26" t="s">
        <v>1689</v>
      </c>
      <c r="C139" s="26" t="s">
        <v>485</v>
      </c>
      <c r="D139" s="26" t="s">
        <v>1142</v>
      </c>
      <c r="E139" s="26" t="s">
        <v>868</v>
      </c>
      <c r="F139" s="26" t="s">
        <v>1091</v>
      </c>
      <c r="G139" s="26" t="s">
        <v>1024</v>
      </c>
      <c r="H139" s="27"/>
    </row>
    <row r="140">
      <c r="A140" s="10" t="s">
        <v>199</v>
      </c>
      <c r="B140" s="22">
        <v>82.0</v>
      </c>
      <c r="C140" s="22">
        <v>83.0</v>
      </c>
      <c r="D140" s="22">
        <v>82.0</v>
      </c>
      <c r="E140" s="22">
        <v>81.0</v>
      </c>
      <c r="F140" s="22">
        <v>80.0</v>
      </c>
      <c r="G140" s="22">
        <v>82.0</v>
      </c>
      <c r="H140" s="28"/>
    </row>
    <row r="141">
      <c r="A141" s="10" t="s">
        <v>201</v>
      </c>
      <c r="B141" s="29" t="s">
        <v>2696</v>
      </c>
      <c r="C141" s="29" t="s">
        <v>408</v>
      </c>
      <c r="D141" s="29" t="s">
        <v>206</v>
      </c>
      <c r="E141" s="29" t="s">
        <v>2571</v>
      </c>
      <c r="F141" s="29" t="s">
        <v>645</v>
      </c>
      <c r="G141" s="29" t="s">
        <v>2668</v>
      </c>
      <c r="H141" s="27"/>
    </row>
    <row r="142">
      <c r="A142" s="10" t="s">
        <v>209</v>
      </c>
      <c r="B142" s="22" t="s">
        <v>2669</v>
      </c>
      <c r="C142" s="22" t="s">
        <v>1641</v>
      </c>
      <c r="D142" s="22" t="s">
        <v>2473</v>
      </c>
      <c r="E142" s="22" t="s">
        <v>219</v>
      </c>
      <c r="F142" s="22" t="s">
        <v>2377</v>
      </c>
      <c r="G142" s="22" t="s">
        <v>2593</v>
      </c>
      <c r="H142" s="27"/>
    </row>
    <row r="143">
      <c r="A143" s="10" t="s">
        <v>215</v>
      </c>
      <c r="B143" s="29" t="s">
        <v>231</v>
      </c>
      <c r="C143" s="29" t="s">
        <v>419</v>
      </c>
      <c r="D143" s="29" t="s">
        <v>231</v>
      </c>
      <c r="E143" s="29" t="s">
        <v>231</v>
      </c>
      <c r="F143" s="29" t="s">
        <v>220</v>
      </c>
      <c r="G143" s="29" t="s">
        <v>419</v>
      </c>
      <c r="H143" s="27"/>
    </row>
    <row r="144">
      <c r="A144" s="15" t="s">
        <v>224</v>
      </c>
      <c r="B144" s="22" t="s">
        <v>2670</v>
      </c>
      <c r="C144" s="22" t="s">
        <v>241</v>
      </c>
      <c r="D144" s="22" t="s">
        <v>2599</v>
      </c>
      <c r="E144" s="22" t="s">
        <v>2513</v>
      </c>
      <c r="F144" s="22" t="s">
        <v>241</v>
      </c>
      <c r="G144" s="22" t="s">
        <v>694</v>
      </c>
      <c r="H144" s="27"/>
    </row>
    <row r="145">
      <c r="A145" s="30"/>
      <c r="B145" s="22" t="s">
        <v>938</v>
      </c>
      <c r="C145" s="22" t="s">
        <v>2557</v>
      </c>
      <c r="D145" s="22" t="s">
        <v>477</v>
      </c>
      <c r="E145" s="22" t="s">
        <v>1454</v>
      </c>
      <c r="F145" s="22" t="s">
        <v>1752</v>
      </c>
      <c r="G145" s="22" t="s">
        <v>582</v>
      </c>
      <c r="H145" s="27"/>
    </row>
    <row r="146">
      <c r="A146" s="30"/>
      <c r="B146" s="22" t="s">
        <v>1039</v>
      </c>
      <c r="C146" s="22" t="s">
        <v>1891</v>
      </c>
      <c r="D146" s="22" t="s">
        <v>951</v>
      </c>
      <c r="E146" s="22" t="s">
        <v>1460</v>
      </c>
      <c r="F146" s="22" t="s">
        <v>924</v>
      </c>
      <c r="G146" s="22" t="s">
        <v>469</v>
      </c>
      <c r="H146" s="27"/>
    </row>
    <row r="147">
      <c r="A147" s="25"/>
      <c r="B147" s="22" t="s">
        <v>555</v>
      </c>
      <c r="C147" s="22" t="s">
        <v>582</v>
      </c>
      <c r="D147" s="22" t="s">
        <v>1043</v>
      </c>
      <c r="E147" s="22" t="s">
        <v>2583</v>
      </c>
      <c r="F147" s="22" t="s">
        <v>2550</v>
      </c>
      <c r="G147" s="22" t="s">
        <v>585</v>
      </c>
      <c r="H147" s="31"/>
      <c r="I147" s="32"/>
    </row>
    <row r="148">
      <c r="A148" s="8" t="s">
        <v>2701</v>
      </c>
      <c r="B148" s="9"/>
      <c r="C148" s="9"/>
      <c r="D148" s="9"/>
      <c r="E148" s="9"/>
      <c r="F148" s="9"/>
      <c r="G148" s="9"/>
      <c r="H148" s="9"/>
      <c r="I148" s="34"/>
    </row>
    <row r="149">
      <c r="A149" s="10" t="s">
        <v>5</v>
      </c>
      <c r="B149" s="11" t="s">
        <v>2702</v>
      </c>
      <c r="C149" s="9"/>
      <c r="D149" s="9"/>
      <c r="E149" s="9"/>
      <c r="F149" s="9"/>
      <c r="G149" s="9"/>
      <c r="H149" s="9"/>
      <c r="I149" s="13"/>
    </row>
    <row r="150" ht="60.0" customHeight="1">
      <c r="A150" s="15" t="s">
        <v>16</v>
      </c>
      <c r="B150" s="22" t="str">
        <f t="array" ref="B150">iferror(VLOOKUP(INDIRECT(ADDRESS(ROW()+1,COLUMN(), 4)),Dex!$A$2:$C671,3,false),"")</f>
        <v/>
      </c>
      <c r="C150" s="22" t="str">
        <f t="array" ref="C150">iferror(VLOOKUP(INDIRECT(ADDRESS(ROW()+1,COLUMN(), 4)),Dex!$A$2:$C671,3,false),"")</f>
        <v/>
      </c>
      <c r="D150" s="22" t="str">
        <f t="array" ref="D150">iferror(VLOOKUP(INDIRECT(ADDRESS(ROW()+1,COLUMN(), 4)),Dex!$A$2:$C671,3,false),"")</f>
        <v/>
      </c>
      <c r="E150" s="22" t="str">
        <f t="array" ref="E150">iferror(VLOOKUP(INDIRECT(ADDRESS(ROW()+1,COLUMN(), 4)),Dex!$A$2:$C671,3,false),"")</f>
        <v/>
      </c>
      <c r="F150" s="22" t="str">
        <f t="array" ref="F150">iferror(VLOOKUP(INDIRECT(ADDRESS(ROW()+1,COLUMN(), 4)),Dex!$A$2:$C671,3,false),"")</f>
        <v/>
      </c>
      <c r="G150" s="22" t="str">
        <f t="array" ref="G150">iferror(VLOOKUP(INDIRECT(ADDRESS(ROW()+1,COLUMN(), 4)),Dex!$A$2:$C671,3,false),"")</f>
        <v/>
      </c>
      <c r="H150" s="23" t="str">
        <f t="array" ref="H150">iferror(VLOOKUP("TRAINER_PIC_Hex_Maniac",Sprites!$A$1:$B671,2,false),"")</f>
        <v/>
      </c>
      <c r="I150" s="24"/>
    </row>
    <row r="151">
      <c r="A151" s="25"/>
      <c r="B151" s="26" t="s">
        <v>183</v>
      </c>
      <c r="C151" s="26" t="s">
        <v>824</v>
      </c>
      <c r="D151" s="26" t="s">
        <v>1742</v>
      </c>
      <c r="E151" s="26" t="s">
        <v>1963</v>
      </c>
      <c r="F151" s="26" t="s">
        <v>586</v>
      </c>
      <c r="G151" s="26"/>
      <c r="H151" s="27"/>
    </row>
    <row r="152">
      <c r="A152" s="10" t="s">
        <v>199</v>
      </c>
      <c r="B152" s="22">
        <v>79.0</v>
      </c>
      <c r="C152" s="22">
        <v>79.0</v>
      </c>
      <c r="D152" s="22">
        <v>79.0</v>
      </c>
      <c r="E152" s="22">
        <v>79.0</v>
      </c>
      <c r="F152" s="22">
        <v>80.0</v>
      </c>
      <c r="G152" s="22"/>
      <c r="H152" s="28"/>
    </row>
    <row r="153">
      <c r="A153" s="10" t="s">
        <v>201</v>
      </c>
      <c r="B153" s="29" t="s">
        <v>2713</v>
      </c>
      <c r="C153" s="29" t="s">
        <v>2714</v>
      </c>
      <c r="D153" s="29" t="s">
        <v>1635</v>
      </c>
      <c r="E153" s="29" t="s">
        <v>2403</v>
      </c>
      <c r="F153" s="29" t="s">
        <v>2715</v>
      </c>
      <c r="G153" s="29"/>
      <c r="H153" s="27"/>
    </row>
    <row r="154">
      <c r="A154" s="10" t="s">
        <v>209</v>
      </c>
      <c r="B154" s="22" t="s">
        <v>2553</v>
      </c>
      <c r="C154" s="22" t="s">
        <v>413</v>
      </c>
      <c r="D154" s="22" t="s">
        <v>2716</v>
      </c>
      <c r="E154" s="22" t="s">
        <v>2718</v>
      </c>
      <c r="F154" s="22" t="s">
        <v>2094</v>
      </c>
      <c r="G154" s="22"/>
      <c r="H154" s="27"/>
    </row>
    <row r="155">
      <c r="A155" s="10" t="s">
        <v>215</v>
      </c>
      <c r="B155" s="29" t="s">
        <v>906</v>
      </c>
      <c r="C155" s="29" t="s">
        <v>419</v>
      </c>
      <c r="D155" s="29" t="s">
        <v>419</v>
      </c>
      <c r="E155" s="29" t="s">
        <v>222</v>
      </c>
      <c r="F155" s="29" t="s">
        <v>542</v>
      </c>
      <c r="G155" s="29"/>
      <c r="H155" s="27"/>
    </row>
    <row r="156">
      <c r="A156" s="15" t="s">
        <v>224</v>
      </c>
      <c r="B156" s="22" t="s">
        <v>361</v>
      </c>
      <c r="C156" s="22" t="s">
        <v>361</v>
      </c>
      <c r="D156" s="22" t="s">
        <v>2720</v>
      </c>
      <c r="E156" s="22" t="s">
        <v>2721</v>
      </c>
      <c r="F156" s="22" t="s">
        <v>431</v>
      </c>
      <c r="G156" s="22"/>
      <c r="H156" s="27"/>
    </row>
    <row r="157">
      <c r="A157" s="30"/>
      <c r="B157" s="22" t="s">
        <v>697</v>
      </c>
      <c r="C157" s="22" t="s">
        <v>920</v>
      </c>
      <c r="D157" s="22" t="s">
        <v>697</v>
      </c>
      <c r="E157" s="22" t="s">
        <v>357</v>
      </c>
      <c r="F157" s="22" t="s">
        <v>917</v>
      </c>
      <c r="G157" s="22"/>
      <c r="H157" s="27"/>
    </row>
    <row r="158">
      <c r="A158" s="30"/>
      <c r="B158" s="22" t="s">
        <v>2321</v>
      </c>
      <c r="C158" s="22" t="s">
        <v>2320</v>
      </c>
      <c r="D158" s="22" t="s">
        <v>1354</v>
      </c>
      <c r="E158" s="22" t="s">
        <v>2321</v>
      </c>
      <c r="F158" s="22" t="s">
        <v>2321</v>
      </c>
      <c r="G158" s="22"/>
      <c r="H158" s="27"/>
    </row>
    <row r="159">
      <c r="A159" s="25"/>
      <c r="B159" s="22" t="s">
        <v>1942</v>
      </c>
      <c r="C159" s="22" t="s">
        <v>2370</v>
      </c>
      <c r="D159" s="22" t="s">
        <v>1661</v>
      </c>
      <c r="E159" s="22" t="s">
        <v>1442</v>
      </c>
      <c r="F159" s="22" t="s">
        <v>809</v>
      </c>
      <c r="G159" s="22"/>
      <c r="H159" s="31"/>
      <c r="I159" s="32"/>
    </row>
    <row r="160">
      <c r="A160" s="10" t="s">
        <v>5</v>
      </c>
      <c r="B160" s="11" t="s">
        <v>2722</v>
      </c>
      <c r="C160" s="9"/>
      <c r="D160" s="9"/>
      <c r="E160" s="9"/>
      <c r="F160" s="9"/>
      <c r="G160" s="9"/>
      <c r="H160" s="9"/>
      <c r="I160" s="14"/>
    </row>
    <row r="161" ht="60.0" customHeight="1">
      <c r="A161" s="15" t="s">
        <v>16</v>
      </c>
      <c r="B161" s="22" t="str">
        <f t="array" ref="B161">iferror(VLOOKUP(INDIRECT(ADDRESS(ROW()+1,COLUMN(), 4)),Dex!$A$2:$C671,3,false),"")</f>
        <v/>
      </c>
      <c r="C161" s="22" t="str">
        <f t="array" ref="C161">iferror(VLOOKUP(INDIRECT(ADDRESS(ROW()+1,COLUMN(), 4)),Dex!$A$2:$C671,3,false),"")</f>
        <v/>
      </c>
      <c r="D161" s="22" t="str">
        <f t="array" ref="D161">iferror(VLOOKUP(INDIRECT(ADDRESS(ROW()+1,COLUMN(), 4)),Dex!$A$2:$C671,3,false),"")</f>
        <v/>
      </c>
      <c r="E161" s="22" t="str">
        <f t="array" ref="E161">iferror(VLOOKUP(INDIRECT(ADDRESS(ROW()+1,COLUMN(), 4)),Dex!$A$2:$C671,3,false),"")</f>
        <v/>
      </c>
      <c r="F161" s="22" t="str">
        <f t="array" ref="F161">iferror(VLOOKUP(INDIRECT(ADDRESS(ROW()+1,COLUMN(), 4)),Dex!$A$2:$C671,3,false),"")</f>
        <v/>
      </c>
      <c r="G161" s="22" t="str">
        <f t="array" ref="G161">iferror(VLOOKUP(INDIRECT(ADDRESS(ROW()+1,COLUMN(), 4)),Dex!$A$2:$C671,3,false),"")</f>
        <v/>
      </c>
      <c r="H161" s="23" t="str">
        <f t="array" ref="H161">iferror(VLOOKUP("TRAINER_PIC_Black_Belt",Sprites!$A$1:$B671,2,false),"")</f>
        <v/>
      </c>
      <c r="I161" s="24"/>
    </row>
    <row r="162">
      <c r="A162" s="25"/>
      <c r="B162" s="26" t="s">
        <v>1887</v>
      </c>
      <c r="C162" s="26" t="s">
        <v>731</v>
      </c>
      <c r="D162" s="26" t="s">
        <v>1274</v>
      </c>
      <c r="E162" s="26" t="s">
        <v>1280</v>
      </c>
      <c r="F162" s="26" t="s">
        <v>1041</v>
      </c>
      <c r="G162" s="26" t="s">
        <v>323</v>
      </c>
      <c r="H162" s="27"/>
    </row>
    <row r="163">
      <c r="A163" s="10" t="s">
        <v>199</v>
      </c>
      <c r="B163" s="22">
        <v>80.0</v>
      </c>
      <c r="C163" s="22">
        <v>79.0</v>
      </c>
      <c r="D163" s="22">
        <v>79.0</v>
      </c>
      <c r="E163" s="22">
        <v>79.0</v>
      </c>
      <c r="F163" s="22">
        <v>80.0</v>
      </c>
      <c r="G163" s="22">
        <v>79.0</v>
      </c>
      <c r="H163" s="28"/>
    </row>
    <row r="164">
      <c r="A164" s="10" t="s">
        <v>201</v>
      </c>
      <c r="B164" s="29" t="s">
        <v>1521</v>
      </c>
      <c r="C164" s="29" t="s">
        <v>406</v>
      </c>
      <c r="D164" s="29" t="s">
        <v>455</v>
      </c>
      <c r="E164" s="29" t="s">
        <v>1147</v>
      </c>
      <c r="F164" s="29" t="s">
        <v>1518</v>
      </c>
      <c r="G164" s="29" t="s">
        <v>2730</v>
      </c>
      <c r="H164" s="27"/>
    </row>
    <row r="165">
      <c r="A165" s="10" t="s">
        <v>209</v>
      </c>
      <c r="B165" s="22" t="s">
        <v>2732</v>
      </c>
      <c r="C165" s="22" t="s">
        <v>2733</v>
      </c>
      <c r="D165" s="22" t="s">
        <v>2734</v>
      </c>
      <c r="E165" s="22" t="s">
        <v>2507</v>
      </c>
      <c r="F165" s="22" t="s">
        <v>1057</v>
      </c>
      <c r="G165" s="22" t="s">
        <v>1642</v>
      </c>
      <c r="H165" s="27"/>
    </row>
    <row r="166">
      <c r="A166" s="10" t="s">
        <v>215</v>
      </c>
      <c r="B166" s="29" t="s">
        <v>904</v>
      </c>
      <c r="C166" s="29" t="s">
        <v>231</v>
      </c>
      <c r="D166" s="29" t="s">
        <v>904</v>
      </c>
      <c r="E166" s="29" t="s">
        <v>231</v>
      </c>
      <c r="F166" s="29" t="s">
        <v>904</v>
      </c>
      <c r="G166" s="29" t="s">
        <v>419</v>
      </c>
      <c r="H166" s="27"/>
    </row>
    <row r="167">
      <c r="A167" s="15" t="s">
        <v>224</v>
      </c>
      <c r="B167" s="22" t="s">
        <v>356</v>
      </c>
      <c r="C167" s="22" t="s">
        <v>801</v>
      </c>
      <c r="D167" s="22" t="s">
        <v>815</v>
      </c>
      <c r="E167" s="22" t="s">
        <v>2268</v>
      </c>
      <c r="F167" s="22" t="s">
        <v>1064</v>
      </c>
      <c r="G167" s="22" t="s">
        <v>355</v>
      </c>
      <c r="H167" s="27"/>
    </row>
    <row r="168">
      <c r="A168" s="30"/>
      <c r="B168" s="22" t="s">
        <v>565</v>
      </c>
      <c r="C168" s="22" t="s">
        <v>951</v>
      </c>
      <c r="D168" s="22" t="s">
        <v>805</v>
      </c>
      <c r="E168" s="22" t="s">
        <v>1069</v>
      </c>
      <c r="F168" s="22" t="s">
        <v>801</v>
      </c>
      <c r="G168" s="22" t="s">
        <v>815</v>
      </c>
      <c r="H168" s="27"/>
    </row>
    <row r="169">
      <c r="A169" s="30"/>
      <c r="B169" s="22" t="s">
        <v>1752</v>
      </c>
      <c r="C169" s="22" t="s">
        <v>477</v>
      </c>
      <c r="D169" s="22" t="s">
        <v>1227</v>
      </c>
      <c r="E169" s="22" t="s">
        <v>356</v>
      </c>
      <c r="F169" s="22" t="s">
        <v>565</v>
      </c>
      <c r="G169" s="22" t="s">
        <v>589</v>
      </c>
      <c r="H169" s="27"/>
    </row>
    <row r="170">
      <c r="A170" s="25"/>
      <c r="B170" s="22" t="s">
        <v>2346</v>
      </c>
      <c r="C170" s="22" t="s">
        <v>1844</v>
      </c>
      <c r="D170" s="22" t="s">
        <v>917</v>
      </c>
      <c r="E170" s="22" t="s">
        <v>1844</v>
      </c>
      <c r="F170" s="22" t="s">
        <v>1538</v>
      </c>
      <c r="G170" s="22" t="s">
        <v>2736</v>
      </c>
      <c r="H170" s="31"/>
      <c r="I170" s="32"/>
    </row>
    <row r="171">
      <c r="A171" s="10" t="s">
        <v>5</v>
      </c>
      <c r="B171" s="11" t="s">
        <v>2737</v>
      </c>
      <c r="C171" s="9"/>
      <c r="D171" s="9"/>
      <c r="E171" s="9"/>
      <c r="F171" s="9"/>
      <c r="G171" s="9"/>
      <c r="H171" s="9"/>
      <c r="I171" s="13"/>
    </row>
    <row r="172" ht="60.0" customHeight="1">
      <c r="A172" s="15" t="s">
        <v>16</v>
      </c>
      <c r="B172" s="22" t="str">
        <f t="array" ref="B172">iferror(VLOOKUP(INDIRECT(ADDRESS(ROW()+1,COLUMN(), 4)),Dex!$A$2:$C671,3,false),"")</f>
        <v/>
      </c>
      <c r="C172" s="22" t="str">
        <f t="array" ref="C172">iferror(VLOOKUP(INDIRECT(ADDRESS(ROW()+1,COLUMN(), 4)),Dex!$A$2:$C671,3,false),"")</f>
        <v/>
      </c>
      <c r="D172" s="22" t="str">
        <f t="array" ref="D172">iferror(VLOOKUP(INDIRECT(ADDRESS(ROW()+1,COLUMN(), 4)),Dex!$A$2:$C671,3,false),"")</f>
        <v/>
      </c>
      <c r="E172" s="22" t="str">
        <f t="array" ref="E172">iferror(VLOOKUP(INDIRECT(ADDRESS(ROW()+1,COLUMN(), 4)),Dex!$A$2:$C671,3,false),"")</f>
        <v/>
      </c>
      <c r="F172" s="22" t="str">
        <f t="array" ref="F172">iferror(VLOOKUP(INDIRECT(ADDRESS(ROW()+1,COLUMN(), 4)),Dex!$A$2:$C671,3,false),"")</f>
        <v/>
      </c>
      <c r="G172" s="22" t="str">
        <f t="array" ref="G172">iferror(VLOOKUP(INDIRECT(ADDRESS(ROW()+1,COLUMN(), 4)),Dex!$A$2:$C671,3,false),"")</f>
        <v/>
      </c>
      <c r="H172" s="23" t="str">
        <f t="array" ref="H172">iferror(VLOOKUP("TRAINER_PIC_Psychic_F",Sprites!$A$1:$B671,2,false),"")</f>
        <v/>
      </c>
      <c r="I172" s="24"/>
    </row>
    <row r="173">
      <c r="A173" s="25"/>
      <c r="B173" s="26" t="s">
        <v>850</v>
      </c>
      <c r="C173" s="26" t="s">
        <v>1553</v>
      </c>
      <c r="D173" s="26" t="s">
        <v>992</v>
      </c>
      <c r="E173" s="26" t="s">
        <v>213</v>
      </c>
      <c r="F173" s="26"/>
      <c r="G173" s="26"/>
      <c r="H173" s="27"/>
    </row>
    <row r="174">
      <c r="A174" s="10" t="s">
        <v>199</v>
      </c>
      <c r="B174" s="22">
        <v>80.0</v>
      </c>
      <c r="C174" s="22">
        <v>79.0</v>
      </c>
      <c r="D174" s="22">
        <v>79.0</v>
      </c>
      <c r="E174" s="22">
        <v>79.0</v>
      </c>
      <c r="F174" s="22"/>
      <c r="G174" s="22"/>
      <c r="H174" s="28"/>
    </row>
    <row r="175">
      <c r="A175" s="10" t="s">
        <v>201</v>
      </c>
      <c r="B175" s="29" t="s">
        <v>1332</v>
      </c>
      <c r="C175" s="29" t="s">
        <v>2715</v>
      </c>
      <c r="D175" s="29" t="s">
        <v>776</v>
      </c>
      <c r="E175" s="29" t="s">
        <v>2435</v>
      </c>
      <c r="F175" s="29"/>
      <c r="G175" s="29"/>
      <c r="H175" s="27"/>
    </row>
    <row r="176">
      <c r="A176" s="10" t="s">
        <v>209</v>
      </c>
      <c r="B176" s="22" t="s">
        <v>2355</v>
      </c>
      <c r="C176" s="22" t="s">
        <v>1763</v>
      </c>
      <c r="D176" s="22" t="s">
        <v>413</v>
      </c>
      <c r="E176" s="22" t="s">
        <v>899</v>
      </c>
      <c r="F176" s="22"/>
      <c r="G176" s="22"/>
      <c r="H176" s="27"/>
    </row>
    <row r="177">
      <c r="A177" s="10" t="s">
        <v>215</v>
      </c>
      <c r="B177" s="29" t="s">
        <v>231</v>
      </c>
      <c r="C177" s="29" t="s">
        <v>220</v>
      </c>
      <c r="D177" s="29" t="s">
        <v>419</v>
      </c>
      <c r="E177" s="29" t="s">
        <v>419</v>
      </c>
      <c r="F177" s="29"/>
      <c r="G177" s="29"/>
      <c r="H177" s="27"/>
    </row>
    <row r="178">
      <c r="A178" s="15" t="s">
        <v>224</v>
      </c>
      <c r="B178" s="22" t="s">
        <v>1788</v>
      </c>
      <c r="C178" s="22" t="s">
        <v>951</v>
      </c>
      <c r="D178" s="22" t="s">
        <v>2720</v>
      </c>
      <c r="E178" s="22" t="s">
        <v>2040</v>
      </c>
      <c r="F178" s="22"/>
      <c r="G178" s="22"/>
      <c r="H178" s="27"/>
    </row>
    <row r="179">
      <c r="A179" s="30"/>
      <c r="B179" s="22" t="s">
        <v>695</v>
      </c>
      <c r="C179" s="22" t="s">
        <v>1069</v>
      </c>
      <c r="D179" s="22" t="s">
        <v>701</v>
      </c>
      <c r="E179" s="22" t="s">
        <v>1633</v>
      </c>
      <c r="F179" s="22"/>
      <c r="G179" s="22"/>
      <c r="H179" s="27"/>
    </row>
    <row r="180">
      <c r="A180" s="30"/>
      <c r="B180" s="22" t="s">
        <v>934</v>
      </c>
      <c r="C180" s="22" t="s">
        <v>476</v>
      </c>
      <c r="D180" s="22" t="s">
        <v>572</v>
      </c>
      <c r="E180" s="22" t="s">
        <v>920</v>
      </c>
      <c r="F180" s="22"/>
      <c r="G180" s="22"/>
      <c r="H180" s="27"/>
    </row>
    <row r="181">
      <c r="A181" s="25"/>
      <c r="B181" s="22" t="s">
        <v>363</v>
      </c>
      <c r="C181" s="22" t="s">
        <v>258</v>
      </c>
      <c r="D181" s="22" t="s">
        <v>694</v>
      </c>
      <c r="E181" s="22" t="s">
        <v>1169</v>
      </c>
      <c r="F181" s="22"/>
      <c r="G181" s="22"/>
      <c r="H181" s="31"/>
      <c r="I181" s="32"/>
    </row>
    <row r="182">
      <c r="A182" s="10" t="s">
        <v>5</v>
      </c>
      <c r="B182" s="11" t="s">
        <v>2747</v>
      </c>
      <c r="C182" s="9"/>
      <c r="D182" s="9"/>
      <c r="E182" s="9"/>
      <c r="F182" s="9"/>
      <c r="G182" s="9"/>
      <c r="H182" s="9"/>
      <c r="I182" s="14"/>
    </row>
    <row r="183" ht="60.0" customHeight="1">
      <c r="A183" s="15" t="s">
        <v>16</v>
      </c>
      <c r="B183" s="22" t="str">
        <f t="array" ref="B183">iferror(VLOOKUP(INDIRECT(ADDRESS(ROW()+1,COLUMN(), 4)),Dex!$A$2:$C671,3,false),"")</f>
        <v/>
      </c>
      <c r="C183" s="22" t="str">
        <f t="array" ref="C183">iferror(VLOOKUP(INDIRECT(ADDRESS(ROW()+1,COLUMN(), 4)),Dex!$A$2:$C671,3,false),"")</f>
        <v/>
      </c>
      <c r="D183" s="22" t="str">
        <f t="array" ref="D183">iferror(VLOOKUP(INDIRECT(ADDRESS(ROW()+1,COLUMN(), 4)),Dex!$A$2:$C671,3,false),"")</f>
        <v/>
      </c>
      <c r="E183" s="22" t="str">
        <f t="array" ref="E183">iferror(VLOOKUP(INDIRECT(ADDRESS(ROW()+1,COLUMN(), 4)),Dex!$A$2:$C671,3,false),"")</f>
        <v/>
      </c>
      <c r="F183" s="22" t="str">
        <f t="array" ref="F183">iferror(VLOOKUP(INDIRECT(ADDRESS(ROW()+1,COLUMN(), 4)),Dex!$A$2:$C671,3,false),"")</f>
        <v/>
      </c>
      <c r="G183" s="22" t="str">
        <f t="array" ref="G183">iferror(VLOOKUP(INDIRECT(ADDRESS(ROW()+1,COLUMN(), 4)),Dex!$A$2:$C671,3,false),"")</f>
        <v/>
      </c>
      <c r="H183" s="23" t="str">
        <f t="array" ref="H183">iferror(VLOOKUP("TRAINER_PIC_Psychic_M",Sprites!$A$1:$B671,2,false),"")</f>
        <v/>
      </c>
      <c r="I183" s="24"/>
    </row>
    <row r="184">
      <c r="A184" s="25"/>
      <c r="B184" s="26" t="s">
        <v>846</v>
      </c>
      <c r="C184" s="26" t="s">
        <v>790</v>
      </c>
      <c r="D184" s="26" t="s">
        <v>251</v>
      </c>
      <c r="E184" s="26" t="s">
        <v>341</v>
      </c>
      <c r="F184" s="26"/>
      <c r="G184" s="26"/>
      <c r="H184" s="27"/>
    </row>
    <row r="185">
      <c r="A185" s="10" t="s">
        <v>199</v>
      </c>
      <c r="B185" s="22">
        <v>79.0</v>
      </c>
      <c r="C185" s="22">
        <v>79.0</v>
      </c>
      <c r="D185" s="22">
        <v>80.0</v>
      </c>
      <c r="E185" s="22">
        <v>79.0</v>
      </c>
      <c r="F185" s="22"/>
      <c r="G185" s="22"/>
      <c r="H185" s="28"/>
    </row>
    <row r="186">
      <c r="A186" s="10" t="s">
        <v>201</v>
      </c>
      <c r="B186" s="29" t="s">
        <v>451</v>
      </c>
      <c r="C186" s="29" t="s">
        <v>1518</v>
      </c>
      <c r="D186" s="29" t="s">
        <v>2715</v>
      </c>
      <c r="E186" s="29" t="s">
        <v>675</v>
      </c>
      <c r="F186" s="29"/>
      <c r="G186" s="29"/>
      <c r="H186" s="27"/>
    </row>
    <row r="187">
      <c r="A187" s="10" t="s">
        <v>209</v>
      </c>
      <c r="B187" s="22" t="s">
        <v>2377</v>
      </c>
      <c r="C187" s="22" t="s">
        <v>212</v>
      </c>
      <c r="D187" s="22" t="s">
        <v>2094</v>
      </c>
      <c r="E187" s="22" t="s">
        <v>2262</v>
      </c>
      <c r="F187" s="22"/>
      <c r="G187" s="22"/>
      <c r="H187" s="27"/>
    </row>
    <row r="188">
      <c r="A188" s="10" t="s">
        <v>215</v>
      </c>
      <c r="B188" s="29" t="s">
        <v>906</v>
      </c>
      <c r="C188" s="29" t="s">
        <v>419</v>
      </c>
      <c r="D188" s="29" t="s">
        <v>419</v>
      </c>
      <c r="E188" s="29" t="s">
        <v>220</v>
      </c>
      <c r="F188" s="29"/>
      <c r="G188" s="29"/>
      <c r="H188" s="27"/>
    </row>
    <row r="189">
      <c r="A189" s="15" t="s">
        <v>224</v>
      </c>
      <c r="B189" s="22" t="s">
        <v>815</v>
      </c>
      <c r="C189" s="22" t="s">
        <v>920</v>
      </c>
      <c r="D189" s="22" t="s">
        <v>585</v>
      </c>
      <c r="E189" s="22" t="s">
        <v>690</v>
      </c>
      <c r="F189" s="22"/>
      <c r="G189" s="22"/>
      <c r="H189" s="27"/>
    </row>
    <row r="190">
      <c r="A190" s="30"/>
      <c r="B190" s="22" t="s">
        <v>1716</v>
      </c>
      <c r="C190" s="22" t="s">
        <v>229</v>
      </c>
      <c r="D190" s="22" t="s">
        <v>1891</v>
      </c>
      <c r="E190" s="22" t="s">
        <v>363</v>
      </c>
      <c r="F190" s="22"/>
      <c r="G190" s="22"/>
      <c r="H190" s="27"/>
    </row>
    <row r="191">
      <c r="A191" s="30"/>
      <c r="B191" s="22" t="s">
        <v>917</v>
      </c>
      <c r="C191" s="22" t="s">
        <v>805</v>
      </c>
      <c r="D191" s="22" t="s">
        <v>428</v>
      </c>
      <c r="E191" s="22" t="s">
        <v>811</v>
      </c>
      <c r="F191" s="22"/>
      <c r="G191" s="22"/>
      <c r="H191" s="27"/>
    </row>
    <row r="192">
      <c r="A192" s="25"/>
      <c r="B192" s="22" t="s">
        <v>581</v>
      </c>
      <c r="C192" s="22" t="s">
        <v>1047</v>
      </c>
      <c r="D192" s="22" t="s">
        <v>694</v>
      </c>
      <c r="E192" s="22" t="s">
        <v>2680</v>
      </c>
      <c r="F192" s="22"/>
      <c r="G192" s="22"/>
      <c r="H192" s="31"/>
      <c r="I192" s="32"/>
    </row>
    <row r="193">
      <c r="A193" s="10" t="s">
        <v>5</v>
      </c>
      <c r="B193" s="11" t="s">
        <v>2755</v>
      </c>
      <c r="C193" s="9"/>
      <c r="D193" s="9"/>
      <c r="E193" s="9"/>
      <c r="F193" s="9"/>
      <c r="G193" s="9"/>
      <c r="H193" s="9"/>
      <c r="I193" s="14"/>
    </row>
    <row r="194" ht="60.0" customHeight="1">
      <c r="A194" s="15" t="s">
        <v>16</v>
      </c>
      <c r="B194" s="22" t="str">
        <f t="array" ref="B194">iferror(VLOOKUP(INDIRECT(ADDRESS(ROW()+1,COLUMN(), 4)),Dex!$A$2:$C671,3,false),"")</f>
        <v/>
      </c>
      <c r="C194" s="22" t="str">
        <f t="array" ref="C194">iferror(VLOOKUP(INDIRECT(ADDRESS(ROW()+1,COLUMN(), 4)),Dex!$A$2:$C671,3,false),"")</f>
        <v/>
      </c>
      <c r="D194" s="22" t="str">
        <f t="array" ref="D194">iferror(VLOOKUP(INDIRECT(ADDRESS(ROW()+1,COLUMN(), 4)),Dex!$A$2:$C671,3,false),"")</f>
        <v/>
      </c>
      <c r="E194" s="22" t="str">
        <f t="array" ref="E194">iferror(VLOOKUP(INDIRECT(ADDRESS(ROW()+1,COLUMN(), 4)),Dex!$A$2:$C671,3,false),"")</f>
        <v/>
      </c>
      <c r="F194" s="22" t="str">
        <f t="array" ref="F194">iferror(VLOOKUP(INDIRECT(ADDRESS(ROW()+1,COLUMN(), 4)),Dex!$A$2:$C671,3,false),"")</f>
        <v/>
      </c>
      <c r="G194" s="22" t="str">
        <f t="array" ref="G194">iferror(VLOOKUP(INDIRECT(ADDRESS(ROW()+1,COLUMN(), 4)),Dex!$A$2:$C671,3,false),"")</f>
        <v/>
      </c>
      <c r="H194" s="23" t="str">
        <f t="array" ref="H194">iferror(VLOOKUP("TRAINER_PIC_Hex_Maniac",Sprites!$A$1:$B671,2,false),"")</f>
        <v/>
      </c>
      <c r="I194" s="24"/>
    </row>
    <row r="195">
      <c r="A195" s="25"/>
      <c r="B195" s="26" t="s">
        <v>1576</v>
      </c>
      <c r="C195" s="26" t="s">
        <v>1577</v>
      </c>
      <c r="D195" s="26" t="s">
        <v>1500</v>
      </c>
      <c r="E195" s="26" t="s">
        <v>1579</v>
      </c>
      <c r="F195" s="26" t="s">
        <v>1578</v>
      </c>
      <c r="G195" s="26"/>
      <c r="H195" s="27"/>
    </row>
    <row r="196">
      <c r="A196" s="10" t="s">
        <v>199</v>
      </c>
      <c r="B196" s="22">
        <v>79.0</v>
      </c>
      <c r="C196" s="22">
        <v>79.0</v>
      </c>
      <c r="D196" s="22">
        <v>79.0</v>
      </c>
      <c r="E196" s="22">
        <v>79.0</v>
      </c>
      <c r="F196" s="22">
        <v>80.0</v>
      </c>
      <c r="G196" s="22"/>
      <c r="H196" s="28"/>
    </row>
    <row r="197">
      <c r="A197" s="10" t="s">
        <v>201</v>
      </c>
      <c r="B197" s="29" t="s">
        <v>1926</v>
      </c>
      <c r="C197" s="29" t="s">
        <v>344</v>
      </c>
      <c r="D197" s="29" t="s">
        <v>2715</v>
      </c>
      <c r="E197" s="29" t="s">
        <v>2493</v>
      </c>
      <c r="F197" s="29" t="s">
        <v>1148</v>
      </c>
      <c r="G197" s="29"/>
      <c r="H197" s="27"/>
    </row>
    <row r="198">
      <c r="A198" s="10" t="s">
        <v>209</v>
      </c>
      <c r="B198" s="22" t="s">
        <v>1341</v>
      </c>
      <c r="C198" s="22" t="s">
        <v>1341</v>
      </c>
      <c r="D198" s="22" t="s">
        <v>1763</v>
      </c>
      <c r="E198" s="22" t="s">
        <v>1341</v>
      </c>
      <c r="F198" s="22" t="s">
        <v>1341</v>
      </c>
      <c r="G198" s="22"/>
      <c r="H198" s="27"/>
    </row>
    <row r="199">
      <c r="A199" s="10" t="s">
        <v>215</v>
      </c>
      <c r="B199" s="29" t="s">
        <v>231</v>
      </c>
      <c r="C199" s="29" t="s">
        <v>461</v>
      </c>
      <c r="D199" s="29" t="s">
        <v>222</v>
      </c>
      <c r="E199" s="29" t="s">
        <v>542</v>
      </c>
      <c r="F199" s="29" t="s">
        <v>904</v>
      </c>
      <c r="G199" s="29"/>
      <c r="H199" s="27"/>
    </row>
    <row r="200">
      <c r="A200" s="15" t="s">
        <v>224</v>
      </c>
      <c r="B200" s="22" t="s">
        <v>1541</v>
      </c>
      <c r="C200" s="22" t="s">
        <v>1999</v>
      </c>
      <c r="D200" s="22" t="s">
        <v>2370</v>
      </c>
      <c r="E200" s="22" t="s">
        <v>428</v>
      </c>
      <c r="F200" s="22" t="s">
        <v>2318</v>
      </c>
      <c r="G200" s="22"/>
      <c r="H200" s="27"/>
    </row>
    <row r="201">
      <c r="A201" s="30"/>
      <c r="B201" s="22" t="s">
        <v>249</v>
      </c>
      <c r="C201" s="22" t="s">
        <v>689</v>
      </c>
      <c r="D201" s="22"/>
      <c r="E201" s="22" t="s">
        <v>1752</v>
      </c>
      <c r="F201" s="22" t="s">
        <v>1752</v>
      </c>
      <c r="G201" s="22"/>
      <c r="H201" s="27"/>
    </row>
    <row r="202">
      <c r="A202" s="30"/>
      <c r="B202" s="22" t="s">
        <v>555</v>
      </c>
      <c r="C202" s="22" t="s">
        <v>1843</v>
      </c>
      <c r="D202" s="22"/>
      <c r="E202" s="22" t="s">
        <v>1037</v>
      </c>
      <c r="F202" s="22" t="s">
        <v>1031</v>
      </c>
      <c r="G202" s="22"/>
      <c r="H202" s="27"/>
    </row>
    <row r="203">
      <c r="A203" s="25"/>
      <c r="B203" s="22" t="s">
        <v>237</v>
      </c>
      <c r="C203" s="22" t="s">
        <v>1366</v>
      </c>
      <c r="D203" s="22"/>
      <c r="E203" s="22" t="s">
        <v>1366</v>
      </c>
      <c r="F203" s="22" t="s">
        <v>1848</v>
      </c>
      <c r="G203" s="22"/>
      <c r="H203" s="31"/>
      <c r="I203" s="32"/>
    </row>
    <row r="204">
      <c r="A204" s="10" t="s">
        <v>5</v>
      </c>
      <c r="B204" s="11" t="s">
        <v>2768</v>
      </c>
      <c r="C204" s="9"/>
      <c r="D204" s="9"/>
      <c r="E204" s="9"/>
      <c r="F204" s="9"/>
      <c r="G204" s="9"/>
      <c r="H204" s="9"/>
      <c r="I204" s="14"/>
    </row>
    <row r="205" ht="60.0" customHeight="1">
      <c r="A205" s="15" t="s">
        <v>16</v>
      </c>
      <c r="B205" s="22" t="str">
        <f t="array" ref="B205">iferror(VLOOKUP(INDIRECT(ADDRESS(ROW()+1,COLUMN(), 4)),Dex!$A$2:$C671,3,false),"")</f>
        <v/>
      </c>
      <c r="C205" s="22" t="str">
        <f t="array" ref="C205">iferror(VLOOKUP(INDIRECT(ADDRESS(ROW()+1,COLUMN(), 4)),Dex!$A$2:$C671,3,false),"")</f>
        <v/>
      </c>
      <c r="D205" s="22" t="str">
        <f t="array" ref="D205">iferror(VLOOKUP(INDIRECT(ADDRESS(ROW()+1,COLUMN(), 4)),Dex!$A$2:$C671,3,false),"")</f>
        <v/>
      </c>
      <c r="E205" s="22" t="str">
        <f t="array" ref="E205">iferror(VLOOKUP(INDIRECT(ADDRESS(ROW()+1,COLUMN(), 4)),Dex!$A$2:$C671,3,false),"")</f>
        <v/>
      </c>
      <c r="F205" s="22" t="str">
        <f t="array" ref="F205">iferror(VLOOKUP(INDIRECT(ADDRESS(ROW()+1,COLUMN(), 4)),Dex!$A$2:$C671,3,false),"")</f>
        <v/>
      </c>
      <c r="G205" s="22" t="str">
        <f t="array" ref="G205">iferror(VLOOKUP(INDIRECT(ADDRESS(ROW()+1,COLUMN(), 4)),Dex!$A$2:$C671,3,false),"")</f>
        <v/>
      </c>
      <c r="H205" s="23" t="str">
        <f t="array" ref="H205">iferror(VLOOKUP("TRAINER_PIC_Hex_Maniac",Sprites!$A$1:$B671,2,false),"")</f>
        <v/>
      </c>
      <c r="I205" s="24"/>
    </row>
    <row r="206">
      <c r="A206" s="25"/>
      <c r="B206" s="26" t="s">
        <v>2056</v>
      </c>
      <c r="C206" s="26" t="s">
        <v>843</v>
      </c>
      <c r="D206" s="26" t="s">
        <v>1676</v>
      </c>
      <c r="E206" s="26" t="s">
        <v>1355</v>
      </c>
      <c r="F206" s="26" t="s">
        <v>204</v>
      </c>
      <c r="G206" s="26"/>
      <c r="H206" s="27"/>
    </row>
    <row r="207">
      <c r="A207" s="10" t="s">
        <v>199</v>
      </c>
      <c r="B207" s="22">
        <v>79.0</v>
      </c>
      <c r="C207" s="22">
        <v>80.0</v>
      </c>
      <c r="D207" s="22">
        <v>79.0</v>
      </c>
      <c r="E207" s="22">
        <v>81.0</v>
      </c>
      <c r="F207" s="22">
        <v>80.0</v>
      </c>
      <c r="G207" s="22"/>
      <c r="H207" s="28"/>
    </row>
    <row r="208">
      <c r="A208" s="10" t="s">
        <v>201</v>
      </c>
      <c r="B208" s="29" t="s">
        <v>1926</v>
      </c>
      <c r="C208" s="29" t="s">
        <v>2792</v>
      </c>
      <c r="D208" s="29" t="s">
        <v>776</v>
      </c>
      <c r="E208" s="29" t="s">
        <v>206</v>
      </c>
      <c r="F208" s="29" t="s">
        <v>205</v>
      </c>
      <c r="G208" s="29"/>
      <c r="H208" s="27"/>
    </row>
    <row r="209">
      <c r="A209" s="10" t="s">
        <v>209</v>
      </c>
      <c r="B209" s="22" t="s">
        <v>1523</v>
      </c>
      <c r="C209" s="22" t="s">
        <v>1341</v>
      </c>
      <c r="D209" s="22" t="s">
        <v>2208</v>
      </c>
      <c r="E209" s="22" t="s">
        <v>459</v>
      </c>
      <c r="F209" s="22" t="s">
        <v>1245</v>
      </c>
      <c r="G209" s="22"/>
      <c r="H209" s="27"/>
    </row>
    <row r="210">
      <c r="A210" s="10" t="s">
        <v>215</v>
      </c>
      <c r="B210" s="29" t="s">
        <v>220</v>
      </c>
      <c r="C210" s="29" t="s">
        <v>220</v>
      </c>
      <c r="D210" s="29" t="s">
        <v>220</v>
      </c>
      <c r="E210" s="29" t="s">
        <v>685</v>
      </c>
      <c r="F210" s="29" t="s">
        <v>220</v>
      </c>
      <c r="G210" s="29"/>
      <c r="H210" s="27"/>
    </row>
    <row r="211">
      <c r="A211" s="15" t="s">
        <v>224</v>
      </c>
      <c r="B211" s="22" t="s">
        <v>2664</v>
      </c>
      <c r="C211" s="22" t="s">
        <v>1752</v>
      </c>
      <c r="D211" s="22" t="s">
        <v>473</v>
      </c>
      <c r="E211" s="22" t="s">
        <v>2793</v>
      </c>
      <c r="F211" s="22" t="s">
        <v>1769</v>
      </c>
      <c r="G211" s="22"/>
      <c r="H211" s="27"/>
    </row>
    <row r="212">
      <c r="A212" s="30"/>
      <c r="B212" s="22" t="s">
        <v>2393</v>
      </c>
      <c r="C212" s="22" t="s">
        <v>917</v>
      </c>
      <c r="D212" s="22" t="s">
        <v>1127</v>
      </c>
      <c r="E212" s="22" t="s">
        <v>582</v>
      </c>
      <c r="F212" s="22" t="s">
        <v>1163</v>
      </c>
      <c r="G212" s="22"/>
      <c r="H212" s="27"/>
    </row>
    <row r="213">
      <c r="A213" s="30"/>
      <c r="B213" s="22" t="s">
        <v>1352</v>
      </c>
      <c r="C213" s="22" t="s">
        <v>2220</v>
      </c>
      <c r="D213" s="22" t="s">
        <v>799</v>
      </c>
      <c r="E213" s="22" t="s">
        <v>229</v>
      </c>
      <c r="F213" s="22" t="s">
        <v>2794</v>
      </c>
      <c r="G213" s="22"/>
      <c r="H213" s="27"/>
    </row>
    <row r="214">
      <c r="A214" s="25"/>
      <c r="B214" s="22" t="s">
        <v>549</v>
      </c>
      <c r="C214" s="22" t="s">
        <v>477</v>
      </c>
      <c r="D214" s="22" t="s">
        <v>555</v>
      </c>
      <c r="E214" s="22" t="s">
        <v>689</v>
      </c>
      <c r="F214" s="22" t="s">
        <v>373</v>
      </c>
      <c r="G214" s="22"/>
      <c r="H214" s="31"/>
      <c r="I214" s="32"/>
    </row>
    <row r="215">
      <c r="A215" s="10" t="s">
        <v>5</v>
      </c>
      <c r="B215" s="11" t="s">
        <v>2795</v>
      </c>
      <c r="C215" s="9"/>
      <c r="D215" s="9"/>
      <c r="E215" s="9"/>
      <c r="F215" s="9"/>
      <c r="G215" s="9"/>
      <c r="H215" s="9"/>
      <c r="I215" s="14"/>
    </row>
    <row r="216" ht="60.0" customHeight="1">
      <c r="A216" s="15" t="s">
        <v>16</v>
      </c>
      <c r="B216" s="22" t="str">
        <f t="array" ref="B216">iferror(VLOOKUP(INDIRECT(ADDRESS(ROW()+1,COLUMN(), 4)),Dex!$A$2:$C671,3,false),"")</f>
        <v/>
      </c>
      <c r="C216" s="22" t="str">
        <f t="array" ref="C216">iferror(VLOOKUP(INDIRECT(ADDRESS(ROW()+1,COLUMN(), 4)),Dex!$A$2:$C671,3,false),"")</f>
        <v/>
      </c>
      <c r="D216" s="22" t="str">
        <f t="array" ref="D216">iferror(VLOOKUP(INDIRECT(ADDRESS(ROW()+1,COLUMN(), 4)),Dex!$A$2:$C671,3,false),"")</f>
        <v/>
      </c>
      <c r="E216" s="22" t="str">
        <f t="array" ref="E216">iferror(VLOOKUP(INDIRECT(ADDRESS(ROW()+1,COLUMN(), 4)),Dex!$A$2:$C671,3,false),"")</f>
        <v/>
      </c>
      <c r="F216" s="22" t="str">
        <f t="array" ref="F216">iferror(VLOOKUP(INDIRECT(ADDRESS(ROW()+1,COLUMN(), 4)),Dex!$A$2:$C671,3,false),"")</f>
        <v/>
      </c>
      <c r="G216" s="22" t="str">
        <f t="array" ref="G216">iferror(VLOOKUP(INDIRECT(ADDRESS(ROW()+1,COLUMN(), 4)),Dex!$A$2:$C671,3,false),"")</f>
        <v/>
      </c>
      <c r="H216" s="23" t="str">
        <f t="array" ref="H216">iferror(VLOOKUP("TRAINER_PIC_Pokemaniac",Sprites!$A$1:$B671,2,false),"")</f>
        <v/>
      </c>
      <c r="I216" s="24"/>
    </row>
    <row r="217">
      <c r="A217" s="25"/>
      <c r="B217" s="26" t="s">
        <v>668</v>
      </c>
      <c r="C217" s="26" t="s">
        <v>1093</v>
      </c>
      <c r="D217" s="26" t="s">
        <v>400</v>
      </c>
      <c r="E217" s="26" t="s">
        <v>481</v>
      </c>
      <c r="F217" s="26"/>
      <c r="G217" s="26"/>
      <c r="H217" s="27"/>
    </row>
    <row r="218">
      <c r="A218" s="10" t="s">
        <v>199</v>
      </c>
      <c r="B218" s="22">
        <v>80.0</v>
      </c>
      <c r="C218" s="22">
        <v>80.0</v>
      </c>
      <c r="D218" s="22">
        <v>79.0</v>
      </c>
      <c r="E218" s="22" t="s">
        <v>2807</v>
      </c>
      <c r="F218" s="22"/>
      <c r="G218" s="22"/>
      <c r="H218" s="28"/>
    </row>
    <row r="219">
      <c r="A219" s="10" t="s">
        <v>201</v>
      </c>
      <c r="B219" s="29" t="s">
        <v>1022</v>
      </c>
      <c r="C219" s="29" t="s">
        <v>2778</v>
      </c>
      <c r="D219" s="29" t="s">
        <v>2715</v>
      </c>
      <c r="E219" s="29" t="s">
        <v>451</v>
      </c>
      <c r="F219" s="29"/>
      <c r="G219" s="29"/>
      <c r="H219" s="27"/>
    </row>
    <row r="220">
      <c r="A220" s="10" t="s">
        <v>209</v>
      </c>
      <c r="B220" s="22" t="s">
        <v>679</v>
      </c>
      <c r="C220" s="22" t="s">
        <v>2779</v>
      </c>
      <c r="D220" s="22" t="s">
        <v>412</v>
      </c>
      <c r="E220" s="22" t="s">
        <v>2598</v>
      </c>
      <c r="F220" s="22"/>
      <c r="G220" s="22"/>
      <c r="H220" s="27"/>
    </row>
    <row r="221">
      <c r="A221" s="10" t="s">
        <v>215</v>
      </c>
      <c r="B221" s="29" t="s">
        <v>222</v>
      </c>
      <c r="C221" s="29" t="s">
        <v>419</v>
      </c>
      <c r="D221" s="29" t="s">
        <v>419</v>
      </c>
      <c r="E221" s="29" t="s">
        <v>417</v>
      </c>
      <c r="F221" s="29"/>
      <c r="G221" s="29"/>
      <c r="H221" s="27"/>
    </row>
    <row r="222">
      <c r="A222" s="15" t="s">
        <v>224</v>
      </c>
      <c r="B222" s="22" t="s">
        <v>697</v>
      </c>
      <c r="C222" s="22" t="s">
        <v>1873</v>
      </c>
      <c r="D222" s="22" t="s">
        <v>356</v>
      </c>
      <c r="E222" s="22" t="s">
        <v>1759</v>
      </c>
      <c r="F222" s="22"/>
      <c r="G222" s="22"/>
      <c r="H222" s="27"/>
    </row>
    <row r="223">
      <c r="A223" s="30"/>
      <c r="B223" s="22" t="s">
        <v>920</v>
      </c>
      <c r="C223" s="22" t="s">
        <v>815</v>
      </c>
      <c r="D223" s="22" t="s">
        <v>809</v>
      </c>
      <c r="E223" s="22" t="s">
        <v>809</v>
      </c>
      <c r="F223" s="22"/>
      <c r="G223" s="22"/>
      <c r="H223" s="27"/>
    </row>
    <row r="224">
      <c r="A224" s="30"/>
      <c r="B224" s="22" t="s">
        <v>2370</v>
      </c>
      <c r="C224" s="22" t="s">
        <v>572</v>
      </c>
      <c r="D224" s="22" t="s">
        <v>1560</v>
      </c>
      <c r="E224" s="22" t="s">
        <v>2809</v>
      </c>
      <c r="F224" s="22"/>
      <c r="G224" s="22"/>
      <c r="H224" s="27"/>
    </row>
    <row r="225">
      <c r="A225" s="25"/>
      <c r="B225" s="22" t="s">
        <v>701</v>
      </c>
      <c r="C225" s="22" t="s">
        <v>1541</v>
      </c>
      <c r="D225" s="22" t="s">
        <v>917</v>
      </c>
      <c r="E225" s="22" t="s">
        <v>2810</v>
      </c>
      <c r="F225" s="22"/>
      <c r="G225" s="22"/>
      <c r="H225" s="31"/>
      <c r="I225" s="32"/>
    </row>
    <row r="226">
      <c r="A226" s="10" t="s">
        <v>5</v>
      </c>
      <c r="B226" s="11" t="s">
        <v>2811</v>
      </c>
      <c r="C226" s="9"/>
      <c r="D226" s="9"/>
      <c r="E226" s="9"/>
      <c r="F226" s="9"/>
      <c r="G226" s="9"/>
      <c r="H226" s="9"/>
      <c r="I226" s="14"/>
    </row>
    <row r="227" ht="60.0" customHeight="1">
      <c r="A227" s="15" t="s">
        <v>16</v>
      </c>
      <c r="B227" s="22" t="str">
        <f t="array" ref="B227">iferror(VLOOKUP(INDIRECT(ADDRESS(ROW()+1,COLUMN(), 4)),Dex!$A$2:$C671,3,false),"")</f>
        <v/>
      </c>
      <c r="C227" s="22" t="str">
        <f t="array" ref="C227">iferror(VLOOKUP(INDIRECT(ADDRESS(ROW()+1,COLUMN(), 4)),Dex!$A$2:$C671,3,false),"")</f>
        <v/>
      </c>
      <c r="D227" s="22" t="str">
        <f t="array" ref="D227">iferror(VLOOKUP(INDIRECT(ADDRESS(ROW()+1,COLUMN(), 4)),Dex!$A$2:$C671,3,false),"")</f>
        <v/>
      </c>
      <c r="E227" s="22" t="str">
        <f t="array" ref="E227">iferror(VLOOKUP(INDIRECT(ADDRESS(ROW()+1,COLUMN(), 4)),Dex!$A$2:$C671,3,false),"")</f>
        <v/>
      </c>
      <c r="F227" s="22" t="str">
        <f t="array" ref="F227">iferror(VLOOKUP(INDIRECT(ADDRESS(ROW()+1,COLUMN(), 4)),Dex!$A$2:$C671,3,false),"")</f>
        <v/>
      </c>
      <c r="G227" s="22" t="str">
        <f t="array" ref="G227">iferror(VLOOKUP(INDIRECT(ADDRESS(ROW()+1,COLUMN(), 4)),Dex!$A$2:$C671,3,false),"")</f>
        <v/>
      </c>
      <c r="H227" s="23" t="str">
        <f t="array" ref="H227">iferror(VLOOKUP("TRAINER_PIC_Pokemon_Breeder_F",Sprites!$A$1:$B671,2,false),"")</f>
        <v/>
      </c>
      <c r="I227" s="24"/>
    </row>
    <row r="228">
      <c r="A228" s="25"/>
      <c r="B228" s="26" t="s">
        <v>1647</v>
      </c>
      <c r="C228" s="26" t="s">
        <v>1715</v>
      </c>
      <c r="D228" s="26" t="s">
        <v>1531</v>
      </c>
      <c r="E228" s="26" t="s">
        <v>2263</v>
      </c>
      <c r="F228" s="26"/>
      <c r="G228" s="26"/>
      <c r="H228" s="27"/>
    </row>
    <row r="229">
      <c r="A229" s="10" t="s">
        <v>199</v>
      </c>
      <c r="B229" s="22">
        <v>79.0</v>
      </c>
      <c r="C229" s="22">
        <v>80.0</v>
      </c>
      <c r="D229" s="22">
        <v>79.0</v>
      </c>
      <c r="E229" s="22">
        <v>80.0</v>
      </c>
      <c r="F229" s="22"/>
      <c r="G229" s="22"/>
      <c r="H229" s="28"/>
    </row>
    <row r="230">
      <c r="A230" s="10" t="s">
        <v>201</v>
      </c>
      <c r="B230" s="29" t="s">
        <v>406</v>
      </c>
      <c r="C230" s="29" t="s">
        <v>1330</v>
      </c>
      <c r="D230" s="29" t="s">
        <v>2474</v>
      </c>
      <c r="E230" s="29" t="s">
        <v>1213</v>
      </c>
      <c r="F230" s="29"/>
      <c r="G230" s="29"/>
      <c r="H230" s="27"/>
    </row>
    <row r="231">
      <c r="A231" s="10" t="s">
        <v>209</v>
      </c>
      <c r="B231" s="22" t="s">
        <v>683</v>
      </c>
      <c r="C231" s="22" t="s">
        <v>1765</v>
      </c>
      <c r="D231" s="22" t="s">
        <v>1643</v>
      </c>
      <c r="E231" s="22" t="s">
        <v>2816</v>
      </c>
      <c r="F231" s="22"/>
      <c r="G231" s="22"/>
      <c r="H231" s="27"/>
    </row>
    <row r="232">
      <c r="A232" s="10" t="s">
        <v>215</v>
      </c>
      <c r="B232" s="29" t="s">
        <v>231</v>
      </c>
      <c r="C232" s="29" t="s">
        <v>231</v>
      </c>
      <c r="D232" s="29" t="s">
        <v>222</v>
      </c>
      <c r="E232" s="29" t="s">
        <v>419</v>
      </c>
      <c r="F232" s="29"/>
      <c r="G232" s="29"/>
      <c r="H232" s="27"/>
    </row>
    <row r="233">
      <c r="A233" s="15" t="s">
        <v>224</v>
      </c>
      <c r="B233" s="22" t="s">
        <v>361</v>
      </c>
      <c r="C233" s="22" t="s">
        <v>2818</v>
      </c>
      <c r="D233" s="22" t="s">
        <v>1873</v>
      </c>
      <c r="E233" s="22" t="s">
        <v>2741</v>
      </c>
      <c r="F233" s="22"/>
      <c r="G233" s="22"/>
      <c r="H233" s="27"/>
    </row>
    <row r="234">
      <c r="A234" s="30"/>
      <c r="B234" s="22" t="s">
        <v>363</v>
      </c>
      <c r="C234" s="22" t="s">
        <v>652</v>
      </c>
      <c r="D234" s="22" t="s">
        <v>2320</v>
      </c>
      <c r="E234" s="22" t="s">
        <v>815</v>
      </c>
      <c r="F234" s="22"/>
      <c r="G234" s="22"/>
      <c r="H234" s="27"/>
    </row>
    <row r="235">
      <c r="A235" s="30"/>
      <c r="B235" s="22" t="s">
        <v>477</v>
      </c>
      <c r="C235" s="22" t="s">
        <v>1555</v>
      </c>
      <c r="D235" s="22" t="s">
        <v>357</v>
      </c>
      <c r="E235" s="22" t="s">
        <v>572</v>
      </c>
      <c r="F235" s="22"/>
      <c r="G235" s="22"/>
      <c r="H235" s="27"/>
    </row>
    <row r="236">
      <c r="A236" s="25"/>
      <c r="B236" s="22" t="s">
        <v>1554</v>
      </c>
      <c r="C236" s="22" t="s">
        <v>1662</v>
      </c>
      <c r="D236" s="22" t="s">
        <v>1348</v>
      </c>
      <c r="E236" s="22" t="s">
        <v>2020</v>
      </c>
      <c r="F236" s="22"/>
      <c r="G236" s="22"/>
      <c r="H236" s="31"/>
      <c r="I236" s="32"/>
    </row>
    <row r="237">
      <c r="A237" s="10" t="s">
        <v>5</v>
      </c>
      <c r="B237" s="11" t="s">
        <v>2820</v>
      </c>
      <c r="C237" s="9"/>
      <c r="D237" s="9"/>
      <c r="E237" s="9"/>
      <c r="F237" s="9"/>
      <c r="G237" s="9"/>
      <c r="H237" s="9"/>
      <c r="I237" s="14"/>
    </row>
    <row r="238" ht="60.0" customHeight="1">
      <c r="A238" s="15" t="s">
        <v>16</v>
      </c>
      <c r="B238" s="22" t="str">
        <f t="array" ref="B238">iferror(VLOOKUP(INDIRECT(ADDRESS(ROW()+1,COLUMN(), 4)),Dex!$A$2:$C671,3,false),"")</f>
        <v/>
      </c>
      <c r="C238" s="22" t="str">
        <f t="array" ref="C238">iferror(VLOOKUP(INDIRECT(ADDRESS(ROW()+1,COLUMN(), 4)),Dex!$A$2:$C671,3,false),"")</f>
        <v/>
      </c>
      <c r="D238" s="22" t="str">
        <f t="array" ref="D238">iferror(VLOOKUP(INDIRECT(ADDRESS(ROW()+1,COLUMN(), 4)),Dex!$A$2:$C671,3,false),"")</f>
        <v/>
      </c>
      <c r="E238" s="22" t="str">
        <f t="array" ref="E238">iferror(VLOOKUP(INDIRECT(ADDRESS(ROW()+1,COLUMN(), 4)),Dex!$A$2:$C671,3,false),"")</f>
        <v/>
      </c>
      <c r="F238" s="22" t="str">
        <f t="array" ref="F238">iferror(VLOOKUP(INDIRECT(ADDRESS(ROW()+1,COLUMN(), 4)),Dex!$A$2:$C671,3,false),"")</f>
        <v/>
      </c>
      <c r="G238" s="22" t="str">
        <f t="array" ref="G238">iferror(VLOOKUP(INDIRECT(ADDRESS(ROW()+1,COLUMN(), 4)),Dex!$A$2:$C671,3,false),"")</f>
        <v/>
      </c>
      <c r="H238" s="23" t="str">
        <f t="array" ref="H238">iferror(VLOOKUP("TRAINER_PIC_Psychic_M",Sprites!$A$1:$B671,2,false),"")</f>
        <v/>
      </c>
      <c r="I238" s="24"/>
    </row>
    <row r="239">
      <c r="A239" s="25"/>
      <c r="B239" s="26" t="s">
        <v>1948</v>
      </c>
      <c r="C239" s="26" t="s">
        <v>530</v>
      </c>
      <c r="D239" s="26" t="s">
        <v>1601</v>
      </c>
      <c r="E239" s="26" t="s">
        <v>1724</v>
      </c>
      <c r="F239" s="26" t="s">
        <v>1916</v>
      </c>
      <c r="G239" s="26" t="s">
        <v>80</v>
      </c>
      <c r="H239" s="27"/>
    </row>
    <row r="240">
      <c r="A240" s="10" t="s">
        <v>199</v>
      </c>
      <c r="B240" s="22">
        <v>80.0</v>
      </c>
      <c r="C240" s="22">
        <v>79.0</v>
      </c>
      <c r="D240" s="22">
        <v>79.0</v>
      </c>
      <c r="E240" s="22">
        <v>79.0</v>
      </c>
      <c r="F240" s="22">
        <v>80.0</v>
      </c>
      <c r="G240" s="22">
        <v>81.0</v>
      </c>
      <c r="H240" s="28"/>
    </row>
    <row r="241">
      <c r="A241" s="10" t="s">
        <v>201</v>
      </c>
      <c r="B241" s="29" t="s">
        <v>677</v>
      </c>
      <c r="C241" s="29" t="s">
        <v>408</v>
      </c>
      <c r="D241" s="29" t="s">
        <v>206</v>
      </c>
      <c r="E241" s="29" t="s">
        <v>1330</v>
      </c>
      <c r="F241" s="29" t="s">
        <v>645</v>
      </c>
      <c r="G241" s="29" t="s">
        <v>2825</v>
      </c>
      <c r="H241" s="27"/>
    </row>
    <row r="242">
      <c r="A242" s="10" t="s">
        <v>209</v>
      </c>
      <c r="B242" s="22" t="s">
        <v>2827</v>
      </c>
      <c r="C242" s="22" t="s">
        <v>2404</v>
      </c>
      <c r="D242" s="22" t="s">
        <v>553</v>
      </c>
      <c r="E242" s="22" t="s">
        <v>2392</v>
      </c>
      <c r="F242" s="22" t="s">
        <v>1216</v>
      </c>
      <c r="G242" s="22" t="s">
        <v>2342</v>
      </c>
      <c r="H242" s="27"/>
    </row>
    <row r="243">
      <c r="A243" s="10" t="s">
        <v>215</v>
      </c>
      <c r="B243" s="29" t="s">
        <v>419</v>
      </c>
      <c r="C243" s="29" t="s">
        <v>461</v>
      </c>
      <c r="D243" s="29" t="s">
        <v>220</v>
      </c>
      <c r="E243" s="29" t="s">
        <v>461</v>
      </c>
      <c r="F243" s="29" t="s">
        <v>419</v>
      </c>
      <c r="G243" s="29" t="s">
        <v>231</v>
      </c>
      <c r="H243" s="27"/>
    </row>
    <row r="244">
      <c r="A244" s="15" t="s">
        <v>224</v>
      </c>
      <c r="B244" s="22" t="s">
        <v>815</v>
      </c>
      <c r="C244" s="22" t="s">
        <v>2818</v>
      </c>
      <c r="D244" s="22" t="s">
        <v>917</v>
      </c>
      <c r="E244" s="22" t="s">
        <v>2818</v>
      </c>
      <c r="F244" s="22" t="s">
        <v>1537</v>
      </c>
      <c r="G244" s="22" t="s">
        <v>2464</v>
      </c>
      <c r="H244" s="27"/>
    </row>
    <row r="245">
      <c r="A245" s="30"/>
      <c r="B245" s="22" t="s">
        <v>1250</v>
      </c>
      <c r="C245" s="22" t="s">
        <v>2370</v>
      </c>
      <c r="D245" s="22" t="s">
        <v>242</v>
      </c>
      <c r="E245" s="22" t="s">
        <v>2393</v>
      </c>
      <c r="F245" s="22" t="s">
        <v>924</v>
      </c>
      <c r="G245" s="22" t="s">
        <v>811</v>
      </c>
      <c r="H245" s="27"/>
    </row>
    <row r="246">
      <c r="A246" s="30"/>
      <c r="B246" s="22" t="s">
        <v>917</v>
      </c>
      <c r="C246" s="22"/>
      <c r="D246" s="22" t="s">
        <v>1457</v>
      </c>
      <c r="E246" s="22" t="s">
        <v>926</v>
      </c>
      <c r="F246" s="22" t="s">
        <v>424</v>
      </c>
      <c r="G246" s="22" t="s">
        <v>934</v>
      </c>
      <c r="H246" s="27"/>
    </row>
    <row r="247">
      <c r="A247" s="25"/>
      <c r="B247" s="22" t="s">
        <v>1541</v>
      </c>
      <c r="C247" s="22"/>
      <c r="D247" s="22" t="s">
        <v>366</v>
      </c>
      <c r="E247" s="22" t="s">
        <v>940</v>
      </c>
      <c r="F247" s="22" t="s">
        <v>1716</v>
      </c>
      <c r="G247" s="22" t="s">
        <v>249</v>
      </c>
      <c r="H247" s="31"/>
      <c r="I247" s="32"/>
    </row>
    <row r="248">
      <c r="A248" s="10" t="s">
        <v>5</v>
      </c>
      <c r="B248" s="11" t="s">
        <v>2732</v>
      </c>
      <c r="C248" s="9"/>
      <c r="D248" s="9"/>
      <c r="E248" s="9"/>
      <c r="F248" s="9"/>
      <c r="G248" s="9"/>
      <c r="H248" s="9"/>
      <c r="I248" s="13"/>
    </row>
    <row r="249" ht="60.0" customHeight="1">
      <c r="A249" s="15" t="s">
        <v>16</v>
      </c>
      <c r="B249" s="22" t="str">
        <f t="array" ref="B249">iferror(VLOOKUP(INDIRECT(ADDRESS(ROW()+1,COLUMN(), 4)),Dex!$A$2:$C671,3,false),"")</f>
        <v/>
      </c>
      <c r="C249" s="22" t="str">
        <f t="array" ref="C249">iferror(VLOOKUP(INDIRECT(ADDRESS(ROW()+1,COLUMN(), 4)),Dex!$A$2:$C671,3,false),"")</f>
        <v/>
      </c>
      <c r="D249" s="22" t="str">
        <f t="array" ref="D249">iferror(VLOOKUP(INDIRECT(ADDRESS(ROW()+1,COLUMN(), 4)),Dex!$A$2:$C671,3,false),"")</f>
        <v/>
      </c>
      <c r="E249" s="22" t="str">
        <f t="array" ref="E249">iferror(VLOOKUP(INDIRECT(ADDRESS(ROW()+1,COLUMN(), 4)),Dex!$A$2:$C671,3,false),"")</f>
        <v/>
      </c>
      <c r="F249" s="22" t="str">
        <f t="array" ref="F249">iferror(VLOOKUP(INDIRECT(ADDRESS(ROW()+1,COLUMN(), 4)),Dex!$A$2:$C671,3,false),"")</f>
        <v/>
      </c>
      <c r="G249" s="22" t="str">
        <f t="array" ref="G249">iferror(VLOOKUP(INDIRECT(ADDRESS(ROW()+1,COLUMN(), 4)),Dex!$A$2:$C671,3,false),"")</f>
        <v/>
      </c>
      <c r="H249" s="23" t="str">
        <f t="array" ref="H249">iferror(VLOOKUP("TRAINER_PIC_Ghost_May",Sprites!$A$1:$B671,2,false),"")</f>
        <v/>
      </c>
      <c r="I249" s="24"/>
    </row>
    <row r="250">
      <c r="A250" s="25"/>
      <c r="B250" s="26" t="s">
        <v>27</v>
      </c>
      <c r="C250" s="26"/>
      <c r="D250" s="26"/>
      <c r="E250" s="26"/>
      <c r="F250" s="26"/>
      <c r="G250" s="26"/>
      <c r="H250" s="27"/>
    </row>
    <row r="251">
      <c r="A251" s="10" t="s">
        <v>199</v>
      </c>
      <c r="B251" s="22">
        <v>0.0</v>
      </c>
      <c r="C251" s="22"/>
      <c r="D251" s="22"/>
      <c r="E251" s="22"/>
      <c r="F251" s="22"/>
      <c r="G251" s="22"/>
      <c r="H251" s="28"/>
    </row>
    <row r="252">
      <c r="A252" s="10" t="s">
        <v>201</v>
      </c>
      <c r="B252" s="29" t="s">
        <v>27</v>
      </c>
      <c r="C252" s="29"/>
      <c r="D252" s="29"/>
      <c r="E252" s="29"/>
      <c r="F252" s="29"/>
      <c r="G252" s="29"/>
      <c r="H252" s="27"/>
    </row>
    <row r="253">
      <c r="A253" s="10" t="s">
        <v>209</v>
      </c>
      <c r="B253" s="22" t="s">
        <v>27</v>
      </c>
      <c r="C253" s="22"/>
      <c r="D253" s="22"/>
      <c r="E253" s="22"/>
      <c r="F253" s="22"/>
      <c r="G253" s="22"/>
      <c r="H253" s="27"/>
    </row>
    <row r="254">
      <c r="A254" s="10" t="s">
        <v>215</v>
      </c>
      <c r="B254" s="29" t="s">
        <v>414</v>
      </c>
      <c r="C254" s="29"/>
      <c r="D254" s="29"/>
      <c r="E254" s="29"/>
      <c r="F254" s="29"/>
      <c r="G254" s="29"/>
      <c r="H254" s="27"/>
    </row>
    <row r="255">
      <c r="A255" s="15" t="s">
        <v>224</v>
      </c>
      <c r="B255" s="22" t="s">
        <v>27</v>
      </c>
      <c r="C255" s="22"/>
      <c r="D255" s="22"/>
      <c r="E255" s="22"/>
      <c r="F255" s="22"/>
      <c r="G255" s="22"/>
      <c r="H255" s="27"/>
    </row>
    <row r="256">
      <c r="A256" s="30"/>
      <c r="B256" s="22"/>
      <c r="C256" s="22"/>
      <c r="D256" s="22"/>
      <c r="E256" s="22"/>
      <c r="F256" s="22"/>
      <c r="G256" s="22"/>
      <c r="H256" s="27"/>
    </row>
    <row r="257">
      <c r="A257" s="30"/>
      <c r="B257" s="22"/>
      <c r="C257" s="22"/>
      <c r="D257" s="22"/>
      <c r="E257" s="22"/>
      <c r="F257" s="22"/>
      <c r="G257" s="22"/>
      <c r="H257" s="27"/>
    </row>
    <row r="258">
      <c r="A258" s="25"/>
      <c r="B258" s="22"/>
      <c r="C258" s="22"/>
      <c r="D258" s="22"/>
      <c r="E258" s="22"/>
      <c r="F258" s="22"/>
      <c r="G258" s="22"/>
      <c r="H258" s="31"/>
      <c r="I258" s="32"/>
    </row>
    <row r="259">
      <c r="A259" s="10" t="s">
        <v>5</v>
      </c>
      <c r="B259" s="11" t="s">
        <v>2838</v>
      </c>
      <c r="C259" s="9"/>
      <c r="D259" s="9"/>
      <c r="E259" s="9"/>
      <c r="F259" s="9"/>
      <c r="G259" s="9"/>
      <c r="H259" s="9"/>
      <c r="I259" s="14"/>
    </row>
    <row r="260" ht="60.0" customHeight="1">
      <c r="A260" s="15" t="s">
        <v>16</v>
      </c>
      <c r="B260" s="22" t="str">
        <f t="array" ref="B260">iferror(VLOOKUP(INDIRECT(ADDRESS(ROW()+1,COLUMN(), 4)),Dex!$A$2:$C671,3,false),"")</f>
        <v/>
      </c>
      <c r="C260" s="22" t="str">
        <f t="array" ref="C260">iferror(VLOOKUP(INDIRECT(ADDRESS(ROW()+1,COLUMN(), 4)),Dex!$A$2:$C671,3,false),"")</f>
        <v/>
      </c>
      <c r="D260" s="22" t="str">
        <f t="array" ref="D260">iferror(VLOOKUP(INDIRECT(ADDRESS(ROW()+1,COLUMN(), 4)),Dex!$A$2:$C671,3,false),"")</f>
        <v/>
      </c>
      <c r="E260" s="22" t="str">
        <f t="array" ref="E260">iferror(VLOOKUP(INDIRECT(ADDRESS(ROW()+1,COLUMN(), 4)),Dex!$A$2:$C671,3,false),"")</f>
        <v/>
      </c>
      <c r="F260" s="22" t="str">
        <f t="array" ref="F260">iferror(VLOOKUP(INDIRECT(ADDRESS(ROW()+1,COLUMN(), 4)),Dex!$A$2:$C671,3,false),"")</f>
        <v/>
      </c>
      <c r="G260" s="22" t="str">
        <f t="array" ref="G260">iferror(VLOOKUP(INDIRECT(ADDRESS(ROW()+1,COLUMN(), 4)),Dex!$A$2:$C671,3,false),"")</f>
        <v/>
      </c>
      <c r="H260" s="23" t="str">
        <f t="array" ref="H260">iferror(VLOOKUP("TRAINER_PIC_Aqua_Grunt_F",Sprites!$A$1:$B671,2,false),"")</f>
        <v/>
      </c>
      <c r="I260" s="24"/>
    </row>
    <row r="261">
      <c r="A261" s="25"/>
      <c r="B261" s="26" t="s">
        <v>2364</v>
      </c>
      <c r="C261" s="26" t="s">
        <v>382</v>
      </c>
      <c r="D261" s="26" t="s">
        <v>734</v>
      </c>
      <c r="E261" s="26" t="s">
        <v>384</v>
      </c>
      <c r="F261" s="26" t="s">
        <v>1882</v>
      </c>
      <c r="G261" s="26"/>
      <c r="H261" s="27"/>
    </row>
    <row r="262">
      <c r="A262" s="10" t="s">
        <v>199</v>
      </c>
      <c r="B262" s="22">
        <v>79.0</v>
      </c>
      <c r="C262" s="22">
        <v>82.0</v>
      </c>
      <c r="D262" s="22">
        <v>80.0</v>
      </c>
      <c r="E262" s="22">
        <v>81.0</v>
      </c>
      <c r="F262" s="22">
        <v>80.0</v>
      </c>
      <c r="G262" s="22"/>
      <c r="H262" s="28"/>
    </row>
    <row r="263">
      <c r="A263" s="10" t="s">
        <v>201</v>
      </c>
      <c r="B263" s="29" t="s">
        <v>2366</v>
      </c>
      <c r="C263" s="29" t="s">
        <v>777</v>
      </c>
      <c r="D263" s="29" t="s">
        <v>2351</v>
      </c>
      <c r="E263" s="29" t="s">
        <v>776</v>
      </c>
      <c r="F263" s="29" t="s">
        <v>2846</v>
      </c>
      <c r="G263" s="29"/>
      <c r="H263" s="27"/>
    </row>
    <row r="264">
      <c r="A264" s="10" t="s">
        <v>209</v>
      </c>
      <c r="B264" s="22" t="s">
        <v>2368</v>
      </c>
      <c r="C264" s="22" t="s">
        <v>1152</v>
      </c>
      <c r="D264" s="22" t="s">
        <v>2757</v>
      </c>
      <c r="E264" s="22" t="s">
        <v>459</v>
      </c>
      <c r="F264" s="22" t="s">
        <v>2822</v>
      </c>
      <c r="G264" s="22"/>
      <c r="H264" s="27"/>
    </row>
    <row r="265">
      <c r="A265" s="10" t="s">
        <v>215</v>
      </c>
      <c r="B265" s="29" t="s">
        <v>419</v>
      </c>
      <c r="C265" s="29" t="s">
        <v>231</v>
      </c>
      <c r="D265" s="29" t="s">
        <v>220</v>
      </c>
      <c r="E265" s="29" t="s">
        <v>419</v>
      </c>
      <c r="F265" s="29" t="s">
        <v>906</v>
      </c>
      <c r="G265" s="29"/>
      <c r="H265" s="27"/>
    </row>
    <row r="266">
      <c r="A266" s="15" t="s">
        <v>224</v>
      </c>
      <c r="B266" s="22" t="s">
        <v>361</v>
      </c>
      <c r="C266" s="22" t="s">
        <v>2847</v>
      </c>
      <c r="D266" s="22" t="s">
        <v>1752</v>
      </c>
      <c r="E266" s="22" t="s">
        <v>584</v>
      </c>
      <c r="F266" s="22" t="s">
        <v>815</v>
      </c>
      <c r="G266" s="22"/>
      <c r="H266" s="27"/>
    </row>
    <row r="267">
      <c r="A267" s="30"/>
      <c r="B267" s="22" t="s">
        <v>2370</v>
      </c>
      <c r="C267" s="22" t="s">
        <v>2121</v>
      </c>
      <c r="D267" s="22" t="s">
        <v>1716</v>
      </c>
      <c r="E267" s="22" t="s">
        <v>920</v>
      </c>
      <c r="F267" s="22" t="s">
        <v>572</v>
      </c>
      <c r="G267" s="22"/>
      <c r="H267" s="27"/>
    </row>
    <row r="268">
      <c r="A268" s="30"/>
      <c r="B268" s="22" t="s">
        <v>1661</v>
      </c>
      <c r="C268" s="22" t="s">
        <v>2819</v>
      </c>
      <c r="D268" s="22" t="s">
        <v>1048</v>
      </c>
      <c r="E268" s="22" t="s">
        <v>2848</v>
      </c>
      <c r="F268" s="22" t="s">
        <v>465</v>
      </c>
      <c r="G268" s="22"/>
      <c r="H268" s="27"/>
    </row>
    <row r="269">
      <c r="A269" s="25"/>
      <c r="B269" s="22" t="s">
        <v>428</v>
      </c>
      <c r="C269" s="22" t="s">
        <v>477</v>
      </c>
      <c r="D269" s="22" t="s">
        <v>1169</v>
      </c>
      <c r="E269" s="22" t="s">
        <v>229</v>
      </c>
      <c r="F269" s="22" t="s">
        <v>2318</v>
      </c>
      <c r="G269" s="22"/>
      <c r="H269" s="31"/>
      <c r="I269" s="32"/>
    </row>
    <row r="270">
      <c r="A270" s="10" t="s">
        <v>5</v>
      </c>
      <c r="B270" s="11" t="s">
        <v>2850</v>
      </c>
      <c r="C270" s="9"/>
      <c r="D270" s="9"/>
      <c r="E270" s="9"/>
      <c r="F270" s="9"/>
      <c r="G270" s="9"/>
      <c r="H270" s="9"/>
      <c r="I270" s="13"/>
    </row>
    <row r="271" ht="60.0" customHeight="1">
      <c r="A271" s="15" t="s">
        <v>16</v>
      </c>
      <c r="B271" s="22" t="str">
        <f t="array" ref="B271">iferror(VLOOKUP(INDIRECT(ADDRESS(ROW()+1,COLUMN(), 4)),Dex!$A$2:$C671,3,false),"")</f>
        <v/>
      </c>
      <c r="C271" s="22" t="str">
        <f t="array" ref="C271">iferror(VLOOKUP(INDIRECT(ADDRESS(ROW()+1,COLUMN(), 4)),Dex!$A$2:$C671,3,false),"")</f>
        <v/>
      </c>
      <c r="D271" s="22" t="str">
        <f t="array" ref="D271">iferror(VLOOKUP(INDIRECT(ADDRESS(ROW()+1,COLUMN(), 4)),Dex!$A$2:$C671,3,false),"")</f>
        <v/>
      </c>
      <c r="E271" s="22" t="str">
        <f t="array" ref="E271">iferror(VLOOKUP(INDIRECT(ADDRESS(ROW()+1,COLUMN(), 4)),Dex!$A$2:$C671,3,false),"")</f>
        <v/>
      </c>
      <c r="F271" s="22" t="str">
        <f t="array" ref="F271">iferror(VLOOKUP(INDIRECT(ADDRESS(ROW()+1,COLUMN(), 4)),Dex!$A$2:$C671,3,false),"")</f>
        <v/>
      </c>
      <c r="G271" s="22" t="str">
        <f t="array" ref="G271">iferror(VLOOKUP(INDIRECT(ADDRESS(ROW()+1,COLUMN(), 4)),Dex!$A$2:$C671,3,false),"")</f>
        <v/>
      </c>
      <c r="H271" s="23" t="str">
        <f t="array" ref="H271">iferror(VLOOKUP("TRAINER_PIC_Aqua_Grunt_F",Sprites!$A$1:$B671,2,false),"")</f>
        <v/>
      </c>
      <c r="I271" s="24"/>
    </row>
    <row r="272">
      <c r="A272" s="25"/>
      <c r="B272" s="26" t="s">
        <v>1465</v>
      </c>
      <c r="C272" s="26" t="s">
        <v>1836</v>
      </c>
      <c r="D272" s="26" t="s">
        <v>633</v>
      </c>
      <c r="E272" s="26" t="s">
        <v>1503</v>
      </c>
      <c r="F272" s="26" t="s">
        <v>597</v>
      </c>
      <c r="G272" s="26"/>
      <c r="H272" s="27"/>
    </row>
    <row r="273">
      <c r="A273" s="10" t="s">
        <v>199</v>
      </c>
      <c r="B273" s="22">
        <v>81.0</v>
      </c>
      <c r="C273" s="22">
        <v>80.0</v>
      </c>
      <c r="D273" s="22">
        <v>81.0</v>
      </c>
      <c r="E273" s="22">
        <v>80.0</v>
      </c>
      <c r="F273" s="22">
        <v>80.0</v>
      </c>
      <c r="G273" s="22"/>
      <c r="H273" s="28"/>
    </row>
    <row r="274">
      <c r="A274" s="10" t="s">
        <v>201</v>
      </c>
      <c r="B274" s="29" t="s">
        <v>206</v>
      </c>
      <c r="C274" s="29" t="s">
        <v>777</v>
      </c>
      <c r="D274" s="29" t="s">
        <v>1332</v>
      </c>
      <c r="E274" s="29" t="s">
        <v>2858</v>
      </c>
      <c r="F274" s="29" t="s">
        <v>205</v>
      </c>
      <c r="G274" s="29"/>
      <c r="H274" s="27"/>
    </row>
    <row r="275">
      <c r="A275" s="10" t="s">
        <v>209</v>
      </c>
      <c r="B275" s="22" t="s">
        <v>2859</v>
      </c>
      <c r="C275" s="22" t="s">
        <v>1840</v>
      </c>
      <c r="D275" s="22" t="s">
        <v>1339</v>
      </c>
      <c r="E275" s="22" t="s">
        <v>2860</v>
      </c>
      <c r="F275" s="22" t="s">
        <v>1642</v>
      </c>
      <c r="G275" s="22"/>
      <c r="H275" s="27"/>
    </row>
    <row r="276">
      <c r="A276" s="10" t="s">
        <v>215</v>
      </c>
      <c r="B276" s="29" t="s">
        <v>419</v>
      </c>
      <c r="C276" s="29" t="s">
        <v>222</v>
      </c>
      <c r="D276" s="29" t="s">
        <v>218</v>
      </c>
      <c r="E276" s="29" t="s">
        <v>419</v>
      </c>
      <c r="F276" s="29" t="s">
        <v>906</v>
      </c>
      <c r="G276" s="29"/>
      <c r="H276" s="27"/>
    </row>
    <row r="277">
      <c r="A277" s="15" t="s">
        <v>224</v>
      </c>
      <c r="B277" s="22" t="s">
        <v>2512</v>
      </c>
      <c r="C277" s="22" t="s">
        <v>2370</v>
      </c>
      <c r="D277" s="22" t="s">
        <v>2578</v>
      </c>
      <c r="E277" s="22" t="s">
        <v>2862</v>
      </c>
      <c r="F277" s="22" t="s">
        <v>1554</v>
      </c>
      <c r="G277" s="22"/>
      <c r="H277" s="27"/>
    </row>
    <row r="278">
      <c r="A278" s="30"/>
      <c r="B278" s="22" t="s">
        <v>2617</v>
      </c>
      <c r="C278" s="22" t="s">
        <v>2863</v>
      </c>
      <c r="D278" s="22" t="s">
        <v>1125</v>
      </c>
      <c r="E278" s="22" t="s">
        <v>585</v>
      </c>
      <c r="F278" s="22" t="s">
        <v>1231</v>
      </c>
      <c r="G278" s="22"/>
      <c r="H278" s="27"/>
    </row>
    <row r="279">
      <c r="A279" s="30"/>
      <c r="B279" s="22" t="s">
        <v>572</v>
      </c>
      <c r="C279" s="22" t="s">
        <v>697</v>
      </c>
      <c r="D279" s="22" t="s">
        <v>946</v>
      </c>
      <c r="E279" s="22" t="s">
        <v>572</v>
      </c>
      <c r="F279" s="22" t="s">
        <v>1541</v>
      </c>
      <c r="G279" s="22"/>
      <c r="H279" s="27"/>
    </row>
    <row r="280">
      <c r="A280" s="25"/>
      <c r="B280" s="22" t="s">
        <v>2848</v>
      </c>
      <c r="C280" s="22" t="s">
        <v>1250</v>
      </c>
      <c r="D280" s="22" t="s">
        <v>2109</v>
      </c>
      <c r="E280" s="22" t="s">
        <v>1799</v>
      </c>
      <c r="F280" s="22" t="s">
        <v>2490</v>
      </c>
      <c r="G280" s="22"/>
      <c r="H280" s="31"/>
      <c r="I280" s="32"/>
    </row>
    <row r="281">
      <c r="A281" s="10" t="s">
        <v>5</v>
      </c>
      <c r="B281" s="11" t="s">
        <v>2865</v>
      </c>
      <c r="C281" s="9"/>
      <c r="D281" s="9"/>
      <c r="E281" s="9"/>
      <c r="F281" s="9"/>
      <c r="G281" s="9"/>
      <c r="H281" s="9"/>
      <c r="I281" s="13"/>
    </row>
    <row r="282" ht="60.0" customHeight="1">
      <c r="A282" s="15" t="s">
        <v>16</v>
      </c>
      <c r="B282" s="22" t="str">
        <f t="array" ref="B282">iferror(VLOOKUP(INDIRECT(ADDRESS(ROW()+1,COLUMN(), 4)),Dex!$A$2:$C671,3,false),"")</f>
        <v/>
      </c>
      <c r="C282" s="22" t="str">
        <f t="array" ref="C282">iferror(VLOOKUP(INDIRECT(ADDRESS(ROW()+1,COLUMN(), 4)),Dex!$A$2:$C671,3,false),"")</f>
        <v/>
      </c>
      <c r="D282" s="22" t="str">
        <f t="array" ref="D282">iferror(VLOOKUP(INDIRECT(ADDRESS(ROW()+1,COLUMN(), 4)),Dex!$A$2:$C671,3,false),"")</f>
        <v/>
      </c>
      <c r="E282" s="22" t="str">
        <f t="array" ref="E282">iferror(VLOOKUP(INDIRECT(ADDRESS(ROW()+1,COLUMN(), 4)),Dex!$A$2:$C671,3,false),"")</f>
        <v/>
      </c>
      <c r="F282" s="22" t="str">
        <f t="array" ref="F282">iferror(VLOOKUP(INDIRECT(ADDRESS(ROW()+1,COLUMN(), 4)),Dex!$A$2:$C671,3,false),"")</f>
        <v/>
      </c>
      <c r="G282" s="22" t="str">
        <f t="array" ref="G282">iferror(VLOOKUP(INDIRECT(ADDRESS(ROW()+1,COLUMN(), 4)),Dex!$A$2:$C671,3,false),"")</f>
        <v/>
      </c>
      <c r="H282" s="23" t="str">
        <f t="array" ref="H282">iferror(VLOOKUP("TRAINER_PIC_Aqua_Grunt_M",Sprites!$A$1:$B671,2,false),"")</f>
        <v/>
      </c>
      <c r="I282" s="24"/>
    </row>
    <row r="283">
      <c r="A283" s="25"/>
      <c r="B283" s="26" t="s">
        <v>693</v>
      </c>
      <c r="C283" s="26" t="s">
        <v>882</v>
      </c>
      <c r="D283" s="26" t="s">
        <v>1095</v>
      </c>
      <c r="E283" s="26" t="s">
        <v>301</v>
      </c>
      <c r="F283" s="26" t="s">
        <v>766</v>
      </c>
      <c r="G283" s="26"/>
      <c r="H283" s="27"/>
    </row>
    <row r="284">
      <c r="A284" s="10" t="s">
        <v>199</v>
      </c>
      <c r="B284" s="22">
        <v>80.0</v>
      </c>
      <c r="C284" s="22">
        <v>81.0</v>
      </c>
      <c r="D284" s="22">
        <v>80.0</v>
      </c>
      <c r="E284" s="22">
        <v>80.0</v>
      </c>
      <c r="F284" s="22">
        <v>82.0</v>
      </c>
      <c r="G284" s="22"/>
      <c r="H284" s="28"/>
    </row>
    <row r="285">
      <c r="A285" s="10" t="s">
        <v>201</v>
      </c>
      <c r="B285" s="29" t="s">
        <v>408</v>
      </c>
      <c r="C285" s="29" t="s">
        <v>1518</v>
      </c>
      <c r="D285" s="29" t="s">
        <v>1242</v>
      </c>
      <c r="E285" s="29" t="s">
        <v>777</v>
      </c>
      <c r="F285" s="29" t="s">
        <v>2351</v>
      </c>
      <c r="G285" s="29"/>
      <c r="H285" s="27"/>
    </row>
    <row r="286">
      <c r="A286" s="10" t="s">
        <v>209</v>
      </c>
      <c r="B286" s="22" t="s">
        <v>219</v>
      </c>
      <c r="C286" s="22" t="s">
        <v>2360</v>
      </c>
      <c r="D286" s="22" t="s">
        <v>413</v>
      </c>
      <c r="E286" s="22" t="s">
        <v>786</v>
      </c>
      <c r="F286" s="22" t="s">
        <v>789</v>
      </c>
      <c r="G286" s="22"/>
      <c r="H286" s="27"/>
    </row>
    <row r="287">
      <c r="A287" s="10" t="s">
        <v>215</v>
      </c>
      <c r="B287" s="29" t="s">
        <v>231</v>
      </c>
      <c r="C287" s="29" t="s">
        <v>220</v>
      </c>
      <c r="D287" s="29" t="s">
        <v>419</v>
      </c>
      <c r="E287" s="29" t="s">
        <v>461</v>
      </c>
      <c r="F287" s="29" t="s">
        <v>419</v>
      </c>
      <c r="G287" s="29"/>
      <c r="H287" s="27"/>
    </row>
    <row r="288">
      <c r="A288" s="15" t="s">
        <v>224</v>
      </c>
      <c r="B288" s="22" t="s">
        <v>431</v>
      </c>
      <c r="C288" s="22" t="s">
        <v>549</v>
      </c>
      <c r="D288" s="22" t="s">
        <v>238</v>
      </c>
      <c r="E288" s="22" t="s">
        <v>2875</v>
      </c>
      <c r="F288" s="22" t="s">
        <v>2876</v>
      </c>
      <c r="G288" s="22"/>
      <c r="H288" s="27"/>
    </row>
    <row r="289">
      <c r="A289" s="30"/>
      <c r="B289" s="22" t="s">
        <v>2217</v>
      </c>
      <c r="C289" s="22" t="s">
        <v>233</v>
      </c>
      <c r="D289" s="22" t="s">
        <v>815</v>
      </c>
      <c r="E289" s="22" t="s">
        <v>796</v>
      </c>
      <c r="F289" s="22" t="s">
        <v>814</v>
      </c>
      <c r="G289" s="22"/>
      <c r="H289" s="27"/>
    </row>
    <row r="290">
      <c r="A290" s="30"/>
      <c r="B290" s="22" t="s">
        <v>1036</v>
      </c>
      <c r="C290" s="22" t="s">
        <v>432</v>
      </c>
      <c r="D290" s="22" t="s">
        <v>924</v>
      </c>
      <c r="E290" s="22" t="s">
        <v>246</v>
      </c>
      <c r="F290" s="22" t="s">
        <v>1363</v>
      </c>
      <c r="G290" s="22"/>
      <c r="H290" s="27"/>
    </row>
    <row r="291">
      <c r="A291" s="25"/>
      <c r="B291" s="22" t="s">
        <v>366</v>
      </c>
      <c r="C291" s="22" t="s">
        <v>587</v>
      </c>
      <c r="D291" s="22" t="s">
        <v>917</v>
      </c>
      <c r="E291" s="22" t="s">
        <v>804</v>
      </c>
      <c r="F291" s="22" t="s">
        <v>805</v>
      </c>
      <c r="G291" s="22"/>
      <c r="H291" s="31"/>
      <c r="I291" s="32"/>
    </row>
    <row r="292">
      <c r="A292" s="10" t="s">
        <v>5</v>
      </c>
      <c r="B292" s="11" t="s">
        <v>2877</v>
      </c>
      <c r="C292" s="9"/>
      <c r="D292" s="9"/>
      <c r="E292" s="9"/>
      <c r="F292" s="9"/>
      <c r="G292" s="9"/>
      <c r="H292" s="9"/>
      <c r="I292" s="14"/>
    </row>
    <row r="293" ht="60.0" customHeight="1">
      <c r="A293" s="15" t="s">
        <v>16</v>
      </c>
      <c r="B293" s="22" t="str">
        <f t="array" ref="B293">iferror(VLOOKUP(INDIRECT(ADDRESS(ROW()+1,COLUMN(), 4)),Dex!$A$2:$C671,3,false),"")</f>
        <v/>
      </c>
      <c r="C293" s="22" t="str">
        <f t="array" ref="C293">iferror(VLOOKUP(INDIRECT(ADDRESS(ROW()+1,COLUMN(), 4)),Dex!$A$2:$C671,3,false),"")</f>
        <v/>
      </c>
      <c r="D293" s="22" t="str">
        <f t="array" ref="D293">iferror(VLOOKUP(INDIRECT(ADDRESS(ROW()+1,COLUMN(), 4)),Dex!$A$2:$C671,3,false),"")</f>
        <v/>
      </c>
      <c r="E293" s="22" t="str">
        <f t="array" ref="E293">iferror(VLOOKUP(INDIRECT(ADDRESS(ROW()+1,COLUMN(), 4)),Dex!$A$2:$C671,3,false),"")</f>
        <v/>
      </c>
      <c r="F293" s="22" t="str">
        <f t="array" ref="F293">iferror(VLOOKUP(INDIRECT(ADDRESS(ROW()+1,COLUMN(), 4)),Dex!$A$2:$C671,3,false),"")</f>
        <v/>
      </c>
      <c r="G293" s="22" t="str">
        <f t="array" ref="G293">iferror(VLOOKUP(INDIRECT(ADDRESS(ROW()+1,COLUMN(), 4)),Dex!$A$2:$C671,3,false),"")</f>
        <v/>
      </c>
      <c r="H293" s="23" t="str">
        <f t="array" ref="H293">iferror(VLOOKUP("TRAINER_PIC_Aqua_Grunt_M",Sprites!$A$1:$B671,2,false),"")</f>
        <v/>
      </c>
      <c r="I293" s="24"/>
    </row>
    <row r="294">
      <c r="A294" s="25"/>
      <c r="B294" s="26" t="s">
        <v>270</v>
      </c>
      <c r="C294" s="26" t="s">
        <v>999</v>
      </c>
      <c r="D294" s="26" t="s">
        <v>1071</v>
      </c>
      <c r="E294" s="26" t="s">
        <v>1507</v>
      </c>
      <c r="F294" s="26" t="s">
        <v>1595</v>
      </c>
      <c r="G294" s="26"/>
      <c r="H294" s="27"/>
    </row>
    <row r="295">
      <c r="A295" s="10" t="s">
        <v>199</v>
      </c>
      <c r="B295" s="22">
        <v>80.0</v>
      </c>
      <c r="C295" s="22">
        <v>80.0</v>
      </c>
      <c r="D295" s="22">
        <v>81.0</v>
      </c>
      <c r="E295" s="22">
        <v>81.0</v>
      </c>
      <c r="F295" s="22">
        <v>82.0</v>
      </c>
      <c r="G295" s="22"/>
      <c r="H295" s="28"/>
    </row>
    <row r="296">
      <c r="A296" s="10" t="s">
        <v>201</v>
      </c>
      <c r="B296" s="29" t="s">
        <v>203</v>
      </c>
      <c r="C296" s="29" t="s">
        <v>645</v>
      </c>
      <c r="D296" s="29" t="s">
        <v>779</v>
      </c>
      <c r="E296" s="29" t="s">
        <v>2886</v>
      </c>
      <c r="F296" s="29" t="s">
        <v>408</v>
      </c>
      <c r="G296" s="29"/>
      <c r="H296" s="27"/>
    </row>
    <row r="297">
      <c r="A297" s="10" t="s">
        <v>209</v>
      </c>
      <c r="B297" s="22" t="s">
        <v>901</v>
      </c>
      <c r="C297" s="22" t="s">
        <v>413</v>
      </c>
      <c r="D297" s="22" t="s">
        <v>2377</v>
      </c>
      <c r="E297" s="22" t="s">
        <v>2203</v>
      </c>
      <c r="F297" s="22" t="s">
        <v>1449</v>
      </c>
      <c r="G297" s="22"/>
      <c r="H297" s="27"/>
    </row>
    <row r="298">
      <c r="A298" s="10" t="s">
        <v>215</v>
      </c>
      <c r="B298" s="29" t="s">
        <v>231</v>
      </c>
      <c r="C298" s="29" t="s">
        <v>1343</v>
      </c>
      <c r="D298" s="29" t="s">
        <v>231</v>
      </c>
      <c r="E298" s="29" t="s">
        <v>231</v>
      </c>
      <c r="F298" s="29" t="s">
        <v>419</v>
      </c>
      <c r="G298" s="29"/>
      <c r="H298" s="27"/>
    </row>
    <row r="299">
      <c r="A299" s="15" t="s">
        <v>224</v>
      </c>
      <c r="B299" s="22" t="s">
        <v>552</v>
      </c>
      <c r="C299" s="22" t="s">
        <v>2500</v>
      </c>
      <c r="D299" s="22" t="s">
        <v>477</v>
      </c>
      <c r="E299" s="22" t="s">
        <v>2845</v>
      </c>
      <c r="F299" s="22" t="s">
        <v>2887</v>
      </c>
      <c r="G299" s="22"/>
      <c r="H299" s="27"/>
    </row>
    <row r="300">
      <c r="A300" s="30"/>
      <c r="B300" s="22" t="s">
        <v>463</v>
      </c>
      <c r="C300" s="22" t="s">
        <v>565</v>
      </c>
      <c r="D300" s="22" t="s">
        <v>2406</v>
      </c>
      <c r="E300" s="22" t="s">
        <v>2022</v>
      </c>
      <c r="F300" s="22" t="s">
        <v>815</v>
      </c>
      <c r="G300" s="22"/>
      <c r="H300" s="27"/>
    </row>
    <row r="301">
      <c r="A301" s="30"/>
      <c r="B301" s="22" t="s">
        <v>587</v>
      </c>
      <c r="C301" s="22" t="s">
        <v>2319</v>
      </c>
      <c r="D301" s="22" t="s">
        <v>951</v>
      </c>
      <c r="E301" s="22" t="s">
        <v>2888</v>
      </c>
      <c r="F301" s="22" t="s">
        <v>582</v>
      </c>
      <c r="G301" s="22"/>
      <c r="H301" s="27"/>
    </row>
    <row r="302">
      <c r="A302" s="25"/>
      <c r="B302" s="22" t="s">
        <v>2110</v>
      </c>
      <c r="C302" s="22" t="s">
        <v>1366</v>
      </c>
      <c r="D302" s="22" t="s">
        <v>1844</v>
      </c>
      <c r="E302" s="22" t="s">
        <v>2020</v>
      </c>
      <c r="F302" s="22" t="s">
        <v>694</v>
      </c>
      <c r="G302" s="22"/>
      <c r="H302" s="31"/>
      <c r="I302" s="32"/>
    </row>
    <row r="303">
      <c r="A303" s="10" t="s">
        <v>5</v>
      </c>
      <c r="B303" s="11" t="s">
        <v>2889</v>
      </c>
      <c r="C303" s="9"/>
      <c r="D303" s="9"/>
      <c r="E303" s="9"/>
      <c r="F303" s="9"/>
      <c r="G303" s="9"/>
      <c r="H303" s="9"/>
      <c r="I303" s="14"/>
    </row>
    <row r="304" ht="60.0" customHeight="1">
      <c r="A304" s="15" t="s">
        <v>16</v>
      </c>
      <c r="B304" s="22" t="str">
        <f t="array" ref="B304">iferror(VLOOKUP(INDIRECT(ADDRESS(ROW()+1,COLUMN(), 4)),Dex!$A$2:$C671,3,false),"")</f>
        <v/>
      </c>
      <c r="C304" s="22" t="str">
        <f t="array" ref="C304">iferror(VLOOKUP(INDIRECT(ADDRESS(ROW()+1,COLUMN(), 4)),Dex!$A$2:$C671,3,false),"")</f>
        <v/>
      </c>
      <c r="D304" s="22" t="str">
        <f t="array" ref="D304">iferror(VLOOKUP(INDIRECT(ADDRESS(ROW()+1,COLUMN(), 4)),Dex!$A$2:$C671,3,false),"")</f>
        <v/>
      </c>
      <c r="E304" s="22" t="str">
        <f t="array" ref="E304">iferror(VLOOKUP(INDIRECT(ADDRESS(ROW()+1,COLUMN(), 4)),Dex!$A$2:$C671,3,false),"")</f>
        <v/>
      </c>
      <c r="F304" s="22" t="str">
        <f t="array" ref="F304">iferror(VLOOKUP(INDIRECT(ADDRESS(ROW()+1,COLUMN(), 4)),Dex!$A$2:$C671,3,false),"")</f>
        <v/>
      </c>
      <c r="G304" s="22" t="str">
        <f t="array" ref="G304">iferror(VLOOKUP(INDIRECT(ADDRESS(ROW()+1,COLUMN(), 4)),Dex!$A$2:$C671,3,false),"")</f>
        <v/>
      </c>
      <c r="H304" s="23" t="str">
        <f t="array" ref="H304">iferror(VLOOKUP("TRAINER_PIC_Aqua_Grunt_F",Sprites!$A$1:$B671,2,false),"")</f>
        <v/>
      </c>
      <c r="I304" s="24"/>
    </row>
    <row r="305">
      <c r="A305" s="25"/>
      <c r="B305" s="26" t="s">
        <v>841</v>
      </c>
      <c r="C305" s="26" t="s">
        <v>1583</v>
      </c>
      <c r="D305" s="26" t="s">
        <v>442</v>
      </c>
      <c r="E305" s="26" t="s">
        <v>593</v>
      </c>
      <c r="F305" s="26" t="s">
        <v>1634</v>
      </c>
      <c r="G305" s="26" t="s">
        <v>1416</v>
      </c>
      <c r="H305" s="27"/>
    </row>
    <row r="306">
      <c r="A306" s="10" t="s">
        <v>199</v>
      </c>
      <c r="B306" s="22">
        <v>80.0</v>
      </c>
      <c r="C306" s="22">
        <v>82.0</v>
      </c>
      <c r="D306" s="22">
        <v>81.0</v>
      </c>
      <c r="E306" s="22">
        <v>80.0</v>
      </c>
      <c r="F306" s="22">
        <v>81.0</v>
      </c>
      <c r="G306" s="22">
        <v>82.0</v>
      </c>
      <c r="H306" s="28"/>
    </row>
    <row r="307">
      <c r="A307" s="10" t="s">
        <v>201</v>
      </c>
      <c r="B307" s="29" t="s">
        <v>644</v>
      </c>
      <c r="C307" s="29" t="s">
        <v>2474</v>
      </c>
      <c r="D307" s="29" t="s">
        <v>779</v>
      </c>
      <c r="E307" s="29" t="s">
        <v>2099</v>
      </c>
      <c r="F307" s="29" t="s">
        <v>2902</v>
      </c>
      <c r="G307" s="29" t="s">
        <v>345</v>
      </c>
      <c r="H307" s="27"/>
    </row>
    <row r="308">
      <c r="A308" s="10" t="s">
        <v>209</v>
      </c>
      <c r="B308" s="22" t="s">
        <v>2473</v>
      </c>
      <c r="C308" s="22" t="s">
        <v>2801</v>
      </c>
      <c r="D308" s="22" t="s">
        <v>1523</v>
      </c>
      <c r="E308" s="22" t="s">
        <v>912</v>
      </c>
      <c r="F308" s="22" t="s">
        <v>899</v>
      </c>
      <c r="G308" s="22" t="s">
        <v>2543</v>
      </c>
      <c r="H308" s="27"/>
    </row>
    <row r="309">
      <c r="A309" s="10" t="s">
        <v>215</v>
      </c>
      <c r="B309" s="29" t="s">
        <v>417</v>
      </c>
      <c r="C309" s="29" t="s">
        <v>419</v>
      </c>
      <c r="D309" s="29" t="s">
        <v>222</v>
      </c>
      <c r="E309" s="29" t="s">
        <v>906</v>
      </c>
      <c r="F309" s="29" t="s">
        <v>419</v>
      </c>
      <c r="G309" s="29" t="s">
        <v>419</v>
      </c>
      <c r="H309" s="27"/>
    </row>
    <row r="310">
      <c r="A310" s="15" t="s">
        <v>224</v>
      </c>
      <c r="B310" s="22" t="s">
        <v>361</v>
      </c>
      <c r="C310" s="22" t="s">
        <v>2115</v>
      </c>
      <c r="D310" s="22" t="s">
        <v>814</v>
      </c>
      <c r="E310" s="22" t="s">
        <v>1458</v>
      </c>
      <c r="F310" s="22" t="s">
        <v>2370</v>
      </c>
      <c r="G310" s="22" t="s">
        <v>362</v>
      </c>
      <c r="H310" s="27"/>
    </row>
    <row r="311">
      <c r="A311" s="30"/>
      <c r="B311" s="22" t="s">
        <v>692</v>
      </c>
      <c r="C311" s="22" t="s">
        <v>2397</v>
      </c>
      <c r="D311" s="22" t="s">
        <v>2320</v>
      </c>
      <c r="E311" s="22" t="s">
        <v>355</v>
      </c>
      <c r="F311" s="22"/>
      <c r="G311" s="22" t="s">
        <v>2906</v>
      </c>
      <c r="H311" s="27"/>
    </row>
    <row r="312">
      <c r="A312" s="30"/>
      <c r="B312" s="22" t="s">
        <v>2907</v>
      </c>
      <c r="C312" s="22" t="s">
        <v>236</v>
      </c>
      <c r="D312" s="22" t="s">
        <v>1664</v>
      </c>
      <c r="E312" s="22" t="s">
        <v>1661</v>
      </c>
      <c r="F312" s="22"/>
      <c r="G312" s="22" t="s">
        <v>1442</v>
      </c>
      <c r="H312" s="27"/>
    </row>
    <row r="313">
      <c r="A313" s="25"/>
      <c r="B313" s="22" t="s">
        <v>927</v>
      </c>
      <c r="C313" s="22" t="s">
        <v>582</v>
      </c>
      <c r="D313" s="22" t="s">
        <v>357</v>
      </c>
      <c r="E313" s="22" t="s">
        <v>2555</v>
      </c>
      <c r="F313" s="22"/>
      <c r="G313" s="22" t="s">
        <v>945</v>
      </c>
      <c r="H313" s="31"/>
      <c r="I313" s="32"/>
    </row>
    <row r="314">
      <c r="A314" s="10" t="s">
        <v>5</v>
      </c>
      <c r="B314" s="11" t="s">
        <v>2908</v>
      </c>
      <c r="C314" s="9"/>
      <c r="D314" s="9"/>
      <c r="E314" s="9"/>
      <c r="F314" s="9"/>
      <c r="G314" s="9"/>
      <c r="H314" s="9"/>
      <c r="I314" s="13"/>
    </row>
    <row r="315" ht="60.0" customHeight="1">
      <c r="A315" s="15" t="s">
        <v>16</v>
      </c>
      <c r="B315" s="22" t="str">
        <f t="array" ref="B315">iferror(VLOOKUP(INDIRECT(ADDRESS(ROW()+1,COLUMN(), 4)),Dex!$A$2:$C671,3,false),"")</f>
        <v/>
      </c>
      <c r="C315" s="22" t="str">
        <f t="array" ref="C315">iferror(VLOOKUP(INDIRECT(ADDRESS(ROW()+1,COLUMN(), 4)),Dex!$A$2:$C671,3,false),"")</f>
        <v/>
      </c>
      <c r="D315" s="22" t="str">
        <f t="array" ref="D315">iferror(VLOOKUP(INDIRECT(ADDRESS(ROW()+1,COLUMN(), 4)),Dex!$A$2:$C671,3,false),"")</f>
        <v/>
      </c>
      <c r="E315" s="22" t="str">
        <f t="array" ref="E315">iferror(VLOOKUP(INDIRECT(ADDRESS(ROW()+1,COLUMN(), 4)),Dex!$A$2:$C671,3,false),"")</f>
        <v/>
      </c>
      <c r="F315" s="22" t="str">
        <f t="array" ref="F315">iferror(VLOOKUP(INDIRECT(ADDRESS(ROW()+1,COLUMN(), 4)),Dex!$A$2:$C671,3,false),"")</f>
        <v/>
      </c>
      <c r="G315" s="22" t="str">
        <f t="array" ref="G315">iferror(VLOOKUP(INDIRECT(ADDRESS(ROW()+1,COLUMN(), 4)),Dex!$A$2:$C671,3,false),"")</f>
        <v/>
      </c>
      <c r="H315" s="23" t="str">
        <f t="array" ref="H315">iferror(VLOOKUP("TRAINER_PIC_Aqua_Leader_Archie",Sprites!$A$1:$B671,2,false),"")</f>
        <v/>
      </c>
      <c r="I315" s="24"/>
    </row>
    <row r="316">
      <c r="A316" s="25"/>
      <c r="B316" s="26" t="s">
        <v>2252</v>
      </c>
      <c r="C316" s="26"/>
      <c r="D316" s="26"/>
      <c r="E316" s="26"/>
      <c r="F316" s="26"/>
      <c r="G316" s="26"/>
      <c r="H316" s="27"/>
    </row>
    <row r="317">
      <c r="A317" s="10" t="s">
        <v>199</v>
      </c>
      <c r="B317" s="22">
        <v>82.0</v>
      </c>
      <c r="C317" s="22"/>
      <c r="D317" s="22"/>
      <c r="E317" s="22"/>
      <c r="F317" s="22"/>
      <c r="G317" s="22"/>
      <c r="H317" s="28"/>
    </row>
    <row r="318">
      <c r="A318" s="10" t="s">
        <v>201</v>
      </c>
      <c r="B318" s="29" t="s">
        <v>1333</v>
      </c>
      <c r="C318" s="29"/>
      <c r="D318" s="29"/>
      <c r="E318" s="29"/>
      <c r="F318" s="29"/>
      <c r="G318" s="29"/>
      <c r="H318" s="27"/>
    </row>
    <row r="319">
      <c r="A319" s="10" t="s">
        <v>209</v>
      </c>
      <c r="B319" s="22" t="s">
        <v>2919</v>
      </c>
      <c r="C319" s="22"/>
      <c r="D319" s="22"/>
      <c r="E319" s="22"/>
      <c r="F319" s="22"/>
      <c r="G319" s="22"/>
      <c r="H319" s="27"/>
    </row>
    <row r="320">
      <c r="A320" s="10" t="s">
        <v>215</v>
      </c>
      <c r="B320" s="29" t="s">
        <v>419</v>
      </c>
      <c r="C320" s="29"/>
      <c r="D320" s="29"/>
      <c r="E320" s="29"/>
      <c r="F320" s="29"/>
      <c r="G320" s="29"/>
      <c r="H320" s="27"/>
    </row>
    <row r="321">
      <c r="A321" s="15" t="s">
        <v>224</v>
      </c>
      <c r="B321" s="22" t="s">
        <v>2578</v>
      </c>
      <c r="C321" s="22"/>
      <c r="D321" s="22"/>
      <c r="E321" s="22"/>
      <c r="F321" s="22"/>
      <c r="G321" s="22"/>
      <c r="H321" s="27"/>
    </row>
    <row r="322">
      <c r="A322" s="30"/>
      <c r="B322" s="22" t="s">
        <v>2920</v>
      </c>
      <c r="C322" s="22"/>
      <c r="D322" s="22"/>
      <c r="E322" s="22"/>
      <c r="F322" s="22"/>
      <c r="G322" s="22"/>
      <c r="H322" s="27"/>
    </row>
    <row r="323">
      <c r="A323" s="30"/>
      <c r="B323" s="22" t="s">
        <v>2332</v>
      </c>
      <c r="C323" s="22"/>
      <c r="D323" s="22"/>
      <c r="E323" s="22"/>
      <c r="F323" s="22"/>
      <c r="G323" s="22"/>
      <c r="H323" s="27"/>
    </row>
    <row r="324">
      <c r="A324" s="25"/>
      <c r="B324" s="22" t="s">
        <v>1248</v>
      </c>
      <c r="C324" s="22"/>
      <c r="D324" s="22"/>
      <c r="E324" s="22"/>
      <c r="F324" s="22"/>
      <c r="G324" s="22"/>
      <c r="H324" s="31"/>
      <c r="I324" s="32"/>
    </row>
    <row r="325">
      <c r="A325" s="8" t="s">
        <v>2921</v>
      </c>
      <c r="B325" s="9"/>
      <c r="C325" s="9"/>
      <c r="D325" s="9"/>
      <c r="E325" s="9"/>
      <c r="F325" s="9"/>
      <c r="G325" s="9"/>
      <c r="H325" s="9"/>
      <c r="I325" s="34"/>
    </row>
    <row r="326">
      <c r="A326" s="10" t="s">
        <v>5</v>
      </c>
      <c r="B326" s="11" t="s">
        <v>2922</v>
      </c>
      <c r="C326" s="9"/>
      <c r="D326" s="9"/>
      <c r="E326" s="9"/>
      <c r="F326" s="9"/>
      <c r="G326" s="9"/>
      <c r="H326" s="9"/>
      <c r="I326" s="14"/>
    </row>
    <row r="327" ht="60.0" customHeight="1">
      <c r="A327" s="15" t="s">
        <v>16</v>
      </c>
      <c r="B327" s="22" t="str">
        <f t="array" ref="B327">iferror(VLOOKUP(INDIRECT(ADDRESS(ROW()+1,COLUMN(), 4)),Dex!$A$2:$C671,3,false),"")</f>
        <v/>
      </c>
      <c r="C327" s="22" t="str">
        <f t="array" ref="C327">iferror(VLOOKUP(INDIRECT(ADDRESS(ROW()+1,COLUMN(), 4)),Dex!$A$2:$C671,3,false),"")</f>
        <v/>
      </c>
      <c r="D327" s="22" t="str">
        <f t="array" ref="D327">iferror(VLOOKUP(INDIRECT(ADDRESS(ROW()+1,COLUMN(), 4)),Dex!$A$2:$C671,3,false),"")</f>
        <v/>
      </c>
      <c r="E327" s="22" t="str">
        <f t="array" ref="E327">iferror(VLOOKUP(INDIRECT(ADDRESS(ROW()+1,COLUMN(), 4)),Dex!$A$2:$C671,3,false),"")</f>
        <v/>
      </c>
      <c r="F327" s="22" t="str">
        <f t="array" ref="F327">iferror(VLOOKUP(INDIRECT(ADDRESS(ROW()+1,COLUMN(), 4)),Dex!$A$2:$C671,3,false),"")</f>
        <v/>
      </c>
      <c r="G327" s="22" t="str">
        <f t="array" ref="G327">iferror(VLOOKUP(INDIRECT(ADDRESS(ROW()+1,COLUMN(), 4)),Dex!$A$2:$C671,3,false),"")</f>
        <v/>
      </c>
      <c r="H327" s="23" t="str">
        <f t="array" ref="H327">iferror(VLOOKUP("TRAINER_PIC_Magma_Grunt_M",Sprites!$A$1:$B671,2,false),"")</f>
        <v/>
      </c>
      <c r="I327" s="24"/>
    </row>
    <row r="328">
      <c r="A328" s="25"/>
      <c r="B328" s="26" t="s">
        <v>1819</v>
      </c>
      <c r="C328" s="26" t="s">
        <v>1257</v>
      </c>
      <c r="D328" s="26" t="s">
        <v>624</v>
      </c>
      <c r="E328" s="26" t="s">
        <v>888</v>
      </c>
      <c r="F328" s="26" t="s">
        <v>1585</v>
      </c>
      <c r="G328" s="26"/>
      <c r="H328" s="27"/>
    </row>
    <row r="329">
      <c r="A329" s="10" t="s">
        <v>199</v>
      </c>
      <c r="B329" s="22" t="s">
        <v>2568</v>
      </c>
      <c r="C329" s="22">
        <v>80.0</v>
      </c>
      <c r="D329" s="22">
        <v>80.0</v>
      </c>
      <c r="E329" s="22">
        <v>81.0</v>
      </c>
      <c r="F329" s="22">
        <v>81.0</v>
      </c>
      <c r="G329" s="22"/>
      <c r="H329" s="28"/>
    </row>
    <row r="330">
      <c r="A330" s="10" t="s">
        <v>201</v>
      </c>
      <c r="B330" s="29" t="s">
        <v>2928</v>
      </c>
      <c r="C330" s="29" t="s">
        <v>206</v>
      </c>
      <c r="D330" s="29" t="s">
        <v>777</v>
      </c>
      <c r="E330" s="29" t="s">
        <v>2351</v>
      </c>
      <c r="F330" s="29" t="s">
        <v>2861</v>
      </c>
      <c r="G330" s="29"/>
      <c r="H330" s="27"/>
    </row>
    <row r="331">
      <c r="A331" s="10" t="s">
        <v>209</v>
      </c>
      <c r="B331" s="22" t="s">
        <v>1763</v>
      </c>
      <c r="C331" s="22" t="s">
        <v>352</v>
      </c>
      <c r="D331" s="22" t="s">
        <v>1339</v>
      </c>
      <c r="E331" s="22" t="s">
        <v>2473</v>
      </c>
      <c r="F331" s="22" t="s">
        <v>2931</v>
      </c>
      <c r="G331" s="22"/>
      <c r="H331" s="27"/>
    </row>
    <row r="332">
      <c r="A332" s="10" t="s">
        <v>215</v>
      </c>
      <c r="B332" s="29" t="s">
        <v>222</v>
      </c>
      <c r="C332" s="29" t="s">
        <v>231</v>
      </c>
      <c r="D332" s="29" t="s">
        <v>222</v>
      </c>
      <c r="E332" s="29" t="s">
        <v>231</v>
      </c>
      <c r="F332" s="29" t="s">
        <v>419</v>
      </c>
      <c r="G332" s="29"/>
      <c r="H332" s="27"/>
    </row>
    <row r="333">
      <c r="A333" s="15" t="s">
        <v>224</v>
      </c>
      <c r="B333" s="22" t="s">
        <v>585</v>
      </c>
      <c r="C333" s="22" t="s">
        <v>2327</v>
      </c>
      <c r="D333" s="22" t="s">
        <v>246</v>
      </c>
      <c r="E333" s="22" t="s">
        <v>2565</v>
      </c>
      <c r="F333" s="22" t="s">
        <v>2115</v>
      </c>
      <c r="G333" s="22"/>
      <c r="H333" s="27"/>
    </row>
    <row r="334">
      <c r="A334" s="30"/>
      <c r="B334" s="22" t="s">
        <v>2910</v>
      </c>
      <c r="C334" s="22" t="s">
        <v>356</v>
      </c>
      <c r="D334" s="22" t="s">
        <v>2040</v>
      </c>
      <c r="E334" s="22" t="s">
        <v>1352</v>
      </c>
      <c r="F334" s="22" t="s">
        <v>2936</v>
      </c>
      <c r="G334" s="22"/>
      <c r="H334" s="27"/>
    </row>
    <row r="335">
      <c r="A335" s="30"/>
      <c r="B335" s="22" t="s">
        <v>424</v>
      </c>
      <c r="C335" s="22" t="s">
        <v>555</v>
      </c>
      <c r="D335" s="22" t="s">
        <v>2937</v>
      </c>
      <c r="E335" s="22" t="s">
        <v>366</v>
      </c>
      <c r="F335" s="22" t="s">
        <v>236</v>
      </c>
      <c r="G335" s="22"/>
      <c r="H335" s="27"/>
    </row>
    <row r="336">
      <c r="A336" s="25"/>
      <c r="B336" s="22" t="s">
        <v>1227</v>
      </c>
      <c r="C336" s="22" t="s">
        <v>1162</v>
      </c>
      <c r="D336" s="22" t="s">
        <v>424</v>
      </c>
      <c r="E336" s="22" t="s">
        <v>2220</v>
      </c>
      <c r="F336" s="22" t="s">
        <v>937</v>
      </c>
      <c r="G336" s="22"/>
      <c r="H336" s="31"/>
      <c r="I336" s="32"/>
    </row>
    <row r="337">
      <c r="A337" s="10" t="s">
        <v>5</v>
      </c>
      <c r="B337" s="11" t="s">
        <v>2938</v>
      </c>
      <c r="C337" s="9"/>
      <c r="D337" s="9"/>
      <c r="E337" s="9"/>
      <c r="F337" s="9"/>
      <c r="G337" s="9"/>
      <c r="H337" s="9"/>
      <c r="I337" s="14"/>
    </row>
    <row r="338" ht="60.0" customHeight="1">
      <c r="A338" s="15" t="s">
        <v>16</v>
      </c>
      <c r="B338" s="22" t="str">
        <f t="array" ref="B338">iferror(VLOOKUP(INDIRECT(ADDRESS(ROW()+1,COLUMN(), 4)),Dex!$A$2:$C671,3,false),"")</f>
        <v/>
      </c>
      <c r="C338" s="22" t="str">
        <f t="array" ref="C338">iferror(VLOOKUP(INDIRECT(ADDRESS(ROW()+1,COLUMN(), 4)),Dex!$A$2:$C671,3,false),"")</f>
        <v/>
      </c>
      <c r="D338" s="22" t="str">
        <f t="array" ref="D338">iferror(VLOOKUP(INDIRECT(ADDRESS(ROW()+1,COLUMN(), 4)),Dex!$A$2:$C671,3,false),"")</f>
        <v/>
      </c>
      <c r="E338" s="22" t="str">
        <f t="array" ref="E338">iferror(VLOOKUP(INDIRECT(ADDRESS(ROW()+1,COLUMN(), 4)),Dex!$A$2:$C671,3,false),"")</f>
        <v/>
      </c>
      <c r="F338" s="22" t="str">
        <f t="array" ref="F338">iferror(VLOOKUP(INDIRECT(ADDRESS(ROW()+1,COLUMN(), 4)),Dex!$A$2:$C671,3,false),"")</f>
        <v/>
      </c>
      <c r="G338" s="22" t="str">
        <f t="array" ref="G338">iferror(VLOOKUP(INDIRECT(ADDRESS(ROW()+1,COLUMN(), 4)),Dex!$A$2:$C671,3,false),"")</f>
        <v/>
      </c>
      <c r="H338" s="23" t="str">
        <f t="array" ref="H338">iferror(VLOOKUP("TRAINER_PIC_Magma_Grunt_M",Sprites!$A$1:$B671,2,false),"")</f>
        <v/>
      </c>
      <c r="I338" s="24"/>
    </row>
    <row r="339">
      <c r="A339" s="25"/>
      <c r="B339" s="26" t="s">
        <v>1129</v>
      </c>
      <c r="C339" s="26" t="s">
        <v>2182</v>
      </c>
      <c r="D339" s="26" t="s">
        <v>1080</v>
      </c>
      <c r="E339" s="26" t="s">
        <v>908</v>
      </c>
      <c r="F339" s="26" t="s">
        <v>1367</v>
      </c>
      <c r="G339" s="26"/>
      <c r="H339" s="27"/>
    </row>
    <row r="340">
      <c r="A340" s="10" t="s">
        <v>199</v>
      </c>
      <c r="B340" s="22">
        <v>80.0</v>
      </c>
      <c r="C340" s="22">
        <v>80.0</v>
      </c>
      <c r="D340" s="22">
        <v>81.0</v>
      </c>
      <c r="E340" s="22">
        <v>81.0</v>
      </c>
      <c r="F340" s="22">
        <v>82.0</v>
      </c>
      <c r="G340" s="22"/>
      <c r="H340" s="28"/>
    </row>
    <row r="341">
      <c r="A341" s="10" t="s">
        <v>201</v>
      </c>
      <c r="B341" s="29" t="s">
        <v>2792</v>
      </c>
      <c r="C341" s="29" t="s">
        <v>346</v>
      </c>
      <c r="D341" s="29" t="s">
        <v>2435</v>
      </c>
      <c r="E341" s="29" t="s">
        <v>346</v>
      </c>
      <c r="F341" s="29" t="s">
        <v>2950</v>
      </c>
      <c r="G341" s="29"/>
      <c r="H341" s="27"/>
    </row>
    <row r="342">
      <c r="A342" s="10" t="s">
        <v>209</v>
      </c>
      <c r="B342" s="22" t="s">
        <v>900</v>
      </c>
      <c r="C342" s="22" t="s">
        <v>900</v>
      </c>
      <c r="D342" s="22" t="s">
        <v>900</v>
      </c>
      <c r="E342" s="22" t="s">
        <v>900</v>
      </c>
      <c r="F342" s="22" t="s">
        <v>541</v>
      </c>
      <c r="G342" s="22"/>
      <c r="H342" s="27"/>
    </row>
    <row r="343">
      <c r="A343" s="10" t="s">
        <v>215</v>
      </c>
      <c r="B343" s="29" t="s">
        <v>419</v>
      </c>
      <c r="C343" s="29" t="s">
        <v>417</v>
      </c>
      <c r="D343" s="29" t="s">
        <v>419</v>
      </c>
      <c r="E343" s="29" t="s">
        <v>218</v>
      </c>
      <c r="F343" s="29" t="s">
        <v>419</v>
      </c>
      <c r="G343" s="29"/>
      <c r="H343" s="27"/>
    </row>
    <row r="344">
      <c r="A344" s="15" t="s">
        <v>224</v>
      </c>
      <c r="B344" s="22" t="s">
        <v>1435</v>
      </c>
      <c r="C344" s="22" t="s">
        <v>1664</v>
      </c>
      <c r="D344" s="22" t="s">
        <v>236</v>
      </c>
      <c r="E344" s="22" t="s">
        <v>1664</v>
      </c>
      <c r="F344" s="22" t="s">
        <v>246</v>
      </c>
      <c r="G344" s="22"/>
      <c r="H344" s="27"/>
    </row>
    <row r="345">
      <c r="A345" s="30"/>
      <c r="B345" s="22" t="s">
        <v>232</v>
      </c>
      <c r="C345" s="22" t="s">
        <v>810</v>
      </c>
      <c r="D345" s="22" t="s">
        <v>229</v>
      </c>
      <c r="E345" s="22" t="s">
        <v>652</v>
      </c>
      <c r="F345" s="22" t="s">
        <v>1435</v>
      </c>
      <c r="G345" s="22"/>
      <c r="H345" s="27"/>
    </row>
    <row r="346">
      <c r="A346" s="30"/>
      <c r="B346" s="22" t="s">
        <v>2705</v>
      </c>
      <c r="C346" s="22" t="s">
        <v>803</v>
      </c>
      <c r="D346" s="22" t="s">
        <v>232</v>
      </c>
      <c r="E346" s="22" t="s">
        <v>574</v>
      </c>
      <c r="F346" s="22" t="s">
        <v>805</v>
      </c>
      <c r="G346" s="22"/>
      <c r="H346" s="27"/>
    </row>
    <row r="347">
      <c r="A347" s="25"/>
      <c r="B347" s="22" t="s">
        <v>2328</v>
      </c>
      <c r="C347" s="22" t="s">
        <v>361</v>
      </c>
      <c r="D347" s="22" t="s">
        <v>1633</v>
      </c>
      <c r="E347" s="22" t="s">
        <v>2954</v>
      </c>
      <c r="F347" s="22" t="s">
        <v>920</v>
      </c>
      <c r="G347" s="22"/>
      <c r="H347" s="31"/>
      <c r="I347" s="32"/>
    </row>
    <row r="348">
      <c r="A348" s="10" t="s">
        <v>5</v>
      </c>
      <c r="B348" s="11" t="s">
        <v>2956</v>
      </c>
      <c r="C348" s="9"/>
      <c r="D348" s="9"/>
      <c r="E348" s="9"/>
      <c r="F348" s="9"/>
      <c r="G348" s="9"/>
      <c r="H348" s="9"/>
      <c r="I348" s="14"/>
    </row>
    <row r="349" ht="60.0" customHeight="1">
      <c r="A349" s="15" t="s">
        <v>16</v>
      </c>
      <c r="B349" s="22" t="str">
        <f t="array" ref="B349">iferror(VLOOKUP(INDIRECT(ADDRESS(ROW()+1,COLUMN(), 4)),Dex!$A$2:$C671,3,false),"")</f>
        <v/>
      </c>
      <c r="C349" s="22" t="str">
        <f t="array" ref="C349">iferror(VLOOKUP(INDIRECT(ADDRESS(ROW()+1,COLUMN(), 4)),Dex!$A$2:$C671,3,false),"")</f>
        <v/>
      </c>
      <c r="D349" s="22" t="str">
        <f t="array" ref="D349">iferror(VLOOKUP(INDIRECT(ADDRESS(ROW()+1,COLUMN(), 4)),Dex!$A$2:$C671,3,false),"")</f>
        <v/>
      </c>
      <c r="E349" s="22" t="str">
        <f t="array" ref="E349">iferror(VLOOKUP(INDIRECT(ADDRESS(ROW()+1,COLUMN(), 4)),Dex!$A$2:$C671,3,false),"")</f>
        <v/>
      </c>
      <c r="F349" s="22" t="str">
        <f t="array" ref="F349">iferror(VLOOKUP(INDIRECT(ADDRESS(ROW()+1,COLUMN(), 4)),Dex!$A$2:$C671,3,false),"")</f>
        <v/>
      </c>
      <c r="G349" s="22" t="str">
        <f t="array" ref="G349">iferror(VLOOKUP(INDIRECT(ADDRESS(ROW()+1,COLUMN(), 4)),Dex!$A$2:$C671,3,false),"")</f>
        <v/>
      </c>
      <c r="H349" s="23" t="str">
        <f t="array" ref="H349">iferror(VLOOKUP("TRAINER_PIC_Magma_Grunt_F",Sprites!$A$1:$B671,2,false),"")</f>
        <v/>
      </c>
      <c r="I349" s="24"/>
    </row>
    <row r="350">
      <c r="A350" s="25"/>
      <c r="B350" s="26" t="s">
        <v>783</v>
      </c>
      <c r="C350" s="26" t="s">
        <v>716</v>
      </c>
      <c r="D350" s="26" t="s">
        <v>1261</v>
      </c>
      <c r="E350" s="26" t="s">
        <v>769</v>
      </c>
      <c r="F350" s="26" t="s">
        <v>296</v>
      </c>
      <c r="G350" s="26"/>
      <c r="H350" s="27"/>
    </row>
    <row r="351">
      <c r="A351" s="10" t="s">
        <v>199</v>
      </c>
      <c r="B351" s="22">
        <v>82.0</v>
      </c>
      <c r="C351" s="22">
        <v>81.0</v>
      </c>
      <c r="D351" s="22">
        <v>81.0</v>
      </c>
      <c r="E351" s="22">
        <v>80.0</v>
      </c>
      <c r="F351" s="22">
        <v>81.0</v>
      </c>
      <c r="G351" s="22"/>
      <c r="H351" s="28"/>
    </row>
    <row r="352">
      <c r="A352" s="10" t="s">
        <v>201</v>
      </c>
      <c r="B352" s="29" t="s">
        <v>777</v>
      </c>
      <c r="C352" s="29" t="s">
        <v>779</v>
      </c>
      <c r="D352" s="29" t="s">
        <v>2351</v>
      </c>
      <c r="E352" s="29" t="s">
        <v>1332</v>
      </c>
      <c r="F352" s="29" t="s">
        <v>2365</v>
      </c>
      <c r="G352" s="29"/>
      <c r="H352" s="27"/>
    </row>
    <row r="353">
      <c r="A353" s="10" t="s">
        <v>209</v>
      </c>
      <c r="B353" s="22" t="s">
        <v>2353</v>
      </c>
      <c r="C353" s="22" t="s">
        <v>1950</v>
      </c>
      <c r="D353" s="22" t="s">
        <v>2909</v>
      </c>
      <c r="E353" s="22" t="s">
        <v>784</v>
      </c>
      <c r="F353" s="22" t="s">
        <v>2354</v>
      </c>
      <c r="G353" s="22"/>
      <c r="H353" s="27"/>
    </row>
    <row r="354">
      <c r="A354" s="10" t="s">
        <v>215</v>
      </c>
      <c r="B354" s="29" t="s">
        <v>685</v>
      </c>
      <c r="C354" s="29" t="s">
        <v>218</v>
      </c>
      <c r="D354" s="29" t="s">
        <v>231</v>
      </c>
      <c r="E354" s="29" t="s">
        <v>904</v>
      </c>
      <c r="F354" s="29" t="s">
        <v>231</v>
      </c>
      <c r="G354" s="29"/>
      <c r="H354" s="27"/>
    </row>
    <row r="355">
      <c r="A355" s="15" t="s">
        <v>224</v>
      </c>
      <c r="B355" s="22" t="s">
        <v>2555</v>
      </c>
      <c r="C355" s="22" t="s">
        <v>1954</v>
      </c>
      <c r="D355" s="22" t="s">
        <v>1549</v>
      </c>
      <c r="E355" s="22" t="s">
        <v>799</v>
      </c>
      <c r="F355" s="22" t="s">
        <v>2327</v>
      </c>
      <c r="G355" s="22"/>
      <c r="H355" s="27"/>
    </row>
    <row r="356">
      <c r="A356" s="30"/>
      <c r="B356" s="22" t="s">
        <v>1958</v>
      </c>
      <c r="C356" s="22" t="s">
        <v>585</v>
      </c>
      <c r="D356" s="22" t="s">
        <v>2327</v>
      </c>
      <c r="E356" s="22" t="s">
        <v>254</v>
      </c>
      <c r="F356" s="22" t="s">
        <v>567</v>
      </c>
      <c r="G356" s="22"/>
      <c r="H356" s="27"/>
    </row>
    <row r="357">
      <c r="A357" s="30"/>
      <c r="B357" s="22" t="s">
        <v>361</v>
      </c>
      <c r="C357" s="22" t="s">
        <v>1953</v>
      </c>
      <c r="D357" s="22" t="s">
        <v>356</v>
      </c>
      <c r="E357" s="22" t="s">
        <v>1169</v>
      </c>
      <c r="F357" s="22" t="s">
        <v>1033</v>
      </c>
      <c r="G357" s="22"/>
      <c r="H357" s="27"/>
    </row>
    <row r="358">
      <c r="A358" s="25"/>
      <c r="B358" s="22" t="s">
        <v>1366</v>
      </c>
      <c r="C358" s="22" t="s">
        <v>951</v>
      </c>
      <c r="D358" s="22" t="s">
        <v>476</v>
      </c>
      <c r="E358" s="22" t="s">
        <v>943</v>
      </c>
      <c r="F358" s="22" t="s">
        <v>1035</v>
      </c>
      <c r="G358" s="22"/>
      <c r="H358" s="31"/>
      <c r="I358" s="32"/>
    </row>
    <row r="359">
      <c r="A359" s="10" t="s">
        <v>5</v>
      </c>
      <c r="B359" s="11" t="s">
        <v>2972</v>
      </c>
      <c r="C359" s="9"/>
      <c r="D359" s="9"/>
      <c r="E359" s="9"/>
      <c r="F359" s="9"/>
      <c r="G359" s="9"/>
      <c r="H359" s="9"/>
      <c r="I359" s="14"/>
    </row>
    <row r="360" ht="60.0" customHeight="1">
      <c r="A360" s="15" t="s">
        <v>16</v>
      </c>
      <c r="B360" s="22" t="str">
        <f t="array" ref="B360">iferror(VLOOKUP(INDIRECT(ADDRESS(ROW()+1,COLUMN(), 4)),Dex!$A$2:$C671,3,false),"")</f>
        <v/>
      </c>
      <c r="C360" s="22" t="str">
        <f t="array" ref="C360">iferror(VLOOKUP(INDIRECT(ADDRESS(ROW()+1,COLUMN(), 4)),Dex!$A$2:$C671,3,false),"")</f>
        <v/>
      </c>
      <c r="D360" s="22" t="str">
        <f t="array" ref="D360">iferror(VLOOKUP(INDIRECT(ADDRESS(ROW()+1,COLUMN(), 4)),Dex!$A$2:$C671,3,false),"")</f>
        <v/>
      </c>
      <c r="E360" s="22" t="str">
        <f t="array" ref="E360">iferror(VLOOKUP(INDIRECT(ADDRESS(ROW()+1,COLUMN(), 4)),Dex!$A$2:$C671,3,false),"")</f>
        <v/>
      </c>
      <c r="F360" s="22" t="str">
        <f t="array" ref="F360">iferror(VLOOKUP(INDIRECT(ADDRESS(ROW()+1,COLUMN(), 4)),Dex!$A$2:$C671,3,false),"")</f>
        <v/>
      </c>
      <c r="G360" s="22" t="str">
        <f t="array" ref="G360">iferror(VLOOKUP(INDIRECT(ADDRESS(ROW()+1,COLUMN(), 4)),Dex!$A$2:$C671,3,false),"")</f>
        <v/>
      </c>
      <c r="H360" s="23" t="str">
        <f t="array" ref="H360">iferror(VLOOKUP("TRAINER_PIC_Magma_Grunt_F",Sprites!$A$1:$B671,2,false),"")</f>
        <v/>
      </c>
      <c r="I360" s="24"/>
    </row>
    <row r="361">
      <c r="A361" s="25"/>
      <c r="B361" s="26" t="s">
        <v>310</v>
      </c>
      <c r="C361" s="26" t="s">
        <v>2184</v>
      </c>
      <c r="D361" s="26" t="s">
        <v>993</v>
      </c>
      <c r="E361" s="26" t="s">
        <v>631</v>
      </c>
      <c r="F361" s="26" t="s">
        <v>1885</v>
      </c>
      <c r="G361" s="26"/>
      <c r="H361" s="27"/>
    </row>
    <row r="362">
      <c r="A362" s="10" t="s">
        <v>199</v>
      </c>
      <c r="B362" s="22">
        <v>81.0</v>
      </c>
      <c r="C362" s="22">
        <v>81.0</v>
      </c>
      <c r="D362" s="22">
        <v>81.0</v>
      </c>
      <c r="E362" s="22">
        <v>81.0</v>
      </c>
      <c r="F362" s="22">
        <v>82.0</v>
      </c>
      <c r="G362" s="22"/>
      <c r="H362" s="28"/>
    </row>
    <row r="363">
      <c r="A363" s="10" t="s">
        <v>201</v>
      </c>
      <c r="B363" s="29" t="s">
        <v>1122</v>
      </c>
      <c r="C363" s="29" t="s">
        <v>1455</v>
      </c>
      <c r="D363" s="29" t="s">
        <v>777</v>
      </c>
      <c r="E363" s="29" t="s">
        <v>408</v>
      </c>
      <c r="F363" s="29" t="s">
        <v>2974</v>
      </c>
      <c r="G363" s="29"/>
      <c r="H363" s="27"/>
    </row>
    <row r="364">
      <c r="A364" s="10" t="s">
        <v>209</v>
      </c>
      <c r="B364" s="22" t="s">
        <v>2497</v>
      </c>
      <c r="C364" s="22" t="s">
        <v>2527</v>
      </c>
      <c r="D364" s="22" t="s">
        <v>2355</v>
      </c>
      <c r="E364" s="22" t="s">
        <v>1641</v>
      </c>
      <c r="F364" s="22" t="s">
        <v>2497</v>
      </c>
      <c r="G364" s="22"/>
      <c r="H364" s="27"/>
    </row>
    <row r="365">
      <c r="A365" s="10" t="s">
        <v>215</v>
      </c>
      <c r="B365" s="29" t="s">
        <v>231</v>
      </c>
      <c r="C365" s="29" t="s">
        <v>220</v>
      </c>
      <c r="D365" s="29" t="s">
        <v>461</v>
      </c>
      <c r="E365" s="29" t="s">
        <v>419</v>
      </c>
      <c r="F365" s="29" t="s">
        <v>231</v>
      </c>
      <c r="G365" s="29"/>
      <c r="H365" s="27"/>
    </row>
    <row r="366">
      <c r="A366" s="15" t="s">
        <v>224</v>
      </c>
      <c r="B366" s="22" t="s">
        <v>2501</v>
      </c>
      <c r="C366" s="22" t="s">
        <v>1844</v>
      </c>
      <c r="D366" s="22" t="s">
        <v>1844</v>
      </c>
      <c r="E366" s="22" t="s">
        <v>1438</v>
      </c>
      <c r="F366" s="22" t="s">
        <v>2111</v>
      </c>
      <c r="G366" s="22"/>
      <c r="H366" s="27"/>
    </row>
    <row r="367">
      <c r="A367" s="30"/>
      <c r="B367" s="22"/>
      <c r="C367" s="22" t="s">
        <v>652</v>
      </c>
      <c r="D367" s="22" t="s">
        <v>2491</v>
      </c>
      <c r="E367" s="22" t="s">
        <v>1759</v>
      </c>
      <c r="F367" s="22" t="s">
        <v>796</v>
      </c>
      <c r="G367" s="22"/>
      <c r="H367" s="27"/>
    </row>
    <row r="368">
      <c r="A368" s="30"/>
      <c r="B368" s="22"/>
      <c r="C368" s="22" t="s">
        <v>951</v>
      </c>
      <c r="D368" s="22" t="s">
        <v>473</v>
      </c>
      <c r="E368" s="22" t="s">
        <v>2936</v>
      </c>
      <c r="F368" s="22" t="s">
        <v>1542</v>
      </c>
      <c r="G368" s="22"/>
      <c r="H368" s="27"/>
    </row>
    <row r="369">
      <c r="A369" s="25"/>
      <c r="B369" s="22"/>
      <c r="C369" s="22" t="s">
        <v>2529</v>
      </c>
      <c r="D369" s="22" t="s">
        <v>1538</v>
      </c>
      <c r="E369" s="22" t="s">
        <v>1541</v>
      </c>
      <c r="F369" s="22" t="s">
        <v>463</v>
      </c>
      <c r="G369" s="22"/>
      <c r="H369" s="31"/>
      <c r="I369" s="32"/>
    </row>
    <row r="370">
      <c r="A370" s="10" t="s">
        <v>5</v>
      </c>
      <c r="B370" s="11" t="s">
        <v>2983</v>
      </c>
      <c r="C370" s="9"/>
      <c r="D370" s="9"/>
      <c r="E370" s="9"/>
      <c r="F370" s="9"/>
      <c r="G370" s="9"/>
      <c r="H370" s="9"/>
      <c r="I370" s="14"/>
    </row>
    <row r="371" ht="60.0" customHeight="1">
      <c r="A371" s="15" t="s">
        <v>16</v>
      </c>
      <c r="B371" s="22" t="str">
        <f t="array" ref="B371">iferror(VLOOKUP(INDIRECT(ADDRESS(ROW()+1,COLUMN(), 4)),Dex!$A$2:$C671,3,false),"")</f>
        <v/>
      </c>
      <c r="C371" s="22" t="str">
        <f t="array" ref="C371">iferror(VLOOKUP(INDIRECT(ADDRESS(ROW()+1,COLUMN(), 4)),Dex!$A$2:$C671,3,false),"")</f>
        <v/>
      </c>
      <c r="D371" s="22" t="str">
        <f t="array" ref="D371">iferror(VLOOKUP(INDIRECT(ADDRESS(ROW()+1,COLUMN(), 4)),Dex!$A$2:$C671,3,false),"")</f>
        <v/>
      </c>
      <c r="E371" s="22" t="str">
        <f t="array" ref="E371">iferror(VLOOKUP(INDIRECT(ADDRESS(ROW()+1,COLUMN(), 4)),Dex!$A$2:$C671,3,false),"")</f>
        <v/>
      </c>
      <c r="F371" s="22" t="str">
        <f t="array" ref="F371">iferror(VLOOKUP(INDIRECT(ADDRESS(ROW()+1,COLUMN(), 4)),Dex!$A$2:$C671,3,false),"")</f>
        <v/>
      </c>
      <c r="G371" s="22" t="str">
        <f t="array" ref="G371">iferror(VLOOKUP(INDIRECT(ADDRESS(ROW()+1,COLUMN(), 4)),Dex!$A$2:$C671,3,false),"")</f>
        <v/>
      </c>
      <c r="H371" s="23" t="str">
        <f t="array" ref="H371">iferror(VLOOKUP("TRAINER_PIC_Magma_Grunt_M",Sprites!$A$1:$B671,2,false),"")</f>
        <v/>
      </c>
      <c r="I371" s="24"/>
    </row>
    <row r="372">
      <c r="A372" s="25"/>
      <c r="B372" s="26" t="s">
        <v>445</v>
      </c>
      <c r="C372" s="26" t="s">
        <v>997</v>
      </c>
      <c r="D372" s="26" t="s">
        <v>2084</v>
      </c>
      <c r="E372" s="26" t="s">
        <v>2118</v>
      </c>
      <c r="F372" s="26" t="s">
        <v>743</v>
      </c>
      <c r="G372" s="26"/>
      <c r="H372" s="27"/>
    </row>
    <row r="373">
      <c r="A373" s="10" t="s">
        <v>199</v>
      </c>
      <c r="B373" s="22">
        <v>81.0</v>
      </c>
      <c r="C373" s="22">
        <v>80.0</v>
      </c>
      <c r="D373" s="22">
        <v>81.0</v>
      </c>
      <c r="E373" s="22">
        <v>82.0</v>
      </c>
      <c r="F373" s="22">
        <v>83.0</v>
      </c>
      <c r="G373" s="22"/>
      <c r="H373" s="28"/>
    </row>
    <row r="374">
      <c r="A374" s="10" t="s">
        <v>201</v>
      </c>
      <c r="B374" s="29" t="s">
        <v>2623</v>
      </c>
      <c r="C374" s="29" t="s">
        <v>2099</v>
      </c>
      <c r="D374" s="29" t="s">
        <v>645</v>
      </c>
      <c r="E374" s="29" t="s">
        <v>2974</v>
      </c>
      <c r="F374" s="29" t="s">
        <v>2351</v>
      </c>
      <c r="G374" s="29"/>
      <c r="H374" s="27"/>
    </row>
    <row r="375">
      <c r="A375" s="10" t="s">
        <v>209</v>
      </c>
      <c r="B375" s="22" t="s">
        <v>1641</v>
      </c>
      <c r="C375" s="22" t="s">
        <v>2991</v>
      </c>
      <c r="D375" s="22" t="s">
        <v>2360</v>
      </c>
      <c r="E375" s="22" t="s">
        <v>2663</v>
      </c>
      <c r="F375" s="22" t="s">
        <v>2992</v>
      </c>
      <c r="G375" s="22"/>
      <c r="H375" s="27"/>
    </row>
    <row r="376">
      <c r="A376" s="10" t="s">
        <v>215</v>
      </c>
      <c r="B376" s="29" t="s">
        <v>231</v>
      </c>
      <c r="C376" s="29" t="s">
        <v>1346</v>
      </c>
      <c r="D376" s="29" t="s">
        <v>419</v>
      </c>
      <c r="E376" s="29" t="s">
        <v>231</v>
      </c>
      <c r="F376" s="29" t="s">
        <v>231</v>
      </c>
      <c r="G376" s="29"/>
      <c r="H376" s="27"/>
    </row>
    <row r="377">
      <c r="A377" s="15" t="s">
        <v>224</v>
      </c>
      <c r="B377" s="22" t="s">
        <v>1761</v>
      </c>
      <c r="C377" s="22" t="s">
        <v>2220</v>
      </c>
      <c r="D377" s="22" t="s">
        <v>805</v>
      </c>
      <c r="E377" s="22" t="s">
        <v>2993</v>
      </c>
      <c r="F377" s="22" t="s">
        <v>1941</v>
      </c>
      <c r="G377" s="22"/>
      <c r="H377" s="27"/>
    </row>
    <row r="378">
      <c r="A378" s="30"/>
      <c r="B378" s="22" t="s">
        <v>363</v>
      </c>
      <c r="C378" s="22" t="s">
        <v>366</v>
      </c>
      <c r="D378" s="22" t="s">
        <v>246</v>
      </c>
      <c r="E378" s="22" t="s">
        <v>799</v>
      </c>
      <c r="F378" s="22" t="s">
        <v>244</v>
      </c>
      <c r="G378" s="22"/>
      <c r="H378" s="27"/>
    </row>
    <row r="379">
      <c r="A379" s="30"/>
      <c r="B379" s="22" t="s">
        <v>1454</v>
      </c>
      <c r="C379" s="22" t="s">
        <v>2555</v>
      </c>
      <c r="D379" s="22" t="s">
        <v>2605</v>
      </c>
      <c r="E379" s="22" t="s">
        <v>2994</v>
      </c>
      <c r="F379" s="22" t="s">
        <v>796</v>
      </c>
      <c r="G379" s="22"/>
      <c r="H379" s="27"/>
    </row>
    <row r="380">
      <c r="A380" s="25"/>
      <c r="B380" s="22" t="s">
        <v>356</v>
      </c>
      <c r="C380" s="22" t="s">
        <v>254</v>
      </c>
      <c r="D380" s="22" t="s">
        <v>465</v>
      </c>
      <c r="E380" s="22" t="s">
        <v>477</v>
      </c>
      <c r="F380" s="22" t="s">
        <v>943</v>
      </c>
      <c r="G380" s="22"/>
      <c r="H380" s="31"/>
      <c r="I380" s="32"/>
    </row>
    <row r="381">
      <c r="A381" s="10" t="s">
        <v>5</v>
      </c>
      <c r="B381" s="11" t="s">
        <v>2998</v>
      </c>
      <c r="C381" s="9"/>
      <c r="D381" s="9"/>
      <c r="E381" s="9"/>
      <c r="F381" s="9"/>
      <c r="G381" s="9"/>
      <c r="H381" s="9"/>
      <c r="I381" s="14"/>
    </row>
    <row r="382" ht="60.0" customHeight="1">
      <c r="A382" s="15" t="s">
        <v>16</v>
      </c>
      <c r="B382" s="22" t="str">
        <f t="array" ref="B382">iferror(VLOOKUP(INDIRECT(ADDRESS(ROW()+1,COLUMN(), 4)),Dex!$A$2:$C671,3,false),"")</f>
        <v/>
      </c>
      <c r="C382" s="22" t="str">
        <f t="array" ref="C382">iferror(VLOOKUP(INDIRECT(ADDRESS(ROW()+1,COLUMN(), 4)),Dex!$A$2:$C671,3,false),"")</f>
        <v/>
      </c>
      <c r="D382" s="22" t="str">
        <f t="array" ref="D382">iferror(VLOOKUP(INDIRECT(ADDRESS(ROW()+1,COLUMN(), 4)),Dex!$A$2:$C671,3,false),"")</f>
        <v/>
      </c>
      <c r="E382" s="22" t="str">
        <f t="array" ref="E382">iferror(VLOOKUP(INDIRECT(ADDRESS(ROW()+1,COLUMN(), 4)),Dex!$A$2:$C671,3,false),"")</f>
        <v/>
      </c>
      <c r="F382" s="22" t="str">
        <f t="array" ref="F382">iferror(VLOOKUP(INDIRECT(ADDRESS(ROW()+1,COLUMN(), 4)),Dex!$A$2:$C671,3,false),"")</f>
        <v/>
      </c>
      <c r="G382" s="22" t="str">
        <f t="array" ref="G382">iferror(VLOOKUP(INDIRECT(ADDRESS(ROW()+1,COLUMN(), 4)),Dex!$A$2:$C671,3,false),"")</f>
        <v/>
      </c>
      <c r="H382" s="23" t="str">
        <f t="array" ref="H382">iferror(VLOOKUP("TRAINER_PIC_Magma_Grunt_M",Sprites!$A$1:$B671,2,false),"")</f>
        <v/>
      </c>
      <c r="I382" s="24"/>
    </row>
    <row r="383">
      <c r="A383" s="25"/>
      <c r="B383" s="26" t="s">
        <v>1079</v>
      </c>
      <c r="C383" s="26" t="s">
        <v>1160</v>
      </c>
      <c r="D383" s="26" t="s">
        <v>949</v>
      </c>
      <c r="E383" s="26" t="s">
        <v>1409</v>
      </c>
      <c r="F383" s="26" t="s">
        <v>1078</v>
      </c>
      <c r="G383" s="26" t="s">
        <v>1071</v>
      </c>
      <c r="H383" s="27"/>
    </row>
    <row r="384">
      <c r="A384" s="10" t="s">
        <v>199</v>
      </c>
      <c r="B384" s="22">
        <v>81.0</v>
      </c>
      <c r="C384" s="22">
        <v>81.0</v>
      </c>
      <c r="D384" s="22">
        <v>82.0</v>
      </c>
      <c r="E384" s="22">
        <v>82.0</v>
      </c>
      <c r="F384" s="22">
        <v>81.0</v>
      </c>
      <c r="G384" s="22">
        <v>81.0</v>
      </c>
      <c r="H384" s="28"/>
    </row>
    <row r="385">
      <c r="A385" s="10" t="s">
        <v>201</v>
      </c>
      <c r="B385" s="29" t="s">
        <v>2474</v>
      </c>
      <c r="C385" s="29" t="s">
        <v>1015</v>
      </c>
      <c r="D385" s="29" t="s">
        <v>2032</v>
      </c>
      <c r="E385" s="29" t="s">
        <v>1023</v>
      </c>
      <c r="F385" s="29" t="s">
        <v>1546</v>
      </c>
      <c r="G385" s="29" t="s">
        <v>2351</v>
      </c>
      <c r="H385" s="27"/>
    </row>
    <row r="386">
      <c r="A386" s="10" t="s">
        <v>209</v>
      </c>
      <c r="B386" s="22" t="s">
        <v>1060</v>
      </c>
      <c r="C386" s="22" t="s">
        <v>2438</v>
      </c>
      <c r="D386" s="22" t="s">
        <v>2369</v>
      </c>
      <c r="E386" s="22" t="s">
        <v>3006</v>
      </c>
      <c r="F386" s="22" t="s">
        <v>2445</v>
      </c>
      <c r="G386" s="22" t="s">
        <v>2377</v>
      </c>
      <c r="H386" s="27"/>
    </row>
    <row r="387">
      <c r="A387" s="10" t="s">
        <v>215</v>
      </c>
      <c r="B387" s="29" t="s">
        <v>419</v>
      </c>
      <c r="C387" s="29" t="s">
        <v>419</v>
      </c>
      <c r="D387" s="29" t="s">
        <v>1346</v>
      </c>
      <c r="E387" s="29" t="s">
        <v>220</v>
      </c>
      <c r="F387" s="29" t="s">
        <v>231</v>
      </c>
      <c r="G387" s="29" t="s">
        <v>231</v>
      </c>
      <c r="H387" s="27"/>
    </row>
    <row r="388">
      <c r="A388" s="15" t="s">
        <v>224</v>
      </c>
      <c r="B388" s="22" t="s">
        <v>3009</v>
      </c>
      <c r="C388" s="22" t="s">
        <v>3009</v>
      </c>
      <c r="D388" s="22" t="s">
        <v>1126</v>
      </c>
      <c r="E388" s="22" t="s">
        <v>3011</v>
      </c>
      <c r="F388" s="22" t="s">
        <v>3011</v>
      </c>
      <c r="G388" s="22" t="s">
        <v>1126</v>
      </c>
      <c r="H388" s="27"/>
    </row>
    <row r="389">
      <c r="A389" s="30"/>
      <c r="B389" s="22" t="s">
        <v>3009</v>
      </c>
      <c r="C389" s="22" t="s">
        <v>1891</v>
      </c>
      <c r="D389" s="22" t="s">
        <v>241</v>
      </c>
      <c r="E389" s="22" t="s">
        <v>1131</v>
      </c>
      <c r="F389" s="22" t="s">
        <v>700</v>
      </c>
      <c r="G389" s="22" t="s">
        <v>241</v>
      </c>
      <c r="H389" s="27"/>
    </row>
    <row r="390">
      <c r="A390" s="30"/>
      <c r="B390" s="22" t="s">
        <v>3009</v>
      </c>
      <c r="C390" s="22" t="s">
        <v>1541</v>
      </c>
      <c r="D390" s="22" t="s">
        <v>1352</v>
      </c>
      <c r="E390" s="22" t="s">
        <v>1043</v>
      </c>
      <c r="F390" s="22" t="s">
        <v>2514</v>
      </c>
      <c r="G390" s="22" t="s">
        <v>468</v>
      </c>
      <c r="H390" s="27"/>
    </row>
    <row r="391">
      <c r="A391" s="25"/>
      <c r="B391" s="22" t="s">
        <v>3009</v>
      </c>
      <c r="C391" s="22" t="s">
        <v>1043</v>
      </c>
      <c r="D391" s="22" t="s">
        <v>253</v>
      </c>
      <c r="E391" s="22" t="s">
        <v>2395</v>
      </c>
      <c r="F391" s="22" t="s">
        <v>1616</v>
      </c>
      <c r="G391" s="22" t="s">
        <v>700</v>
      </c>
      <c r="H391" s="31"/>
      <c r="I391" s="32"/>
    </row>
    <row r="392">
      <c r="A392" s="10" t="s">
        <v>5</v>
      </c>
      <c r="B392" s="11" t="s">
        <v>3013</v>
      </c>
      <c r="C392" s="9"/>
      <c r="D392" s="9"/>
      <c r="E392" s="9"/>
      <c r="F392" s="9"/>
      <c r="G392" s="9"/>
      <c r="H392" s="9"/>
      <c r="I392" s="13"/>
    </row>
    <row r="393" ht="60.0" customHeight="1">
      <c r="A393" s="15" t="s">
        <v>16</v>
      </c>
      <c r="B393" s="22" t="str">
        <f t="array" ref="B393">iferror(VLOOKUP(INDIRECT(ADDRESS(ROW()+1,COLUMN(), 4)),Dex!$A$2:$C671,3,false),"")</f>
        <v/>
      </c>
      <c r="C393" s="22" t="str">
        <f t="array" ref="C393">iferror(VLOOKUP(INDIRECT(ADDRESS(ROW()+1,COLUMN(), 4)),Dex!$A$2:$C671,3,false),"")</f>
        <v/>
      </c>
      <c r="D393" s="22" t="str">
        <f t="array" ref="D393">iferror(VLOOKUP(INDIRECT(ADDRESS(ROW()+1,COLUMN(), 4)),Dex!$A$2:$C671,3,false),"")</f>
        <v/>
      </c>
      <c r="E393" s="22" t="str">
        <f t="array" ref="E393">iferror(VLOOKUP(INDIRECT(ADDRESS(ROW()+1,COLUMN(), 4)),Dex!$A$2:$C671,3,false),"")</f>
        <v/>
      </c>
      <c r="F393" s="22" t="str">
        <f t="array" ref="F393">iferror(VLOOKUP(INDIRECT(ADDRESS(ROW()+1,COLUMN(), 4)),Dex!$A$2:$C671,3,false),"")</f>
        <v/>
      </c>
      <c r="G393" s="22" t="str">
        <f t="array" ref="G393">iferror(VLOOKUP(INDIRECT(ADDRESS(ROW()+1,COLUMN(), 4)),Dex!$A$2:$C671,3,false),"")</f>
        <v/>
      </c>
      <c r="H393" s="23" t="str">
        <f t="array" ref="H393">iferror(VLOOKUP("TRAINER_PIC_Magma_Grunt_M",Sprites!$A$1:$B671,2,false),"")</f>
        <v/>
      </c>
      <c r="I393" s="24"/>
    </row>
    <row r="394">
      <c r="A394" s="25"/>
      <c r="B394" s="26" t="s">
        <v>1011</v>
      </c>
      <c r="C394" s="26" t="s">
        <v>618</v>
      </c>
      <c r="D394" s="26" t="s">
        <v>1322</v>
      </c>
      <c r="E394" s="26" t="s">
        <v>1909</v>
      </c>
      <c r="F394" s="26" t="s">
        <v>1196</v>
      </c>
      <c r="G394" s="26"/>
      <c r="H394" s="27"/>
    </row>
    <row r="395">
      <c r="A395" s="10" t="s">
        <v>199</v>
      </c>
      <c r="B395" s="22">
        <v>81.0</v>
      </c>
      <c r="C395" s="22">
        <v>81.0</v>
      </c>
      <c r="D395" s="22">
        <v>81.0</v>
      </c>
      <c r="E395" s="22">
        <v>82.0</v>
      </c>
      <c r="F395" s="22">
        <v>82.0</v>
      </c>
      <c r="G395" s="22"/>
      <c r="H395" s="28"/>
    </row>
    <row r="396">
      <c r="A396" s="10" t="s">
        <v>201</v>
      </c>
      <c r="B396" s="29" t="s">
        <v>779</v>
      </c>
      <c r="C396" s="29" t="s">
        <v>2351</v>
      </c>
      <c r="D396" s="29" t="s">
        <v>645</v>
      </c>
      <c r="E396" s="29" t="s">
        <v>777</v>
      </c>
      <c r="F396" s="29" t="s">
        <v>2351</v>
      </c>
      <c r="G396" s="29"/>
      <c r="H396" s="27"/>
    </row>
    <row r="397">
      <c r="A397" s="10" t="s">
        <v>209</v>
      </c>
      <c r="B397" s="22" t="s">
        <v>1018</v>
      </c>
      <c r="C397" s="22" t="s">
        <v>1523</v>
      </c>
      <c r="D397" s="22" t="s">
        <v>1337</v>
      </c>
      <c r="E397" s="22" t="s">
        <v>1459</v>
      </c>
      <c r="F397" s="22" t="s">
        <v>2355</v>
      </c>
      <c r="G397" s="22"/>
      <c r="H397" s="27"/>
    </row>
    <row r="398">
      <c r="A398" s="10" t="s">
        <v>215</v>
      </c>
      <c r="B398" s="29" t="s">
        <v>419</v>
      </c>
      <c r="C398" s="29" t="s">
        <v>419</v>
      </c>
      <c r="D398" s="29" t="s">
        <v>904</v>
      </c>
      <c r="E398" s="29" t="s">
        <v>461</v>
      </c>
      <c r="F398" s="29" t="s">
        <v>231</v>
      </c>
      <c r="G398" s="29"/>
      <c r="H398" s="27"/>
    </row>
    <row r="399">
      <c r="A399" s="15" t="s">
        <v>224</v>
      </c>
      <c r="B399" s="22" t="s">
        <v>2332</v>
      </c>
      <c r="C399" s="22" t="s">
        <v>361</v>
      </c>
      <c r="D399" s="22" t="s">
        <v>2386</v>
      </c>
      <c r="E399" s="22" t="s">
        <v>2447</v>
      </c>
      <c r="F399" s="22" t="s">
        <v>1454</v>
      </c>
      <c r="G399" s="22"/>
      <c r="H399" s="27"/>
    </row>
    <row r="400">
      <c r="A400" s="30"/>
      <c r="B400" s="22" t="s">
        <v>2040</v>
      </c>
      <c r="C400" s="22" t="s">
        <v>2457</v>
      </c>
      <c r="D400" s="22" t="s">
        <v>2387</v>
      </c>
      <c r="E400" s="22" t="s">
        <v>795</v>
      </c>
      <c r="F400" s="22" t="s">
        <v>2583</v>
      </c>
      <c r="G400" s="22"/>
      <c r="H400" s="27"/>
    </row>
    <row r="401">
      <c r="A401" s="30"/>
      <c r="B401" s="22" t="s">
        <v>576</v>
      </c>
      <c r="C401" s="22" t="s">
        <v>2320</v>
      </c>
      <c r="D401" s="22" t="s">
        <v>565</v>
      </c>
      <c r="E401" s="22" t="s">
        <v>809</v>
      </c>
      <c r="F401" s="22" t="s">
        <v>1799</v>
      </c>
      <c r="G401" s="22"/>
      <c r="H401" s="27"/>
    </row>
    <row r="402">
      <c r="A402" s="25"/>
      <c r="B402" s="22" t="s">
        <v>3023</v>
      </c>
      <c r="C402" s="22" t="s">
        <v>2020</v>
      </c>
      <c r="D402" s="22" t="s">
        <v>372</v>
      </c>
      <c r="E402" s="22" t="s">
        <v>2803</v>
      </c>
      <c r="F402" s="22" t="s">
        <v>2109</v>
      </c>
      <c r="G402" s="22"/>
      <c r="H402" s="31"/>
      <c r="I402" s="32"/>
    </row>
    <row r="403">
      <c r="A403" s="10" t="s">
        <v>5</v>
      </c>
      <c r="B403" s="11" t="s">
        <v>3024</v>
      </c>
      <c r="C403" s="9"/>
      <c r="D403" s="9"/>
      <c r="E403" s="9"/>
      <c r="F403" s="9"/>
      <c r="G403" s="9"/>
      <c r="H403" s="9"/>
      <c r="I403" s="14"/>
    </row>
    <row r="404" ht="60.0" customHeight="1">
      <c r="A404" s="15" t="s">
        <v>16</v>
      </c>
      <c r="B404" s="22" t="str">
        <f t="array" ref="B404">iferror(VLOOKUP(INDIRECT(ADDRESS(ROW()+1,COLUMN(), 4)),Dex!$A$2:$C671,3,false),"")</f>
        <v/>
      </c>
      <c r="C404" s="22" t="str">
        <f t="array" ref="C404">iferror(VLOOKUP(INDIRECT(ADDRESS(ROW()+1,COLUMN(), 4)),Dex!$A$2:$C671,3,false),"")</f>
        <v/>
      </c>
      <c r="D404" s="22" t="str">
        <f t="array" ref="D404">iferror(VLOOKUP(INDIRECT(ADDRESS(ROW()+1,COLUMN(), 4)),Dex!$A$2:$C671,3,false),"")</f>
        <v/>
      </c>
      <c r="E404" s="22" t="str">
        <f t="array" ref="E404">iferror(VLOOKUP(INDIRECT(ADDRESS(ROW()+1,COLUMN(), 4)),Dex!$A$2:$C671,3,false),"")</f>
        <v/>
      </c>
      <c r="F404" s="22" t="str">
        <f t="array" ref="F404">iferror(VLOOKUP(INDIRECT(ADDRESS(ROW()+1,COLUMN(), 4)),Dex!$A$2:$C671,3,false),"")</f>
        <v/>
      </c>
      <c r="G404" s="22" t="str">
        <f t="array" ref="G404">iferror(VLOOKUP(INDIRECT(ADDRESS(ROW()+1,COLUMN(), 4)),Dex!$A$2:$C671,3,false),"")</f>
        <v/>
      </c>
      <c r="H404" s="23" t="str">
        <f t="array" ref="H404">iferror(VLOOKUP("TRAINER_PIC_Magma_Grunt_F",Sprites!$A$1:$B671,2,false),"")</f>
        <v/>
      </c>
      <c r="I404" s="24"/>
    </row>
    <row r="405">
      <c r="A405" s="25"/>
      <c r="B405" s="26" t="s">
        <v>660</v>
      </c>
      <c r="C405" s="26" t="s">
        <v>1961</v>
      </c>
      <c r="D405" s="26" t="s">
        <v>2091</v>
      </c>
      <c r="E405" s="26" t="s">
        <v>1398</v>
      </c>
      <c r="F405" s="26" t="s">
        <v>2010</v>
      </c>
      <c r="G405" s="26"/>
      <c r="H405" s="27"/>
    </row>
    <row r="406">
      <c r="A406" s="10" t="s">
        <v>199</v>
      </c>
      <c r="B406" s="22">
        <v>82.0</v>
      </c>
      <c r="C406" s="22" t="s">
        <v>3031</v>
      </c>
      <c r="D406" s="22">
        <v>81.0</v>
      </c>
      <c r="E406" s="22">
        <v>81.0</v>
      </c>
      <c r="F406" s="22">
        <v>81.0</v>
      </c>
      <c r="G406" s="22"/>
      <c r="H406" s="28"/>
    </row>
    <row r="407">
      <c r="A407" s="10" t="s">
        <v>201</v>
      </c>
      <c r="B407" s="29" t="s">
        <v>777</v>
      </c>
      <c r="C407" s="29" t="s">
        <v>1213</v>
      </c>
      <c r="D407" s="29" t="s">
        <v>777</v>
      </c>
      <c r="E407" s="29" t="s">
        <v>779</v>
      </c>
      <c r="F407" s="29" t="s">
        <v>2372</v>
      </c>
      <c r="G407" s="29"/>
      <c r="H407" s="27"/>
    </row>
    <row r="408">
      <c r="A408" s="10" t="s">
        <v>209</v>
      </c>
      <c r="B408" s="22" t="s">
        <v>219</v>
      </c>
      <c r="C408" s="22" t="s">
        <v>458</v>
      </c>
      <c r="D408" s="22" t="s">
        <v>2373</v>
      </c>
      <c r="E408" s="22" t="s">
        <v>1060</v>
      </c>
      <c r="F408" s="22" t="s">
        <v>1284</v>
      </c>
      <c r="G408" s="22"/>
      <c r="H408" s="27"/>
    </row>
    <row r="409">
      <c r="A409" s="10" t="s">
        <v>215</v>
      </c>
      <c r="B409" s="29" t="s">
        <v>220</v>
      </c>
      <c r="C409" s="29" t="s">
        <v>231</v>
      </c>
      <c r="D409" s="29" t="s">
        <v>222</v>
      </c>
      <c r="E409" s="29" t="s">
        <v>419</v>
      </c>
      <c r="F409" s="29" t="s">
        <v>231</v>
      </c>
      <c r="G409" s="29"/>
      <c r="H409" s="27"/>
    </row>
    <row r="410">
      <c r="A410" s="15" t="s">
        <v>224</v>
      </c>
      <c r="B410" s="22" t="s">
        <v>361</v>
      </c>
      <c r="C410" s="22" t="s">
        <v>2469</v>
      </c>
      <c r="D410" s="22" t="s">
        <v>2221</v>
      </c>
      <c r="E410" s="22" t="s">
        <v>246</v>
      </c>
      <c r="F410" s="22" t="s">
        <v>3033</v>
      </c>
      <c r="G410" s="22"/>
      <c r="H410" s="27"/>
    </row>
    <row r="411">
      <c r="A411" s="30"/>
      <c r="B411" s="22" t="s">
        <v>2549</v>
      </c>
      <c r="C411" s="22" t="s">
        <v>1065</v>
      </c>
      <c r="D411" s="22" t="s">
        <v>3034</v>
      </c>
      <c r="E411" s="22" t="s">
        <v>360</v>
      </c>
      <c r="F411" s="22" t="s">
        <v>1352</v>
      </c>
      <c r="G411" s="22"/>
      <c r="H411" s="27"/>
    </row>
    <row r="412">
      <c r="A412" s="30"/>
      <c r="B412" s="22" t="s">
        <v>431</v>
      </c>
      <c r="C412" s="22" t="s">
        <v>363</v>
      </c>
      <c r="D412" s="22" t="s">
        <v>360</v>
      </c>
      <c r="E412" s="22" t="s">
        <v>920</v>
      </c>
      <c r="F412" s="22" t="s">
        <v>468</v>
      </c>
      <c r="G412" s="22"/>
      <c r="H412" s="27"/>
    </row>
    <row r="413">
      <c r="A413" s="25"/>
      <c r="B413" s="22" t="s">
        <v>356</v>
      </c>
      <c r="C413" s="22" t="s">
        <v>254</v>
      </c>
      <c r="D413" s="22" t="s">
        <v>701</v>
      </c>
      <c r="E413" s="22" t="s">
        <v>371</v>
      </c>
      <c r="F413" s="22" t="s">
        <v>2221</v>
      </c>
      <c r="G413" s="22"/>
      <c r="H413" s="31"/>
      <c r="I413" s="32"/>
    </row>
    <row r="414">
      <c r="A414" s="10" t="s">
        <v>5</v>
      </c>
      <c r="B414" s="11" t="s">
        <v>3035</v>
      </c>
      <c r="C414" s="9"/>
      <c r="D414" s="9"/>
      <c r="E414" s="9"/>
      <c r="F414" s="9"/>
      <c r="G414" s="9"/>
      <c r="H414" s="9"/>
      <c r="I414" s="14"/>
    </row>
    <row r="415" ht="60.0" customHeight="1">
      <c r="A415" s="15" t="s">
        <v>16</v>
      </c>
      <c r="B415" s="22" t="str">
        <f t="array" ref="B415">iferror(VLOOKUP(INDIRECT(ADDRESS(ROW()+1,COLUMN(), 4)),Dex!$A$2:$C671,3,false),"")</f>
        <v/>
      </c>
      <c r="C415" s="22" t="str">
        <f t="array" ref="C415">iferror(VLOOKUP(INDIRECT(ADDRESS(ROW()+1,COLUMN(), 4)),Dex!$A$2:$C671,3,false),"")</f>
        <v/>
      </c>
      <c r="D415" s="22" t="str">
        <f t="array" ref="D415">iferror(VLOOKUP(INDIRECT(ADDRESS(ROW()+1,COLUMN(), 4)),Dex!$A$2:$C671,3,false),"")</f>
        <v/>
      </c>
      <c r="E415" s="22" t="str">
        <f t="array" ref="E415">iferror(VLOOKUP(INDIRECT(ADDRESS(ROW()+1,COLUMN(), 4)),Dex!$A$2:$C671,3,false),"")</f>
        <v/>
      </c>
      <c r="F415" s="22" t="str">
        <f t="array" ref="F415">iferror(VLOOKUP(INDIRECT(ADDRESS(ROW()+1,COLUMN(), 4)),Dex!$A$2:$C671,3,false),"")</f>
        <v/>
      </c>
      <c r="G415" s="22" t="str">
        <f t="array" ref="G415">iferror(VLOOKUP(INDIRECT(ADDRESS(ROW()+1,COLUMN(), 4)),Dex!$A$2:$C671,3,false),"")</f>
        <v/>
      </c>
      <c r="H415" s="23" t="str">
        <f t="array" ref="H415">iferror(VLOOKUP("TRAINER_PIC_Magma_Grunt_F",Sprites!$A$1:$B671,2,false),"")</f>
        <v/>
      </c>
      <c r="I415" s="24"/>
    </row>
    <row r="416">
      <c r="A416" s="25"/>
      <c r="B416" s="26" t="s">
        <v>423</v>
      </c>
      <c r="C416" s="26" t="s">
        <v>342</v>
      </c>
      <c r="D416" s="26" t="s">
        <v>512</v>
      </c>
      <c r="E416" s="26" t="s">
        <v>756</v>
      </c>
      <c r="F416" s="26" t="s">
        <v>1943</v>
      </c>
      <c r="G416" s="26" t="s">
        <v>1108</v>
      </c>
      <c r="H416" s="27"/>
    </row>
    <row r="417">
      <c r="A417" s="10" t="s">
        <v>199</v>
      </c>
      <c r="B417" s="22">
        <v>82.0</v>
      </c>
      <c r="C417" s="22">
        <v>82.0</v>
      </c>
      <c r="D417" s="22">
        <v>81.0</v>
      </c>
      <c r="E417" s="22">
        <v>81.0</v>
      </c>
      <c r="F417" s="22">
        <v>81.0</v>
      </c>
      <c r="G417" s="22">
        <v>82.0</v>
      </c>
      <c r="H417" s="28"/>
    </row>
    <row r="418">
      <c r="A418" s="10" t="s">
        <v>201</v>
      </c>
      <c r="B418" s="29" t="s">
        <v>779</v>
      </c>
      <c r="C418" s="29" t="s">
        <v>675</v>
      </c>
      <c r="D418" s="29" t="s">
        <v>777</v>
      </c>
      <c r="E418" s="29" t="s">
        <v>2351</v>
      </c>
      <c r="F418" s="29" t="s">
        <v>2351</v>
      </c>
      <c r="G418" s="29" t="s">
        <v>1546</v>
      </c>
      <c r="H418" s="27"/>
    </row>
    <row r="419">
      <c r="A419" s="10" t="s">
        <v>209</v>
      </c>
      <c r="B419" s="22" t="s">
        <v>219</v>
      </c>
      <c r="C419" s="22" t="s">
        <v>1283</v>
      </c>
      <c r="D419" s="22" t="s">
        <v>1339</v>
      </c>
      <c r="E419" s="22" t="s">
        <v>1283</v>
      </c>
      <c r="F419" s="22" t="s">
        <v>1339</v>
      </c>
      <c r="G419" s="22" t="s">
        <v>2354</v>
      </c>
      <c r="H419" s="27"/>
    </row>
    <row r="420">
      <c r="A420" s="10" t="s">
        <v>215</v>
      </c>
      <c r="B420" s="29" t="s">
        <v>231</v>
      </c>
      <c r="C420" s="29" t="s">
        <v>231</v>
      </c>
      <c r="D420" s="29" t="s">
        <v>220</v>
      </c>
      <c r="E420" s="29" t="s">
        <v>419</v>
      </c>
      <c r="F420" s="29" t="s">
        <v>419</v>
      </c>
      <c r="G420" s="29" t="s">
        <v>419</v>
      </c>
      <c r="H420" s="27"/>
    </row>
    <row r="421">
      <c r="A421" s="15" t="s">
        <v>224</v>
      </c>
      <c r="B421" s="22" t="s">
        <v>2583</v>
      </c>
      <c r="C421" s="22" t="s">
        <v>2327</v>
      </c>
      <c r="D421" s="22" t="s">
        <v>2470</v>
      </c>
      <c r="E421" s="22" t="s">
        <v>1891</v>
      </c>
      <c r="F421" s="22" t="s">
        <v>1848</v>
      </c>
      <c r="G421" s="22" t="s">
        <v>2457</v>
      </c>
      <c r="H421" s="27"/>
    </row>
    <row r="422">
      <c r="A422" s="30"/>
      <c r="B422" s="22" t="s">
        <v>2819</v>
      </c>
      <c r="C422" s="22" t="s">
        <v>3045</v>
      </c>
      <c r="D422" s="22" t="s">
        <v>477</v>
      </c>
      <c r="E422" s="22" t="s">
        <v>246</v>
      </c>
      <c r="F422" s="22" t="s">
        <v>477</v>
      </c>
      <c r="G422" s="22" t="s">
        <v>469</v>
      </c>
      <c r="H422" s="27"/>
    </row>
    <row r="423">
      <c r="A423" s="30"/>
      <c r="B423" s="22" t="s">
        <v>1460</v>
      </c>
      <c r="C423" s="22" t="s">
        <v>3046</v>
      </c>
      <c r="D423" s="22" t="s">
        <v>244</v>
      </c>
      <c r="E423" s="22" t="s">
        <v>2419</v>
      </c>
      <c r="F423" s="22" t="s">
        <v>473</v>
      </c>
      <c r="G423" s="22" t="s">
        <v>357</v>
      </c>
      <c r="H423" s="27"/>
    </row>
    <row r="424">
      <c r="A424" s="25"/>
      <c r="B424" s="22" t="s">
        <v>1848</v>
      </c>
      <c r="C424" s="22" t="s">
        <v>1799</v>
      </c>
      <c r="D424" s="22" t="s">
        <v>465</v>
      </c>
      <c r="E424" s="22" t="s">
        <v>588</v>
      </c>
      <c r="F424" s="22" t="s">
        <v>476</v>
      </c>
      <c r="G424" s="22" t="s">
        <v>1664</v>
      </c>
      <c r="H424" s="31"/>
      <c r="I424" s="32"/>
    </row>
    <row r="425">
      <c r="A425" s="10" t="s">
        <v>5</v>
      </c>
      <c r="B425" s="11" t="s">
        <v>3047</v>
      </c>
      <c r="C425" s="9"/>
      <c r="D425" s="9"/>
      <c r="E425" s="9"/>
      <c r="F425" s="9"/>
      <c r="G425" s="9"/>
      <c r="H425" s="9"/>
      <c r="I425" s="14"/>
    </row>
    <row r="426" ht="60.0" customHeight="1">
      <c r="A426" s="15" t="s">
        <v>16</v>
      </c>
      <c r="B426" s="22" t="str">
        <f t="array" ref="B426">iferror(VLOOKUP(INDIRECT(ADDRESS(ROW()+1,COLUMN(), 4)),Dex!$A$2:$C671,3,false),"")</f>
        <v/>
      </c>
      <c r="C426" s="22" t="str">
        <f t="array" ref="C426">iferror(VLOOKUP(INDIRECT(ADDRESS(ROW()+1,COLUMN(), 4)),Dex!$A$2:$C671,3,false),"")</f>
        <v/>
      </c>
      <c r="D426" s="22" t="str">
        <f t="array" ref="D426">iferror(VLOOKUP(INDIRECT(ADDRESS(ROW()+1,COLUMN(), 4)),Dex!$A$2:$C671,3,false),"")</f>
        <v/>
      </c>
      <c r="E426" s="22" t="str">
        <f t="array" ref="E426">iferror(VLOOKUP(INDIRECT(ADDRESS(ROW()+1,COLUMN(), 4)),Dex!$A$2:$C671,3,false),"")</f>
        <v/>
      </c>
      <c r="F426" s="22" t="str">
        <f t="array" ref="F426">iferror(VLOOKUP(INDIRECT(ADDRESS(ROW()+1,COLUMN(), 4)),Dex!$A$2:$C671,3,false),"")</f>
        <v/>
      </c>
      <c r="G426" s="22" t="str">
        <f t="array" ref="G426">iferror(VLOOKUP(INDIRECT(ADDRESS(ROW()+1,COLUMN(), 4)),Dex!$A$2:$C671,3,false),"")</f>
        <v/>
      </c>
      <c r="H426" s="23" t="str">
        <f t="array" ref="H426">iferror(VLOOKUP("TRAINER_PIC_Magma_Grunt_F",Sprites!$A$1:$B671,2,false),"")</f>
        <v/>
      </c>
      <c r="I426" s="24"/>
    </row>
    <row r="427">
      <c r="A427" s="25"/>
      <c r="B427" s="26" t="s">
        <v>1443</v>
      </c>
      <c r="C427" s="26" t="s">
        <v>401</v>
      </c>
      <c r="D427" s="26" t="s">
        <v>439</v>
      </c>
      <c r="E427" s="26" t="s">
        <v>297</v>
      </c>
      <c r="F427" s="26" t="s">
        <v>123</v>
      </c>
      <c r="G427" s="26" t="s">
        <v>1408</v>
      </c>
      <c r="H427" s="27"/>
    </row>
    <row r="428">
      <c r="A428" s="10" t="s">
        <v>199</v>
      </c>
      <c r="B428" s="22" t="s">
        <v>3058</v>
      </c>
      <c r="C428" s="22">
        <v>81.0</v>
      </c>
      <c r="D428" s="22" t="s">
        <v>3031</v>
      </c>
      <c r="E428" s="22">
        <v>82.0</v>
      </c>
      <c r="F428" s="22">
        <v>82.0</v>
      </c>
      <c r="G428" s="22">
        <v>82.0</v>
      </c>
      <c r="H428" s="28"/>
    </row>
    <row r="429">
      <c r="A429" s="10" t="s">
        <v>201</v>
      </c>
      <c r="B429" s="29" t="s">
        <v>1342</v>
      </c>
      <c r="C429" s="29" t="s">
        <v>2351</v>
      </c>
      <c r="D429" s="29" t="s">
        <v>2939</v>
      </c>
      <c r="E429" s="29" t="s">
        <v>2750</v>
      </c>
      <c r="F429" s="29" t="s">
        <v>2431</v>
      </c>
      <c r="G429" s="29" t="s">
        <v>206</v>
      </c>
      <c r="H429" s="27"/>
    </row>
    <row r="430">
      <c r="A430" s="10" t="s">
        <v>209</v>
      </c>
      <c r="B430" s="22" t="s">
        <v>1449</v>
      </c>
      <c r="C430" s="22" t="s">
        <v>413</v>
      </c>
      <c r="D430" s="22" t="s">
        <v>458</v>
      </c>
      <c r="E430" s="22" t="s">
        <v>2432</v>
      </c>
      <c r="F430" s="22" t="s">
        <v>683</v>
      </c>
      <c r="G430" s="22" t="s">
        <v>3059</v>
      </c>
      <c r="H430" s="27"/>
    </row>
    <row r="431">
      <c r="A431" s="10" t="s">
        <v>215</v>
      </c>
      <c r="B431" s="29" t="s">
        <v>419</v>
      </c>
      <c r="C431" s="29" t="s">
        <v>220</v>
      </c>
      <c r="D431" s="29" t="s">
        <v>220</v>
      </c>
      <c r="E431" s="29" t="s">
        <v>231</v>
      </c>
      <c r="F431" s="29" t="s">
        <v>419</v>
      </c>
      <c r="G431" s="29" t="s">
        <v>419</v>
      </c>
      <c r="H431" s="27"/>
    </row>
    <row r="432">
      <c r="A432" s="15" t="s">
        <v>224</v>
      </c>
      <c r="B432" s="22" t="s">
        <v>1040</v>
      </c>
      <c r="C432" s="22" t="s">
        <v>1799</v>
      </c>
      <c r="D432" s="22" t="s">
        <v>2962</v>
      </c>
      <c r="E432" s="22" t="s">
        <v>549</v>
      </c>
      <c r="F432" s="22" t="s">
        <v>2115</v>
      </c>
      <c r="G432" s="22" t="s">
        <v>3048</v>
      </c>
      <c r="H432" s="27"/>
    </row>
    <row r="433">
      <c r="A433" s="30"/>
      <c r="B433" s="22" t="s">
        <v>1037</v>
      </c>
      <c r="C433" s="22" t="s">
        <v>420</v>
      </c>
      <c r="D433" s="22" t="s">
        <v>254</v>
      </c>
      <c r="E433" s="22" t="s">
        <v>796</v>
      </c>
      <c r="F433" s="22" t="s">
        <v>236</v>
      </c>
      <c r="G433" s="22" t="s">
        <v>2578</v>
      </c>
      <c r="H433" s="27"/>
    </row>
    <row r="434">
      <c r="A434" s="30"/>
      <c r="B434" s="22" t="s">
        <v>246</v>
      </c>
      <c r="C434" s="22" t="s">
        <v>477</v>
      </c>
      <c r="D434" s="22" t="s">
        <v>1352</v>
      </c>
      <c r="E434" s="22" t="s">
        <v>799</v>
      </c>
      <c r="F434" s="22" t="s">
        <v>582</v>
      </c>
      <c r="G434" s="22" t="s">
        <v>2397</v>
      </c>
      <c r="H434" s="27"/>
    </row>
    <row r="435">
      <c r="A435" s="25"/>
      <c r="B435" s="22" t="s">
        <v>2557</v>
      </c>
      <c r="C435" s="22" t="s">
        <v>365</v>
      </c>
      <c r="D435" s="22" t="s">
        <v>1065</v>
      </c>
      <c r="E435" s="22" t="s">
        <v>567</v>
      </c>
      <c r="F435" s="22" t="s">
        <v>694</v>
      </c>
      <c r="G435" s="22" t="s">
        <v>1799</v>
      </c>
      <c r="H435" s="31"/>
      <c r="I435" s="32"/>
    </row>
    <row r="436">
      <c r="A436" s="10" t="s">
        <v>5</v>
      </c>
      <c r="B436" s="11" t="s">
        <v>3060</v>
      </c>
      <c r="C436" s="9"/>
      <c r="D436" s="9"/>
      <c r="E436" s="9"/>
      <c r="F436" s="9"/>
      <c r="G436" s="9"/>
      <c r="H436" s="9"/>
      <c r="I436" s="14"/>
    </row>
    <row r="437" ht="60.0" customHeight="1">
      <c r="A437" s="15" t="s">
        <v>16</v>
      </c>
      <c r="B437" s="22" t="str">
        <f t="array" ref="B437">iferror(VLOOKUP(INDIRECT(ADDRESS(ROW()+1,COLUMN(), 4)),Dex!$A$2:$C671,3,false),"")</f>
        <v/>
      </c>
      <c r="C437" s="22" t="str">
        <f t="array" ref="C437">iferror(VLOOKUP(INDIRECT(ADDRESS(ROW()+1,COLUMN(), 4)),Dex!$A$2:$C671,3,false),"")</f>
        <v/>
      </c>
      <c r="D437" s="22" t="str">
        <f t="array" ref="D437">iferror(VLOOKUP(INDIRECT(ADDRESS(ROW()+1,COLUMN(), 4)),Dex!$A$2:$C671,3,false),"")</f>
        <v/>
      </c>
      <c r="E437" s="22" t="str">
        <f t="array" ref="E437">iferror(VLOOKUP(INDIRECT(ADDRESS(ROW()+1,COLUMN(), 4)),Dex!$A$2:$C671,3,false),"")</f>
        <v/>
      </c>
      <c r="F437" s="22" t="str">
        <f t="array" ref="F437">iferror(VLOOKUP(INDIRECT(ADDRESS(ROW()+1,COLUMN(), 4)),Dex!$A$2:$C671,3,false),"")</f>
        <v/>
      </c>
      <c r="G437" s="22" t="str">
        <f t="array" ref="G437">iferror(VLOOKUP(INDIRECT(ADDRESS(ROW()+1,COLUMN(), 4)),Dex!$A$2:$C671,3,false),"")</f>
        <v/>
      </c>
      <c r="H437" s="23" t="str">
        <f t="array" ref="H437">iferror(VLOOKUP("TRAINER_PIC_Magma_Admin",Sprites!$A$1:$B671,2,false),"")</f>
        <v/>
      </c>
      <c r="I437" s="24"/>
    </row>
    <row r="438">
      <c r="A438" s="25"/>
      <c r="B438" s="26" t="s">
        <v>878</v>
      </c>
      <c r="C438" s="26" t="s">
        <v>609</v>
      </c>
      <c r="D438" s="26" t="s">
        <v>1857</v>
      </c>
      <c r="E438" s="26" t="s">
        <v>1529</v>
      </c>
      <c r="F438" s="26" t="s">
        <v>2054</v>
      </c>
      <c r="G438" s="26" t="s">
        <v>1920</v>
      </c>
      <c r="H438" s="27"/>
    </row>
    <row r="439">
      <c r="A439" s="10" t="s">
        <v>199</v>
      </c>
      <c r="B439" s="22" t="s">
        <v>3031</v>
      </c>
      <c r="C439" s="22">
        <v>82.0</v>
      </c>
      <c r="D439" s="22">
        <v>82.0</v>
      </c>
      <c r="E439" s="22">
        <v>82.0</v>
      </c>
      <c r="F439" s="22">
        <v>83.0</v>
      </c>
      <c r="G439" s="22">
        <v>83.0</v>
      </c>
      <c r="H439" s="28"/>
    </row>
    <row r="440">
      <c r="A440" s="10" t="s">
        <v>201</v>
      </c>
      <c r="B440" s="29" t="s">
        <v>3067</v>
      </c>
      <c r="C440" s="29" t="s">
        <v>645</v>
      </c>
      <c r="D440" s="29" t="s">
        <v>777</v>
      </c>
      <c r="E440" s="29" t="s">
        <v>455</v>
      </c>
      <c r="F440" s="29" t="s">
        <v>1213</v>
      </c>
      <c r="G440" s="29" t="s">
        <v>1745</v>
      </c>
      <c r="H440" s="27"/>
    </row>
    <row r="441">
      <c r="A441" s="10" t="s">
        <v>209</v>
      </c>
      <c r="B441" s="22" t="s">
        <v>413</v>
      </c>
      <c r="C441" s="22" t="s">
        <v>541</v>
      </c>
      <c r="D441" s="22" t="s">
        <v>1060</v>
      </c>
      <c r="E441" s="22" t="s">
        <v>2262</v>
      </c>
      <c r="F441" s="22" t="s">
        <v>2354</v>
      </c>
      <c r="G441" s="22" t="s">
        <v>2202</v>
      </c>
      <c r="H441" s="27"/>
    </row>
    <row r="442">
      <c r="A442" s="10" t="s">
        <v>215</v>
      </c>
      <c r="B442" s="29" t="s">
        <v>419</v>
      </c>
      <c r="C442" s="29" t="s">
        <v>231</v>
      </c>
      <c r="D442" s="29" t="s">
        <v>231</v>
      </c>
      <c r="E442" s="29" t="s">
        <v>231</v>
      </c>
      <c r="F442" s="29" t="s">
        <v>419</v>
      </c>
      <c r="G442" s="29" t="s">
        <v>542</v>
      </c>
      <c r="H442" s="27"/>
    </row>
    <row r="443">
      <c r="A443" s="15" t="s">
        <v>224</v>
      </c>
      <c r="B443" s="22" t="s">
        <v>2619</v>
      </c>
      <c r="C443" s="22" t="s">
        <v>549</v>
      </c>
      <c r="D443" s="22" t="s">
        <v>2357</v>
      </c>
      <c r="E443" s="22" t="s">
        <v>1460</v>
      </c>
      <c r="F443" s="22" t="s">
        <v>2852</v>
      </c>
      <c r="G443" s="22" t="s">
        <v>2319</v>
      </c>
      <c r="H443" s="27"/>
    </row>
    <row r="444">
      <c r="A444" s="30"/>
      <c r="B444" s="22" t="s">
        <v>2379</v>
      </c>
      <c r="C444" s="22" t="s">
        <v>3055</v>
      </c>
      <c r="D444" s="22" t="s">
        <v>1163</v>
      </c>
      <c r="E444" s="22" t="s">
        <v>2268</v>
      </c>
      <c r="F444" s="22" t="s">
        <v>3034</v>
      </c>
      <c r="G444" s="22" t="s">
        <v>565</v>
      </c>
      <c r="H444" s="27"/>
    </row>
    <row r="445">
      <c r="A445" s="30"/>
      <c r="B445" s="22" t="s">
        <v>2578</v>
      </c>
      <c r="C445" s="22" t="s">
        <v>1793</v>
      </c>
      <c r="D445" s="22" t="s">
        <v>1848</v>
      </c>
      <c r="E445" s="22" t="s">
        <v>795</v>
      </c>
      <c r="F445" s="22" t="s">
        <v>805</v>
      </c>
      <c r="G445" s="22" t="s">
        <v>431</v>
      </c>
      <c r="H445" s="27"/>
    </row>
    <row r="446">
      <c r="A446" s="25"/>
      <c r="B446" s="22" t="s">
        <v>701</v>
      </c>
      <c r="C446" s="22" t="s">
        <v>465</v>
      </c>
      <c r="D446" s="22" t="s">
        <v>924</v>
      </c>
      <c r="E446" s="22" t="s">
        <v>356</v>
      </c>
      <c r="F446" s="22" t="s">
        <v>2020</v>
      </c>
      <c r="G446" s="22" t="s">
        <v>2387</v>
      </c>
      <c r="H446" s="31"/>
      <c r="I446" s="32"/>
    </row>
    <row r="447">
      <c r="A447" s="10" t="s">
        <v>5</v>
      </c>
      <c r="B447" s="11" t="s">
        <v>3071</v>
      </c>
      <c r="C447" s="9"/>
      <c r="D447" s="9"/>
      <c r="E447" s="9"/>
      <c r="F447" s="9"/>
      <c r="G447" s="9"/>
      <c r="H447" s="9"/>
      <c r="I447" s="13"/>
    </row>
    <row r="448" ht="60.0" customHeight="1">
      <c r="A448" s="15" t="s">
        <v>16</v>
      </c>
      <c r="B448" s="22" t="str">
        <f t="array" ref="B448">iferror(VLOOKUP(INDIRECT(ADDRESS(ROW()+1,COLUMN(), 4)),Dex!$A$2:$C671,3,false),"")</f>
        <v/>
      </c>
      <c r="C448" s="22" t="str">
        <f t="array" ref="C448">iferror(VLOOKUP(INDIRECT(ADDRESS(ROW()+1,COLUMN(), 4)),Dex!$A$2:$C671,3,false),"")</f>
        <v/>
      </c>
      <c r="D448" s="22" t="str">
        <f t="array" ref="D448">iferror(VLOOKUP(INDIRECT(ADDRESS(ROW()+1,COLUMN(), 4)),Dex!$A$2:$C671,3,false),"")</f>
        <v/>
      </c>
      <c r="E448" s="22" t="str">
        <f t="array" ref="E448">iferror(VLOOKUP(INDIRECT(ADDRESS(ROW()+1,COLUMN(), 4)),Dex!$A$2:$C671,3,false),"")</f>
        <v/>
      </c>
      <c r="F448" s="22" t="str">
        <f t="array" ref="F448">iferror(VLOOKUP(INDIRECT(ADDRESS(ROW()+1,COLUMN(), 4)),Dex!$A$2:$C671,3,false),"")</f>
        <v/>
      </c>
      <c r="G448" s="22" t="str">
        <f t="array" ref="G448">iferror(VLOOKUP(INDIRECT(ADDRESS(ROW()+1,COLUMN(), 4)),Dex!$A$2:$C671,3,false),"")</f>
        <v/>
      </c>
      <c r="H448" s="23" t="str">
        <f t="array" ref="H448">iferror(VLOOKUP("TRAINER_PIC_Magma_Leader_Maxie",Sprites!$A$1:$B671,2,false),"")</f>
        <v/>
      </c>
      <c r="I448" s="24"/>
    </row>
    <row r="449">
      <c r="A449" s="25"/>
      <c r="B449" s="26" t="s">
        <v>887</v>
      </c>
      <c r="C449" s="26" t="s">
        <v>778</v>
      </c>
      <c r="D449" s="26" t="s">
        <v>2084</v>
      </c>
      <c r="E449" s="26" t="s">
        <v>2250</v>
      </c>
      <c r="F449" s="26" t="s">
        <v>3029</v>
      </c>
      <c r="G449" s="26" t="s">
        <v>83</v>
      </c>
      <c r="H449" s="27"/>
    </row>
    <row r="450">
      <c r="A450" s="10" t="s">
        <v>199</v>
      </c>
      <c r="B450" s="22">
        <v>95.0</v>
      </c>
      <c r="C450" s="22">
        <v>85.0</v>
      </c>
      <c r="D450" s="22">
        <v>82.0</v>
      </c>
      <c r="E450" s="22">
        <v>83.0</v>
      </c>
      <c r="F450" s="22">
        <v>82.0</v>
      </c>
      <c r="G450" s="22">
        <v>82.0</v>
      </c>
      <c r="H450" s="28"/>
    </row>
    <row r="451">
      <c r="A451" s="10" t="s">
        <v>201</v>
      </c>
      <c r="B451" s="29" t="s">
        <v>1054</v>
      </c>
      <c r="C451" s="29" t="s">
        <v>407</v>
      </c>
      <c r="D451" s="29" t="s">
        <v>408</v>
      </c>
      <c r="E451" s="29" t="s">
        <v>2090</v>
      </c>
      <c r="F451" s="29" t="s">
        <v>2939</v>
      </c>
      <c r="G451" s="29" t="s">
        <v>3068</v>
      </c>
      <c r="H451" s="27"/>
    </row>
    <row r="452">
      <c r="A452" s="10" t="s">
        <v>209</v>
      </c>
      <c r="B452" s="22" t="s">
        <v>2353</v>
      </c>
      <c r="C452" s="22" t="s">
        <v>2437</v>
      </c>
      <c r="D452" s="22" t="s">
        <v>1950</v>
      </c>
      <c r="E452" s="22" t="s">
        <v>2953</v>
      </c>
      <c r="F452" s="22" t="s">
        <v>2368</v>
      </c>
      <c r="G452" s="22" t="s">
        <v>3076</v>
      </c>
      <c r="H452" s="27"/>
    </row>
    <row r="453">
      <c r="A453" s="10" t="s">
        <v>215</v>
      </c>
      <c r="B453" s="29" t="s">
        <v>904</v>
      </c>
      <c r="C453" s="29" t="s">
        <v>685</v>
      </c>
      <c r="D453" s="29" t="s">
        <v>419</v>
      </c>
      <c r="E453" s="29" t="s">
        <v>231</v>
      </c>
      <c r="F453" s="29" t="s">
        <v>419</v>
      </c>
      <c r="G453" s="29" t="s">
        <v>419</v>
      </c>
      <c r="H453" s="27"/>
    </row>
    <row r="454">
      <c r="A454" s="15" t="s">
        <v>224</v>
      </c>
      <c r="B454" s="22" t="s">
        <v>2498</v>
      </c>
      <c r="C454" s="22" t="s">
        <v>361</v>
      </c>
      <c r="D454" s="22" t="s">
        <v>3048</v>
      </c>
      <c r="E454" s="22" t="s">
        <v>2955</v>
      </c>
      <c r="F454" s="22" t="s">
        <v>238</v>
      </c>
      <c r="G454" s="22" t="s">
        <v>2555</v>
      </c>
      <c r="H454" s="27"/>
    </row>
    <row r="455">
      <c r="A455" s="30"/>
      <c r="B455" s="22" t="s">
        <v>2608</v>
      </c>
      <c r="C455" s="22" t="s">
        <v>2457</v>
      </c>
      <c r="D455" s="22" t="s">
        <v>2705</v>
      </c>
      <c r="E455" s="22" t="s">
        <v>2327</v>
      </c>
      <c r="F455" s="22" t="s">
        <v>357</v>
      </c>
      <c r="G455" s="22" t="s">
        <v>2115</v>
      </c>
      <c r="H455" s="27"/>
    </row>
    <row r="456">
      <c r="A456" s="30"/>
      <c r="B456" s="22" t="s">
        <v>424</v>
      </c>
      <c r="C456" s="22" t="s">
        <v>357</v>
      </c>
      <c r="D456" s="22" t="s">
        <v>1036</v>
      </c>
      <c r="E456" s="22" t="s">
        <v>2513</v>
      </c>
      <c r="F456" s="22" t="s">
        <v>1955</v>
      </c>
      <c r="G456" s="22" t="s">
        <v>1958</v>
      </c>
      <c r="H456" s="27"/>
    </row>
    <row r="457">
      <c r="A457" s="25"/>
      <c r="B457" s="22" t="s">
        <v>1131</v>
      </c>
      <c r="C457" s="22" t="s">
        <v>1958</v>
      </c>
      <c r="D457" s="22" t="s">
        <v>357</v>
      </c>
      <c r="E457" s="22" t="s">
        <v>2387</v>
      </c>
      <c r="F457" s="22" t="s">
        <v>3080</v>
      </c>
      <c r="G457" s="22" t="s">
        <v>582</v>
      </c>
      <c r="H457" s="31"/>
      <c r="I457" s="32"/>
    </row>
    <row r="458">
      <c r="A458" s="8" t="s">
        <v>3081</v>
      </c>
      <c r="B458" s="9"/>
      <c r="C458" s="9"/>
      <c r="D458" s="9"/>
      <c r="E458" s="9"/>
      <c r="F458" s="9"/>
      <c r="G458" s="9"/>
      <c r="H458" s="9"/>
      <c r="I458" s="34"/>
    </row>
    <row r="459">
      <c r="A459" s="10" t="s">
        <v>5</v>
      </c>
      <c r="B459" s="11" t="s">
        <v>3082</v>
      </c>
      <c r="C459" s="9"/>
      <c r="D459" s="9"/>
      <c r="E459" s="9"/>
      <c r="F459" s="9"/>
      <c r="G459" s="9"/>
      <c r="H459" s="9"/>
      <c r="I459" s="14"/>
    </row>
    <row r="460" ht="60.0" customHeight="1">
      <c r="A460" s="15" t="s">
        <v>16</v>
      </c>
      <c r="B460" s="22" t="str">
        <f t="array" ref="B460">iferror(VLOOKUP(INDIRECT(ADDRESS(ROW()+1,COLUMN(), 4)),Dex!$A$2:$C671,3,false),"")</f>
        <v/>
      </c>
      <c r="C460" s="22" t="str">
        <f t="array" ref="C460">iferror(VLOOKUP(INDIRECT(ADDRESS(ROW()+1,COLUMN(), 4)),Dex!$A$2:$C671,3,false),"")</f>
        <v/>
      </c>
      <c r="D460" s="22" t="str">
        <f t="array" ref="D460">iferror(VLOOKUP(INDIRECT(ADDRESS(ROW()+1,COLUMN(), 4)),Dex!$A$2:$C671,3,false),"")</f>
        <v/>
      </c>
      <c r="E460" s="22" t="str">
        <f t="array" ref="E460">iferror(VLOOKUP(INDIRECT(ADDRESS(ROW()+1,COLUMN(), 4)),Dex!$A$2:$C671,3,false),"")</f>
        <v/>
      </c>
      <c r="F460" s="22" t="str">
        <f t="array" ref="F460">iferror(VLOOKUP(INDIRECT(ADDRESS(ROW()+1,COLUMN(), 4)),Dex!$A$2:$C671,3,false),"")</f>
        <v/>
      </c>
      <c r="G460" s="22" t="str">
        <f t="array" ref="G460">iferror(VLOOKUP(INDIRECT(ADDRESS(ROW()+1,COLUMN(), 4)),Dex!$A$2:$C671,3,false),"")</f>
        <v/>
      </c>
      <c r="H460" s="23" t="str">
        <f t="array" ref="H460">iferror(VLOOKUP("TRAINER_PIC_Aqua_Grunt_F",Sprites!$A$1:$B671,2,false),"")</f>
        <v/>
      </c>
      <c r="I460" s="24"/>
    </row>
    <row r="461">
      <c r="A461" s="25"/>
      <c r="B461" s="26" t="s">
        <v>285</v>
      </c>
      <c r="C461" s="26" t="s">
        <v>1316</v>
      </c>
      <c r="D461" s="26" t="s">
        <v>1860</v>
      </c>
      <c r="E461" s="26" t="s">
        <v>1572</v>
      </c>
      <c r="F461" s="26" t="s">
        <v>1743</v>
      </c>
      <c r="G461" s="26"/>
      <c r="H461" s="27"/>
    </row>
    <row r="462">
      <c r="A462" s="10" t="s">
        <v>199</v>
      </c>
      <c r="B462" s="22">
        <v>83.0</v>
      </c>
      <c r="C462" s="22">
        <v>83.0</v>
      </c>
      <c r="D462" s="22">
        <v>83.0</v>
      </c>
      <c r="E462" s="22">
        <v>83.0</v>
      </c>
      <c r="F462" s="22">
        <v>84.0</v>
      </c>
      <c r="G462" s="22"/>
      <c r="H462" s="28"/>
    </row>
    <row r="463">
      <c r="A463" s="10" t="s">
        <v>201</v>
      </c>
      <c r="B463" s="29" t="s">
        <v>2351</v>
      </c>
      <c r="C463" s="29" t="s">
        <v>777</v>
      </c>
      <c r="D463" s="29" t="s">
        <v>545</v>
      </c>
      <c r="E463" s="29" t="s">
        <v>645</v>
      </c>
      <c r="F463" s="29" t="s">
        <v>779</v>
      </c>
      <c r="G463" s="29"/>
      <c r="H463" s="27"/>
    </row>
    <row r="464">
      <c r="A464" s="10" t="s">
        <v>209</v>
      </c>
      <c r="B464" s="22" t="s">
        <v>1216</v>
      </c>
      <c r="C464" s="22" t="s">
        <v>901</v>
      </c>
      <c r="D464" s="22" t="s">
        <v>1866</v>
      </c>
      <c r="E464" s="22" t="s">
        <v>221</v>
      </c>
      <c r="F464" s="22" t="s">
        <v>2035</v>
      </c>
      <c r="G464" s="22"/>
      <c r="H464" s="27"/>
    </row>
    <row r="465">
      <c r="A465" s="10" t="s">
        <v>215</v>
      </c>
      <c r="B465" s="29" t="s">
        <v>419</v>
      </c>
      <c r="C465" s="29" t="s">
        <v>222</v>
      </c>
      <c r="D465" s="29" t="s">
        <v>419</v>
      </c>
      <c r="E465" s="29" t="s">
        <v>564</v>
      </c>
      <c r="F465" s="29" t="s">
        <v>419</v>
      </c>
      <c r="G465" s="29"/>
      <c r="H465" s="27"/>
    </row>
    <row r="466">
      <c r="A466" s="15" t="s">
        <v>224</v>
      </c>
      <c r="B466" s="22" t="s">
        <v>2937</v>
      </c>
      <c r="C466" s="22" t="s">
        <v>2703</v>
      </c>
      <c r="D466" s="22" t="s">
        <v>577</v>
      </c>
      <c r="E466" s="22" t="s">
        <v>424</v>
      </c>
      <c r="F466" s="22" t="s">
        <v>355</v>
      </c>
      <c r="G466" s="22"/>
      <c r="H466" s="27"/>
    </row>
    <row r="467">
      <c r="A467" s="30"/>
      <c r="B467" s="22" t="s">
        <v>940</v>
      </c>
      <c r="C467" s="22" t="s">
        <v>815</v>
      </c>
      <c r="D467" s="22" t="s">
        <v>357</v>
      </c>
      <c r="E467" s="22" t="s">
        <v>1761</v>
      </c>
      <c r="F467" s="22" t="s">
        <v>2320</v>
      </c>
      <c r="G467" s="22"/>
      <c r="H467" s="27"/>
    </row>
    <row r="468">
      <c r="A468" s="30"/>
      <c r="B468" s="22" t="s">
        <v>1655</v>
      </c>
      <c r="C468" s="22" t="s">
        <v>805</v>
      </c>
      <c r="D468" s="22" t="s">
        <v>234</v>
      </c>
      <c r="E468" s="22" t="s">
        <v>1250</v>
      </c>
      <c r="F468" s="22" t="s">
        <v>1934</v>
      </c>
      <c r="G468" s="22"/>
      <c r="H468" s="27"/>
    </row>
    <row r="469">
      <c r="A469" s="25"/>
      <c r="B469" s="22" t="s">
        <v>576</v>
      </c>
      <c r="C469" s="22" t="s">
        <v>2318</v>
      </c>
      <c r="D469" s="22" t="s">
        <v>1769</v>
      </c>
      <c r="E469" s="22" t="s">
        <v>467</v>
      </c>
      <c r="F469" s="22" t="s">
        <v>253</v>
      </c>
      <c r="G469" s="22"/>
      <c r="H469" s="31"/>
      <c r="I469" s="32"/>
    </row>
    <row r="470">
      <c r="A470" s="10" t="s">
        <v>5</v>
      </c>
      <c r="B470" s="11" t="s">
        <v>3084</v>
      </c>
      <c r="C470" s="9"/>
      <c r="D470" s="9"/>
      <c r="E470" s="9"/>
      <c r="F470" s="9"/>
      <c r="G470" s="9"/>
      <c r="H470" s="9"/>
      <c r="I470" s="14"/>
    </row>
    <row r="471" ht="60.0" customHeight="1">
      <c r="A471" s="15" t="s">
        <v>16</v>
      </c>
      <c r="B471" s="22" t="str">
        <f t="array" ref="B471">iferror(VLOOKUP(INDIRECT(ADDRESS(ROW()+1,COLUMN(), 4)),Dex!$A$2:$C671,3,false),"")</f>
        <v/>
      </c>
      <c r="C471" s="22" t="str">
        <f t="array" ref="C471">iferror(VLOOKUP(INDIRECT(ADDRESS(ROW()+1,COLUMN(), 4)),Dex!$A$2:$C671,3,false),"")</f>
        <v/>
      </c>
      <c r="D471" s="22" t="str">
        <f t="array" ref="D471">iferror(VLOOKUP(INDIRECT(ADDRESS(ROW()+1,COLUMN(), 4)),Dex!$A$2:$C671,3,false),"")</f>
        <v/>
      </c>
      <c r="E471" s="22" t="str">
        <f t="array" ref="E471">iferror(VLOOKUP(INDIRECT(ADDRESS(ROW()+1,COLUMN(), 4)),Dex!$A$2:$C671,3,false),"")</f>
        <v/>
      </c>
      <c r="F471" s="22" t="str">
        <f t="array" ref="F471">iferror(VLOOKUP(INDIRECT(ADDRESS(ROW()+1,COLUMN(), 4)),Dex!$A$2:$C671,3,false),"")</f>
        <v/>
      </c>
      <c r="G471" s="22" t="str">
        <f t="array" ref="G471">iferror(VLOOKUP(INDIRECT(ADDRESS(ROW()+1,COLUMN(), 4)),Dex!$A$2:$C671,3,false),"")</f>
        <v/>
      </c>
      <c r="H471" s="23" t="str">
        <f t="array" ref="H471">iferror(VLOOKUP("TRAINER_PIC_Aqua_Grunt_M",Sprites!$A$1:$B671,2,false),"")</f>
        <v/>
      </c>
      <c r="I471" s="24"/>
    </row>
    <row r="472">
      <c r="A472" s="25"/>
      <c r="B472" s="26" t="s">
        <v>410</v>
      </c>
      <c r="C472" s="26" t="s">
        <v>1020</v>
      </c>
      <c r="D472" s="26" t="s">
        <v>2080</v>
      </c>
      <c r="E472" s="26" t="s">
        <v>1570</v>
      </c>
      <c r="F472" s="26" t="s">
        <v>1062</v>
      </c>
      <c r="G472" s="26" t="s">
        <v>339</v>
      </c>
      <c r="H472" s="27"/>
    </row>
    <row r="473">
      <c r="A473" s="10" t="s">
        <v>199</v>
      </c>
      <c r="B473" s="22">
        <v>83.0</v>
      </c>
      <c r="C473" s="22">
        <v>84.0</v>
      </c>
      <c r="D473" s="22">
        <v>83.0</v>
      </c>
      <c r="E473" s="22">
        <v>84.0</v>
      </c>
      <c r="F473" s="22">
        <v>83.0</v>
      </c>
      <c r="G473" s="22">
        <v>83.0</v>
      </c>
      <c r="H473" s="28"/>
    </row>
    <row r="474">
      <c r="A474" s="10" t="s">
        <v>201</v>
      </c>
      <c r="B474" s="29" t="s">
        <v>779</v>
      </c>
      <c r="C474" s="29" t="s">
        <v>1928</v>
      </c>
      <c r="D474" s="29" t="s">
        <v>1332</v>
      </c>
      <c r="E474" s="29" t="s">
        <v>777</v>
      </c>
      <c r="F474" s="29" t="s">
        <v>2351</v>
      </c>
      <c r="G474" s="29" t="s">
        <v>2351</v>
      </c>
      <c r="H474" s="27"/>
    </row>
    <row r="475">
      <c r="A475" s="10" t="s">
        <v>209</v>
      </c>
      <c r="B475" s="22" t="s">
        <v>219</v>
      </c>
      <c r="C475" s="22" t="s">
        <v>1025</v>
      </c>
      <c r="D475" s="22" t="s">
        <v>2168</v>
      </c>
      <c r="E475" s="22" t="s">
        <v>1025</v>
      </c>
      <c r="F475" s="22" t="s">
        <v>351</v>
      </c>
      <c r="G475" s="22" t="s">
        <v>351</v>
      </c>
      <c r="H475" s="27"/>
    </row>
    <row r="476">
      <c r="A476" s="10" t="s">
        <v>215</v>
      </c>
      <c r="B476" s="29" t="s">
        <v>220</v>
      </c>
      <c r="C476" s="29" t="s">
        <v>231</v>
      </c>
      <c r="D476" s="29" t="s">
        <v>231</v>
      </c>
      <c r="E476" s="29" t="s">
        <v>542</v>
      </c>
      <c r="F476" s="29" t="s">
        <v>419</v>
      </c>
      <c r="G476" s="29" t="s">
        <v>222</v>
      </c>
      <c r="H476" s="27"/>
    </row>
    <row r="477">
      <c r="A477" s="15" t="s">
        <v>224</v>
      </c>
      <c r="B477" s="22" t="s">
        <v>2104</v>
      </c>
      <c r="C477" s="22" t="s">
        <v>2976</v>
      </c>
      <c r="D477" s="22" t="s">
        <v>2020</v>
      </c>
      <c r="E477" s="22" t="s">
        <v>795</v>
      </c>
      <c r="F477" s="22" t="s">
        <v>2937</v>
      </c>
      <c r="G477" s="22" t="s">
        <v>362</v>
      </c>
      <c r="H477" s="27"/>
    </row>
    <row r="478">
      <c r="A478" s="30"/>
      <c r="B478" s="22" t="s">
        <v>356</v>
      </c>
      <c r="C478" s="22" t="s">
        <v>3096</v>
      </c>
      <c r="D478" s="22" t="s">
        <v>363</v>
      </c>
      <c r="E478" s="22" t="s">
        <v>917</v>
      </c>
      <c r="F478" s="22" t="s">
        <v>1363</v>
      </c>
      <c r="G478" s="22" t="s">
        <v>465</v>
      </c>
      <c r="H478" s="27"/>
    </row>
    <row r="479">
      <c r="A479" s="30"/>
      <c r="B479" s="22" t="s">
        <v>477</v>
      </c>
      <c r="C479" s="22" t="s">
        <v>2682</v>
      </c>
      <c r="D479" s="22" t="s">
        <v>914</v>
      </c>
      <c r="E479" s="22" t="s">
        <v>1848</v>
      </c>
      <c r="F479" s="22" t="s">
        <v>2682</v>
      </c>
      <c r="G479" s="22" t="s">
        <v>940</v>
      </c>
      <c r="H479" s="27"/>
    </row>
    <row r="480">
      <c r="A480" s="25"/>
      <c r="B480" s="22" t="s">
        <v>951</v>
      </c>
      <c r="C480" s="22" t="s">
        <v>1169</v>
      </c>
      <c r="D480" s="22" t="s">
        <v>465</v>
      </c>
      <c r="E480" s="22" t="s">
        <v>927</v>
      </c>
      <c r="F480" s="22" t="s">
        <v>3097</v>
      </c>
      <c r="G480" s="22" t="s">
        <v>367</v>
      </c>
      <c r="H480" s="31"/>
      <c r="I480" s="32"/>
    </row>
    <row r="481">
      <c r="A481" s="10" t="s">
        <v>5</v>
      </c>
      <c r="B481" s="11" t="s">
        <v>3098</v>
      </c>
      <c r="C481" s="9"/>
      <c r="D481" s="9"/>
      <c r="E481" s="9"/>
      <c r="F481" s="9"/>
      <c r="G481" s="9"/>
      <c r="H481" s="9"/>
      <c r="I481" s="14"/>
    </row>
    <row r="482" ht="60.0" customHeight="1">
      <c r="A482" s="15" t="s">
        <v>16</v>
      </c>
      <c r="B482" s="22" t="str">
        <f t="array" ref="B482">iferror(VLOOKUP(INDIRECT(ADDRESS(ROW()+1,COLUMN(), 4)),Dex!$A$2:$C671,3,false),"")</f>
        <v/>
      </c>
      <c r="C482" s="22" t="str">
        <f t="array" ref="C482">iferror(VLOOKUP(INDIRECT(ADDRESS(ROW()+1,COLUMN(), 4)),Dex!$A$2:$C671,3,false),"")</f>
        <v/>
      </c>
      <c r="D482" s="22" t="str">
        <f t="array" ref="D482">iferror(VLOOKUP(INDIRECT(ADDRESS(ROW()+1,COLUMN(), 4)),Dex!$A$2:$C671,3,false),"")</f>
        <v/>
      </c>
      <c r="E482" s="22" t="str">
        <f t="array" ref="E482">iferror(VLOOKUP(INDIRECT(ADDRESS(ROW()+1,COLUMN(), 4)),Dex!$A$2:$C671,3,false),"")</f>
        <v/>
      </c>
      <c r="F482" s="22" t="str">
        <f t="array" ref="F482">iferror(VLOOKUP(INDIRECT(ADDRESS(ROW()+1,COLUMN(), 4)),Dex!$A$2:$C671,3,false),"")</f>
        <v/>
      </c>
      <c r="G482" s="22" t="str">
        <f t="array" ref="G482">iferror(VLOOKUP(INDIRECT(ADDRESS(ROW()+1,COLUMN(), 4)),Dex!$A$2:$C671,3,false),"")</f>
        <v/>
      </c>
      <c r="H482" s="23" t="str">
        <f t="array" ref="H482">iferror(VLOOKUP("TRAINER_PIC_Aqua_Grunt_M",Sprites!$A$1:$B671,2,false),"")</f>
        <v/>
      </c>
      <c r="I482" s="24"/>
    </row>
    <row r="483">
      <c r="A483" s="25"/>
      <c r="B483" s="26" t="s">
        <v>1080</v>
      </c>
      <c r="C483" s="26" t="s">
        <v>1842</v>
      </c>
      <c r="D483" s="26" t="s">
        <v>1102</v>
      </c>
      <c r="E483" s="26" t="s">
        <v>688</v>
      </c>
      <c r="F483" s="26" t="s">
        <v>1912</v>
      </c>
      <c r="G483" s="26" t="s">
        <v>305</v>
      </c>
      <c r="H483" s="27"/>
    </row>
    <row r="484">
      <c r="A484" s="10" t="s">
        <v>199</v>
      </c>
      <c r="B484" s="22">
        <v>84.0</v>
      </c>
      <c r="C484" s="22">
        <v>83.0</v>
      </c>
      <c r="D484" s="22">
        <v>84.0</v>
      </c>
      <c r="E484" s="22">
        <v>85.0</v>
      </c>
      <c r="F484" s="22">
        <v>84.0</v>
      </c>
      <c r="G484" s="22">
        <v>83.0</v>
      </c>
      <c r="H484" s="28"/>
    </row>
    <row r="485">
      <c r="A485" s="10" t="s">
        <v>201</v>
      </c>
      <c r="B485" s="29" t="s">
        <v>779</v>
      </c>
      <c r="C485" s="29" t="s">
        <v>2351</v>
      </c>
      <c r="D485" s="29" t="s">
        <v>2338</v>
      </c>
      <c r="E485" s="29" t="s">
        <v>3106</v>
      </c>
      <c r="F485" s="29" t="s">
        <v>451</v>
      </c>
      <c r="G485" s="29" t="s">
        <v>779</v>
      </c>
      <c r="H485" s="27"/>
    </row>
    <row r="486">
      <c r="A486" s="10" t="s">
        <v>209</v>
      </c>
      <c r="B486" s="22" t="s">
        <v>900</v>
      </c>
      <c r="C486" s="22" t="s">
        <v>2800</v>
      </c>
      <c r="D486" s="22" t="s">
        <v>413</v>
      </c>
      <c r="E486" s="22" t="s">
        <v>1152</v>
      </c>
      <c r="F486" s="22" t="s">
        <v>2637</v>
      </c>
      <c r="G486" s="22" t="s">
        <v>785</v>
      </c>
      <c r="H486" s="27"/>
    </row>
    <row r="487">
      <c r="A487" s="10" t="s">
        <v>215</v>
      </c>
      <c r="B487" s="29" t="s">
        <v>419</v>
      </c>
      <c r="C487" s="29" t="s">
        <v>419</v>
      </c>
      <c r="D487" s="29" t="s">
        <v>419</v>
      </c>
      <c r="E487" s="29" t="s">
        <v>220</v>
      </c>
      <c r="F487" s="29" t="s">
        <v>542</v>
      </c>
      <c r="G487" s="29" t="s">
        <v>461</v>
      </c>
      <c r="H487" s="27"/>
    </row>
    <row r="488">
      <c r="A488" s="15" t="s">
        <v>224</v>
      </c>
      <c r="B488" s="22" t="s">
        <v>1664</v>
      </c>
      <c r="C488" s="22" t="s">
        <v>584</v>
      </c>
      <c r="D488" s="22" t="s">
        <v>1545</v>
      </c>
      <c r="E488" s="22" t="s">
        <v>356</v>
      </c>
      <c r="F488" s="22" t="s">
        <v>2319</v>
      </c>
      <c r="G488" s="22" t="s">
        <v>226</v>
      </c>
      <c r="H488" s="27"/>
    </row>
    <row r="489">
      <c r="A489" s="30"/>
      <c r="B489" s="22" t="s">
        <v>1633</v>
      </c>
      <c r="C489" s="22" t="s">
        <v>232</v>
      </c>
      <c r="D489" s="22" t="s">
        <v>1442</v>
      </c>
      <c r="E489" s="22" t="s">
        <v>587</v>
      </c>
      <c r="F489" s="22" t="s">
        <v>565</v>
      </c>
      <c r="G489" s="22" t="s">
        <v>1941</v>
      </c>
      <c r="H489" s="27"/>
    </row>
    <row r="490">
      <c r="A490" s="30"/>
      <c r="B490" s="22" t="s">
        <v>1435</v>
      </c>
      <c r="C490" s="22" t="s">
        <v>1354</v>
      </c>
      <c r="D490" s="22" t="s">
        <v>1222</v>
      </c>
      <c r="E490" s="22" t="s">
        <v>700</v>
      </c>
      <c r="F490" s="22" t="s">
        <v>652</v>
      </c>
      <c r="G490" s="22" t="s">
        <v>421</v>
      </c>
      <c r="H490" s="27"/>
    </row>
    <row r="491">
      <c r="A491" s="25"/>
      <c r="B491" s="22" t="s">
        <v>1169</v>
      </c>
      <c r="C491" s="22" t="s">
        <v>1036</v>
      </c>
      <c r="D491" s="22" t="s">
        <v>701</v>
      </c>
      <c r="E491" s="22" t="s">
        <v>476</v>
      </c>
      <c r="F491" s="22" t="s">
        <v>424</v>
      </c>
      <c r="G491" s="22" t="s">
        <v>477</v>
      </c>
      <c r="H491" s="31"/>
      <c r="I491" s="32"/>
    </row>
    <row r="492">
      <c r="A492" s="10" t="s">
        <v>5</v>
      </c>
      <c r="B492" s="11" t="s">
        <v>3107</v>
      </c>
      <c r="C492" s="9"/>
      <c r="D492" s="9"/>
      <c r="E492" s="9"/>
      <c r="F492" s="9"/>
      <c r="G492" s="9"/>
      <c r="H492" s="9"/>
      <c r="I492" s="14"/>
    </row>
    <row r="493" ht="60.0" customHeight="1">
      <c r="A493" s="15" t="s">
        <v>16</v>
      </c>
      <c r="B493" s="22" t="str">
        <f t="array" ref="B493">iferror(VLOOKUP(INDIRECT(ADDRESS(ROW()+1,COLUMN(), 4)),Dex!$A$2:$C671,3,false),"")</f>
        <v/>
      </c>
      <c r="C493" s="22" t="str">
        <f t="array" ref="C493">iferror(VLOOKUP(INDIRECT(ADDRESS(ROW()+1,COLUMN(), 4)),Dex!$A$2:$C671,3,false),"")</f>
        <v/>
      </c>
      <c r="D493" s="22" t="str">
        <f t="array" ref="D493">iferror(VLOOKUP(INDIRECT(ADDRESS(ROW()+1,COLUMN(), 4)),Dex!$A$2:$C671,3,false),"")</f>
        <v/>
      </c>
      <c r="E493" s="22" t="str">
        <f t="array" ref="E493">iferror(VLOOKUP(INDIRECT(ADDRESS(ROW()+1,COLUMN(), 4)),Dex!$A$2:$C671,3,false),"")</f>
        <v/>
      </c>
      <c r="F493" s="22" t="str">
        <f t="array" ref="F493">iferror(VLOOKUP(INDIRECT(ADDRESS(ROW()+1,COLUMN(), 4)),Dex!$A$2:$C671,3,false),"")</f>
        <v/>
      </c>
      <c r="G493" s="22" t="str">
        <f t="array" ref="G493">iferror(VLOOKUP(INDIRECT(ADDRESS(ROW()+1,COLUMN(), 4)),Dex!$A$2:$C671,3,false),"")</f>
        <v/>
      </c>
      <c r="H493" s="23" t="str">
        <f t="array" ref="H493">iferror(VLOOKUP("TRAINER_PIC_Aqua_Grunt_M",Sprites!$A$1:$B671,2,false),"")</f>
        <v/>
      </c>
      <c r="I493" s="24"/>
    </row>
    <row r="494">
      <c r="A494" s="25"/>
      <c r="B494" s="26" t="s">
        <v>532</v>
      </c>
      <c r="C494" s="26" t="s">
        <v>1553</v>
      </c>
      <c r="D494" s="26" t="s">
        <v>90</v>
      </c>
      <c r="E494" s="26" t="s">
        <v>883</v>
      </c>
      <c r="F494" s="26" t="s">
        <v>1406</v>
      </c>
      <c r="G494" s="26"/>
      <c r="H494" s="27"/>
    </row>
    <row r="495">
      <c r="A495" s="10" t="s">
        <v>199</v>
      </c>
      <c r="B495" s="22">
        <v>83.0</v>
      </c>
      <c r="C495" s="22">
        <v>85.0</v>
      </c>
      <c r="D495" s="22">
        <v>84.0</v>
      </c>
      <c r="E495" s="22">
        <v>84.0</v>
      </c>
      <c r="F495" s="22">
        <v>85.0</v>
      </c>
      <c r="G495" s="22"/>
      <c r="H495" s="28"/>
    </row>
    <row r="496">
      <c r="A496" s="10" t="s">
        <v>201</v>
      </c>
      <c r="B496" s="29" t="s">
        <v>2408</v>
      </c>
      <c r="C496" s="29" t="s">
        <v>547</v>
      </c>
      <c r="D496" s="29" t="s">
        <v>1213</v>
      </c>
      <c r="E496" s="29" t="s">
        <v>779</v>
      </c>
      <c r="F496" s="29" t="s">
        <v>1242</v>
      </c>
      <c r="G496" s="29"/>
      <c r="H496" s="27"/>
    </row>
    <row r="497">
      <c r="A497" s="10" t="s">
        <v>209</v>
      </c>
      <c r="B497" s="22" t="s">
        <v>550</v>
      </c>
      <c r="C497" s="22" t="s">
        <v>1763</v>
      </c>
      <c r="D497" s="22" t="s">
        <v>217</v>
      </c>
      <c r="E497" s="22" t="s">
        <v>898</v>
      </c>
      <c r="F497" s="22" t="s">
        <v>1284</v>
      </c>
      <c r="G497" s="22"/>
      <c r="H497" s="27"/>
    </row>
    <row r="498">
      <c r="A498" s="10" t="s">
        <v>215</v>
      </c>
      <c r="B498" s="29" t="s">
        <v>685</v>
      </c>
      <c r="C498" s="29" t="s">
        <v>231</v>
      </c>
      <c r="D498" s="29" t="s">
        <v>419</v>
      </c>
      <c r="E498" s="29" t="s">
        <v>417</v>
      </c>
      <c r="F498" s="29" t="s">
        <v>419</v>
      </c>
      <c r="G498" s="29"/>
      <c r="H498" s="27"/>
    </row>
    <row r="499">
      <c r="A499" s="15" t="s">
        <v>224</v>
      </c>
      <c r="B499" s="22" t="s">
        <v>578</v>
      </c>
      <c r="C499" s="22" t="s">
        <v>2002</v>
      </c>
      <c r="D499" s="22" t="s">
        <v>935</v>
      </c>
      <c r="E499" s="22" t="s">
        <v>357</v>
      </c>
      <c r="F499" s="22" t="s">
        <v>2802</v>
      </c>
      <c r="G499" s="22"/>
      <c r="H499" s="27"/>
    </row>
    <row r="500">
      <c r="A500" s="30"/>
      <c r="B500" s="22" t="s">
        <v>814</v>
      </c>
      <c r="C500" s="22" t="s">
        <v>1069</v>
      </c>
      <c r="D500" s="22" t="s">
        <v>580</v>
      </c>
      <c r="E500" s="22" t="s">
        <v>815</v>
      </c>
      <c r="F500" s="22" t="s">
        <v>2815</v>
      </c>
      <c r="G500" s="22"/>
      <c r="H500" s="27"/>
    </row>
    <row r="501">
      <c r="A501" s="30"/>
      <c r="B501" s="22" t="s">
        <v>570</v>
      </c>
      <c r="C501" s="22" t="s">
        <v>943</v>
      </c>
      <c r="D501" s="22" t="s">
        <v>234</v>
      </c>
      <c r="E501" s="22" t="s">
        <v>580</v>
      </c>
      <c r="F501" s="22" t="s">
        <v>253</v>
      </c>
      <c r="G501" s="22"/>
      <c r="H501" s="27"/>
    </row>
    <row r="502">
      <c r="A502" s="25"/>
      <c r="B502" s="22" t="s">
        <v>2704</v>
      </c>
      <c r="C502" s="22" t="s">
        <v>1169</v>
      </c>
      <c r="D502" s="22" t="s">
        <v>2020</v>
      </c>
      <c r="E502" s="22" t="s">
        <v>1562</v>
      </c>
      <c r="F502" s="22" t="s">
        <v>694</v>
      </c>
      <c r="G502" s="22"/>
      <c r="H502" s="31"/>
      <c r="I502" s="32"/>
    </row>
    <row r="503">
      <c r="A503" s="10" t="s">
        <v>5</v>
      </c>
      <c r="B503" s="11" t="s">
        <v>3114</v>
      </c>
      <c r="C503" s="9"/>
      <c r="D503" s="9"/>
      <c r="E503" s="9"/>
      <c r="F503" s="9"/>
      <c r="G503" s="9"/>
      <c r="H503" s="9"/>
      <c r="I503" s="14"/>
    </row>
    <row r="504" ht="60.0" customHeight="1">
      <c r="A504" s="15" t="s">
        <v>16</v>
      </c>
      <c r="B504" s="22" t="str">
        <f t="array" ref="B504">iferror(VLOOKUP(INDIRECT(ADDRESS(ROW()+1,COLUMN(), 4)),Dex!$A$2:$C671,3,false),"")</f>
        <v/>
      </c>
      <c r="C504" s="22" t="str">
        <f t="array" ref="C504">iferror(VLOOKUP(INDIRECT(ADDRESS(ROW()+1,COLUMN(), 4)),Dex!$A$2:$C671,3,false),"")</f>
        <v/>
      </c>
      <c r="D504" s="22" t="str">
        <f t="array" ref="D504">iferror(VLOOKUP(INDIRECT(ADDRESS(ROW()+1,COLUMN(), 4)),Dex!$A$2:$C671,3,false),"")</f>
        <v/>
      </c>
      <c r="E504" s="22" t="str">
        <f t="array" ref="E504">iferror(VLOOKUP(INDIRECT(ADDRESS(ROW()+1,COLUMN(), 4)),Dex!$A$2:$C671,3,false),"")</f>
        <v/>
      </c>
      <c r="F504" s="22" t="str">
        <f t="array" ref="F504">iferror(VLOOKUP(INDIRECT(ADDRESS(ROW()+1,COLUMN(), 4)),Dex!$A$2:$C671,3,false),"")</f>
        <v/>
      </c>
      <c r="G504" s="22" t="str">
        <f t="array" ref="G504">iferror(VLOOKUP(INDIRECT(ADDRESS(ROW()+1,COLUMN(), 4)),Dex!$A$2:$C671,3,false),"")</f>
        <v/>
      </c>
      <c r="H504" s="23" t="str">
        <f t="array" ref="H504">iferror(VLOOKUP("TRAINER_PIC_Aqua_Grunt_F",Sprites!$A$1:$B671,2,false),"")</f>
        <v/>
      </c>
      <c r="I504" s="24"/>
    </row>
    <row r="505">
      <c r="A505" s="25"/>
      <c r="B505" s="26" t="s">
        <v>535</v>
      </c>
      <c r="C505" s="26" t="s">
        <v>1968</v>
      </c>
      <c r="D505" s="26" t="s">
        <v>1237</v>
      </c>
      <c r="E505" s="26" t="s">
        <v>891</v>
      </c>
      <c r="F505" s="26" t="s">
        <v>1403</v>
      </c>
      <c r="G505" s="26"/>
      <c r="H505" s="27"/>
    </row>
    <row r="506">
      <c r="A506" s="10" t="s">
        <v>199</v>
      </c>
      <c r="B506" s="22">
        <v>83.0</v>
      </c>
      <c r="C506" s="22">
        <v>85.0</v>
      </c>
      <c r="D506" s="22">
        <v>84.0</v>
      </c>
      <c r="E506" s="22">
        <v>84.0</v>
      </c>
      <c r="F506" s="22">
        <v>85.0</v>
      </c>
      <c r="G506" s="22"/>
      <c r="H506" s="28"/>
    </row>
    <row r="507">
      <c r="A507" s="10" t="s">
        <v>201</v>
      </c>
      <c r="B507" s="29" t="s">
        <v>2748</v>
      </c>
      <c r="C507" s="29" t="s">
        <v>206</v>
      </c>
      <c r="D507" s="29" t="s">
        <v>2351</v>
      </c>
      <c r="E507" s="29" t="s">
        <v>645</v>
      </c>
      <c r="F507" s="29" t="s">
        <v>779</v>
      </c>
      <c r="G507" s="29"/>
      <c r="H507" s="27"/>
    </row>
    <row r="508">
      <c r="A508" s="10" t="s">
        <v>209</v>
      </c>
      <c r="B508" s="22" t="s">
        <v>2101</v>
      </c>
      <c r="C508" s="22" t="s">
        <v>1152</v>
      </c>
      <c r="D508" s="22" t="s">
        <v>1244</v>
      </c>
      <c r="E508" s="22" t="s">
        <v>789</v>
      </c>
      <c r="F508" s="22" t="s">
        <v>912</v>
      </c>
      <c r="G508" s="22"/>
      <c r="H508" s="27"/>
    </row>
    <row r="509">
      <c r="A509" s="10" t="s">
        <v>215</v>
      </c>
      <c r="B509" s="29" t="s">
        <v>906</v>
      </c>
      <c r="C509" s="29" t="s">
        <v>231</v>
      </c>
      <c r="D509" s="29" t="s">
        <v>222</v>
      </c>
      <c r="E509" s="29" t="s">
        <v>904</v>
      </c>
      <c r="F509" s="29" t="s">
        <v>419</v>
      </c>
      <c r="G509" s="29"/>
      <c r="H509" s="27"/>
    </row>
    <row r="510">
      <c r="A510" s="15" t="s">
        <v>224</v>
      </c>
      <c r="B510" s="22" t="s">
        <v>2937</v>
      </c>
      <c r="C510" s="22" t="s">
        <v>2220</v>
      </c>
      <c r="D510" s="22" t="s">
        <v>926</v>
      </c>
      <c r="E510" s="22" t="s">
        <v>946</v>
      </c>
      <c r="F510" s="22" t="s">
        <v>2115</v>
      </c>
      <c r="G510" s="22"/>
      <c r="H510" s="27"/>
    </row>
    <row r="511">
      <c r="A511" s="30"/>
      <c r="B511" s="22" t="s">
        <v>1363</v>
      </c>
      <c r="C511" s="22" t="s">
        <v>431</v>
      </c>
      <c r="D511" s="22" t="s">
        <v>1955</v>
      </c>
      <c r="E511" s="22" t="s">
        <v>940</v>
      </c>
      <c r="F511" s="22" t="s">
        <v>1955</v>
      </c>
      <c r="G511" s="22"/>
      <c r="H511" s="27"/>
    </row>
    <row r="512">
      <c r="A512" s="30"/>
      <c r="B512" s="22" t="s">
        <v>357</v>
      </c>
      <c r="C512" s="22" t="s">
        <v>2819</v>
      </c>
      <c r="D512" s="22" t="s">
        <v>2318</v>
      </c>
      <c r="E512" s="22" t="s">
        <v>465</v>
      </c>
      <c r="F512" s="22" t="s">
        <v>236</v>
      </c>
      <c r="G512" s="22"/>
      <c r="H512" s="27"/>
    </row>
    <row r="513">
      <c r="A513" s="25"/>
      <c r="B513" s="22" t="s">
        <v>552</v>
      </c>
      <c r="C513" s="22" t="s">
        <v>549</v>
      </c>
      <c r="D513" s="22" t="s">
        <v>357</v>
      </c>
      <c r="E513" s="22" t="s">
        <v>1666</v>
      </c>
      <c r="F513" s="22" t="s">
        <v>1162</v>
      </c>
      <c r="G513" s="22"/>
      <c r="H513" s="31"/>
      <c r="I513" s="32"/>
    </row>
    <row r="514">
      <c r="A514" s="10" t="s">
        <v>5</v>
      </c>
      <c r="B514" s="11" t="s">
        <v>3124</v>
      </c>
      <c r="C514" s="9"/>
      <c r="D514" s="9"/>
      <c r="E514" s="9"/>
      <c r="F514" s="9"/>
      <c r="G514" s="9"/>
      <c r="H514" s="9"/>
      <c r="I514" s="13"/>
    </row>
    <row r="515" ht="60.0" customHeight="1">
      <c r="A515" s="15" t="s">
        <v>16</v>
      </c>
      <c r="B515" s="22" t="str">
        <f t="array" ref="B515">iferror(VLOOKUP(INDIRECT(ADDRESS(ROW()+1,COLUMN(), 4)),Dex!$A$2:$C671,3,false),"")</f>
        <v/>
      </c>
      <c r="C515" s="22" t="str">
        <f t="array" ref="C515">iferror(VLOOKUP(INDIRECT(ADDRESS(ROW()+1,COLUMN(), 4)),Dex!$A$2:$C671,3,false),"")</f>
        <v/>
      </c>
      <c r="D515" s="22" t="str">
        <f t="array" ref="D515">iferror(VLOOKUP(INDIRECT(ADDRESS(ROW()+1,COLUMN(), 4)),Dex!$A$2:$C671,3,false),"")</f>
        <v/>
      </c>
      <c r="E515" s="22" t="str">
        <f t="array" ref="E515">iferror(VLOOKUP(INDIRECT(ADDRESS(ROW()+1,COLUMN(), 4)),Dex!$A$2:$C671,3,false),"")</f>
        <v/>
      </c>
      <c r="F515" s="22" t="str">
        <f t="array" ref="F515">iferror(VLOOKUP(INDIRECT(ADDRESS(ROW()+1,COLUMN(), 4)),Dex!$A$2:$C671,3,false),"")</f>
        <v/>
      </c>
      <c r="G515" s="22" t="str">
        <f t="array" ref="G515">iferror(VLOOKUP(INDIRECT(ADDRESS(ROW()+1,COLUMN(), 4)),Dex!$A$2:$C671,3,false),"")</f>
        <v/>
      </c>
      <c r="H515" s="23" t="str">
        <f t="array" ref="H515">iferror(VLOOKUP("TRAINER_PIC_Aqua_Grunt_Steve",Sprites!$A$1:$B671,2,false),"")</f>
        <v/>
      </c>
      <c r="I515" s="24"/>
    </row>
    <row r="516">
      <c r="A516" s="25"/>
      <c r="B516" s="26" t="s">
        <v>660</v>
      </c>
      <c r="C516" s="26" t="s">
        <v>1911</v>
      </c>
      <c r="D516" s="26" t="s">
        <v>1660</v>
      </c>
      <c r="E516" s="26" t="s">
        <v>1204</v>
      </c>
      <c r="F516" s="26" t="s">
        <v>1010</v>
      </c>
      <c r="G516" s="26" t="s">
        <v>2149</v>
      </c>
      <c r="H516" s="27"/>
    </row>
    <row r="517">
      <c r="A517" s="10" t="s">
        <v>199</v>
      </c>
      <c r="B517" s="22">
        <v>86.0</v>
      </c>
      <c r="C517" s="22">
        <v>85.0</v>
      </c>
      <c r="D517" s="22">
        <v>84.0</v>
      </c>
      <c r="E517" s="22">
        <v>85.0</v>
      </c>
      <c r="F517" s="22">
        <v>85.0</v>
      </c>
      <c r="G517" s="22">
        <v>86.0</v>
      </c>
      <c r="H517" s="28"/>
    </row>
    <row r="518">
      <c r="A518" s="10" t="s">
        <v>201</v>
      </c>
      <c r="B518" s="29" t="s">
        <v>406</v>
      </c>
      <c r="C518" s="29" t="s">
        <v>890</v>
      </c>
      <c r="D518" s="29" t="s">
        <v>1521</v>
      </c>
      <c r="E518" s="29" t="s">
        <v>408</v>
      </c>
      <c r="F518" s="29" t="s">
        <v>3133</v>
      </c>
      <c r="G518" s="29" t="s">
        <v>677</v>
      </c>
      <c r="H518" s="27"/>
    </row>
    <row r="519">
      <c r="A519" s="10" t="s">
        <v>209</v>
      </c>
      <c r="B519" s="22" t="s">
        <v>219</v>
      </c>
      <c r="C519" s="22" t="s">
        <v>540</v>
      </c>
      <c r="D519" s="22" t="s">
        <v>2873</v>
      </c>
      <c r="E519" s="22" t="s">
        <v>2463</v>
      </c>
      <c r="F519" s="22" t="s">
        <v>2463</v>
      </c>
      <c r="G519" s="22" t="s">
        <v>540</v>
      </c>
      <c r="H519" s="27"/>
    </row>
    <row r="520">
      <c r="A520" s="10" t="s">
        <v>215</v>
      </c>
      <c r="B520" s="29" t="s">
        <v>231</v>
      </c>
      <c r="C520" s="29" t="s">
        <v>220</v>
      </c>
      <c r="D520" s="29" t="s">
        <v>220</v>
      </c>
      <c r="E520" s="29" t="s">
        <v>231</v>
      </c>
      <c r="F520" s="29" t="s">
        <v>231</v>
      </c>
      <c r="G520" s="29" t="s">
        <v>231</v>
      </c>
      <c r="H520" s="27"/>
    </row>
    <row r="521">
      <c r="A521" s="15" t="s">
        <v>224</v>
      </c>
      <c r="B521" s="22" t="s">
        <v>361</v>
      </c>
      <c r="C521" s="22" t="s">
        <v>1650</v>
      </c>
      <c r="D521" s="22" t="s">
        <v>565</v>
      </c>
      <c r="E521" s="22" t="s">
        <v>2469</v>
      </c>
      <c r="F521" s="22" t="s">
        <v>549</v>
      </c>
      <c r="G521" s="22" t="s">
        <v>2215</v>
      </c>
      <c r="H521" s="27"/>
    </row>
    <row r="522">
      <c r="A522" s="30"/>
      <c r="B522" s="22" t="s">
        <v>2549</v>
      </c>
      <c r="C522" s="22" t="s">
        <v>795</v>
      </c>
      <c r="D522" s="22" t="s">
        <v>567</v>
      </c>
      <c r="E522" s="22" t="s">
        <v>652</v>
      </c>
      <c r="F522" s="22" t="s">
        <v>2559</v>
      </c>
      <c r="G522" s="22" t="s">
        <v>799</v>
      </c>
      <c r="H522" s="27"/>
    </row>
    <row r="523">
      <c r="A523" s="30"/>
      <c r="B523" s="22" t="s">
        <v>431</v>
      </c>
      <c r="C523" s="22" t="s">
        <v>946</v>
      </c>
      <c r="D523" s="22" t="s">
        <v>2387</v>
      </c>
      <c r="E523" s="22" t="s">
        <v>555</v>
      </c>
      <c r="F523" s="22" t="s">
        <v>356</v>
      </c>
      <c r="G523" s="22" t="s">
        <v>793</v>
      </c>
      <c r="H523" s="27"/>
    </row>
    <row r="524">
      <c r="A524" s="25"/>
      <c r="B524" s="22" t="s">
        <v>1351</v>
      </c>
      <c r="C524" s="22" t="s">
        <v>1666</v>
      </c>
      <c r="D524" s="22" t="s">
        <v>1554</v>
      </c>
      <c r="E524" s="22" t="s">
        <v>2603</v>
      </c>
      <c r="F524" s="22" t="s">
        <v>809</v>
      </c>
      <c r="G524" s="22" t="s">
        <v>1541</v>
      </c>
      <c r="H524" s="31"/>
      <c r="I524" s="32"/>
    </row>
    <row r="525">
      <c r="A525" s="10" t="s">
        <v>5</v>
      </c>
      <c r="B525" s="11" t="s">
        <v>3135</v>
      </c>
      <c r="C525" s="9"/>
      <c r="D525" s="9"/>
      <c r="E525" s="9"/>
      <c r="F525" s="9"/>
      <c r="G525" s="9"/>
      <c r="H525" s="9"/>
      <c r="I525" s="13"/>
    </row>
    <row r="526" ht="60.0" customHeight="1">
      <c r="A526" s="15" t="s">
        <v>16</v>
      </c>
      <c r="B526" s="22" t="str">
        <f t="array" ref="B526">iferror(VLOOKUP(INDIRECT(ADDRESS(ROW()+1,COLUMN(), 4)),Dex!$A$2:$C671,3,false),"")</f>
        <v/>
      </c>
      <c r="C526" s="22" t="str">
        <f t="array" ref="C526">iferror(VLOOKUP(INDIRECT(ADDRESS(ROW()+1,COLUMN(), 4)),Dex!$A$2:$C671,3,false),"")</f>
        <v/>
      </c>
      <c r="D526" s="22" t="str">
        <f t="array" ref="D526">iferror(VLOOKUP(INDIRECT(ADDRESS(ROW()+1,COLUMN(), 4)),Dex!$A$2:$C671,3,false),"")</f>
        <v/>
      </c>
      <c r="E526" s="22" t="str">
        <f t="array" ref="E526">iferror(VLOOKUP(INDIRECT(ADDRESS(ROW()+1,COLUMN(), 4)),Dex!$A$2:$C671,3,false),"")</f>
        <v/>
      </c>
      <c r="F526" s="22" t="str">
        <f t="array" ref="F526">iferror(VLOOKUP(INDIRECT(ADDRESS(ROW()+1,COLUMN(), 4)),Dex!$A$2:$C671,3,false),"")</f>
        <v/>
      </c>
      <c r="G526" s="22" t="str">
        <f t="array" ref="G526">iferror(VLOOKUP(INDIRECT(ADDRESS(ROW()+1,COLUMN(), 4)),Dex!$A$2:$C671,3,false),"")</f>
        <v/>
      </c>
      <c r="H526" s="23" t="str">
        <f t="array" ref="H526">iferror(VLOOKUP("TRAINER_PIC_Aqua_Admin_M",Sprites!$A$1:$B671,2,false),"")</f>
        <v/>
      </c>
      <c r="I526" s="24"/>
    </row>
    <row r="527">
      <c r="A527" s="25"/>
      <c r="B527" s="26" t="s">
        <v>2284</v>
      </c>
      <c r="C527" s="26" t="s">
        <v>1106</v>
      </c>
      <c r="D527" s="26" t="s">
        <v>200</v>
      </c>
      <c r="E527" s="26" t="s">
        <v>1965</v>
      </c>
      <c r="F527" s="26" t="s">
        <v>1744</v>
      </c>
      <c r="G527" s="26" t="s">
        <v>425</v>
      </c>
      <c r="H527" s="27"/>
    </row>
    <row r="528">
      <c r="A528" s="10" t="s">
        <v>199</v>
      </c>
      <c r="B528" s="22">
        <v>86.0</v>
      </c>
      <c r="C528" s="22">
        <v>87.0</v>
      </c>
      <c r="D528" s="22">
        <v>85.0</v>
      </c>
      <c r="E528" s="22">
        <v>87.0</v>
      </c>
      <c r="F528" s="22">
        <v>85.0</v>
      </c>
      <c r="G528" s="22">
        <v>87.0</v>
      </c>
      <c r="H528" s="28"/>
    </row>
    <row r="529">
      <c r="A529" s="10" t="s">
        <v>201</v>
      </c>
      <c r="B529" s="29" t="s">
        <v>205</v>
      </c>
      <c r="C529" s="29" t="s">
        <v>3147</v>
      </c>
      <c r="D529" s="29" t="s">
        <v>2099</v>
      </c>
      <c r="E529" s="29" t="s">
        <v>409</v>
      </c>
      <c r="F529" s="29" t="s">
        <v>1334</v>
      </c>
      <c r="G529" s="29" t="s">
        <v>3137</v>
      </c>
      <c r="H529" s="27"/>
    </row>
    <row r="530">
      <c r="A530" s="10" t="s">
        <v>209</v>
      </c>
      <c r="B530" s="22" t="s">
        <v>538</v>
      </c>
      <c r="C530" s="22" t="s">
        <v>2377</v>
      </c>
      <c r="D530" s="22" t="s">
        <v>219</v>
      </c>
      <c r="E530" s="22" t="s">
        <v>1152</v>
      </c>
      <c r="F530" s="22" t="s">
        <v>1153</v>
      </c>
      <c r="G530" s="22" t="s">
        <v>2840</v>
      </c>
      <c r="H530" s="27"/>
    </row>
    <row r="531">
      <c r="A531" s="10" t="s">
        <v>215</v>
      </c>
      <c r="B531" s="29" t="s">
        <v>419</v>
      </c>
      <c r="C531" s="29" t="s">
        <v>419</v>
      </c>
      <c r="D531" s="29" t="s">
        <v>222</v>
      </c>
      <c r="E531" s="29" t="s">
        <v>231</v>
      </c>
      <c r="F531" s="29" t="s">
        <v>231</v>
      </c>
      <c r="G531" s="29" t="s">
        <v>231</v>
      </c>
      <c r="H531" s="27"/>
    </row>
    <row r="532">
      <c r="A532" s="15" t="s">
        <v>224</v>
      </c>
      <c r="B532" s="22" t="s">
        <v>3148</v>
      </c>
      <c r="C532" s="22" t="s">
        <v>3149</v>
      </c>
      <c r="D532" s="22" t="s">
        <v>2040</v>
      </c>
      <c r="E532" s="22" t="s">
        <v>2215</v>
      </c>
      <c r="F532" s="22" t="s">
        <v>1163</v>
      </c>
      <c r="G532" s="22" t="s">
        <v>1460</v>
      </c>
      <c r="H532" s="27"/>
    </row>
    <row r="533">
      <c r="A533" s="30"/>
      <c r="B533" s="22" t="s">
        <v>469</v>
      </c>
      <c r="C533" s="22" t="s">
        <v>584</v>
      </c>
      <c r="D533" s="22" t="s">
        <v>805</v>
      </c>
      <c r="E533" s="22" t="s">
        <v>1125</v>
      </c>
      <c r="F533" s="22" t="s">
        <v>463</v>
      </c>
      <c r="G533" s="22" t="s">
        <v>2819</v>
      </c>
      <c r="H533" s="27"/>
    </row>
    <row r="534">
      <c r="A534" s="30"/>
      <c r="B534" s="22" t="s">
        <v>2397</v>
      </c>
      <c r="C534" s="22" t="s">
        <v>953</v>
      </c>
      <c r="D534" s="22" t="s">
        <v>1955</v>
      </c>
      <c r="E534" s="22" t="s">
        <v>946</v>
      </c>
      <c r="F534" s="22" t="s">
        <v>476</v>
      </c>
      <c r="G534" s="22" t="s">
        <v>431</v>
      </c>
      <c r="H534" s="27"/>
    </row>
    <row r="535">
      <c r="A535" s="25"/>
      <c r="B535" s="22" t="s">
        <v>361</v>
      </c>
      <c r="C535" s="22" t="s">
        <v>424</v>
      </c>
      <c r="D535" s="22" t="s">
        <v>365</v>
      </c>
      <c r="E535" s="22" t="s">
        <v>473</v>
      </c>
      <c r="F535" s="22" t="s">
        <v>363</v>
      </c>
      <c r="G535" s="22" t="s">
        <v>1848</v>
      </c>
      <c r="H535" s="31"/>
      <c r="I535" s="32"/>
    </row>
    <row r="536">
      <c r="A536" s="8" t="s">
        <v>3150</v>
      </c>
      <c r="B536" s="9"/>
      <c r="C536" s="9"/>
      <c r="D536" s="9"/>
      <c r="E536" s="9"/>
      <c r="F536" s="9"/>
      <c r="G536" s="9"/>
      <c r="H536" s="9"/>
      <c r="I536" s="34"/>
    </row>
    <row r="537">
      <c r="A537" s="10" t="s">
        <v>5</v>
      </c>
      <c r="B537" s="11" t="s">
        <v>3151</v>
      </c>
      <c r="C537" s="9"/>
      <c r="D537" s="9"/>
      <c r="E537" s="9"/>
      <c r="F537" s="9"/>
      <c r="G537" s="9"/>
      <c r="H537" s="9"/>
      <c r="I537" s="14"/>
    </row>
    <row r="538" ht="60.0" customHeight="1">
      <c r="A538" s="15" t="s">
        <v>16</v>
      </c>
      <c r="B538" s="22" t="str">
        <f t="array" ref="B538">iferror(VLOOKUP(INDIRECT(ADDRESS(ROW()+1,COLUMN(), 4)),Dex!$A$2:$C671,3,false),"")</f>
        <v/>
      </c>
      <c r="C538" s="22" t="str">
        <f t="array" ref="C538">iferror(VLOOKUP(INDIRECT(ADDRESS(ROW()+1,COLUMN(), 4)),Dex!$A$2:$C671,3,false),"")</f>
        <v/>
      </c>
      <c r="D538" s="22" t="str">
        <f t="array" ref="D538">iferror(VLOOKUP(INDIRECT(ADDRESS(ROW()+1,COLUMN(), 4)),Dex!$A$2:$C671,3,false),"")</f>
        <v/>
      </c>
      <c r="E538" s="22" t="str">
        <f t="array" ref="E538">iferror(VLOOKUP(INDIRECT(ADDRESS(ROW()+1,COLUMN(), 4)),Dex!$A$2:$C671,3,false),"")</f>
        <v/>
      </c>
      <c r="F538" s="22" t="str">
        <f t="array" ref="F538">iferror(VLOOKUP(INDIRECT(ADDRESS(ROW()+1,COLUMN(), 4)),Dex!$A$2:$C671,3,false),"")</f>
        <v/>
      </c>
      <c r="G538" s="22" t="str">
        <f t="array" ref="G538">iferror(VLOOKUP(INDIRECT(ADDRESS(ROW()+1,COLUMN(), 4)),Dex!$A$2:$C671,3,false),"")</f>
        <v/>
      </c>
      <c r="H538" s="23" t="str">
        <f t="array" ref="H538">iferror(VLOOKUP("TRAINER_PIC_Swimmer_M",Sprites!$A$1:$B671,2,false),"")</f>
        <v/>
      </c>
      <c r="I538" s="24"/>
    </row>
    <row r="539">
      <c r="A539" s="25"/>
      <c r="B539" s="26" t="s">
        <v>188</v>
      </c>
      <c r="C539" s="26" t="s">
        <v>1967</v>
      </c>
      <c r="D539" s="26" t="s">
        <v>1083</v>
      </c>
      <c r="E539" s="26" t="s">
        <v>1910</v>
      </c>
      <c r="F539" s="26" t="s">
        <v>1621</v>
      </c>
      <c r="G539" s="26" t="s">
        <v>1414</v>
      </c>
      <c r="H539" s="27"/>
    </row>
    <row r="540">
      <c r="A540" s="10" t="s">
        <v>199</v>
      </c>
      <c r="B540" s="22">
        <v>85.0</v>
      </c>
      <c r="C540" s="22">
        <v>85.0</v>
      </c>
      <c r="D540" s="22">
        <v>86.0</v>
      </c>
      <c r="E540" s="22">
        <v>85.0</v>
      </c>
      <c r="F540" s="22">
        <v>85.0</v>
      </c>
      <c r="G540" s="22">
        <v>86.0</v>
      </c>
      <c r="H540" s="28"/>
    </row>
    <row r="541">
      <c r="A541" s="10" t="s">
        <v>201</v>
      </c>
      <c r="B541" s="29" t="s">
        <v>2520</v>
      </c>
      <c r="C541" s="29" t="s">
        <v>408</v>
      </c>
      <c r="D541" s="29" t="s">
        <v>1521</v>
      </c>
      <c r="E541" s="29" t="s">
        <v>406</v>
      </c>
      <c r="F541" s="29" t="s">
        <v>1342</v>
      </c>
      <c r="G541" s="29" t="s">
        <v>1928</v>
      </c>
      <c r="H541" s="27"/>
    </row>
    <row r="542">
      <c r="A542" s="10" t="s">
        <v>209</v>
      </c>
      <c r="B542" s="22" t="s">
        <v>2523</v>
      </c>
      <c r="C542" s="22" t="s">
        <v>2456</v>
      </c>
      <c r="D542" s="22" t="s">
        <v>1522</v>
      </c>
      <c r="E542" s="22" t="s">
        <v>1448</v>
      </c>
      <c r="F542" s="22" t="s">
        <v>1448</v>
      </c>
      <c r="G542" s="22" t="s">
        <v>3006</v>
      </c>
      <c r="H542" s="27"/>
    </row>
    <row r="543">
      <c r="A543" s="10" t="s">
        <v>215</v>
      </c>
      <c r="B543" s="29" t="s">
        <v>419</v>
      </c>
      <c r="C543" s="29" t="s">
        <v>231</v>
      </c>
      <c r="D543" s="29" t="s">
        <v>222</v>
      </c>
      <c r="E543" s="29" t="s">
        <v>218</v>
      </c>
      <c r="F543" s="29" t="s">
        <v>1346</v>
      </c>
      <c r="G543" s="29" t="s">
        <v>231</v>
      </c>
      <c r="H543" s="27"/>
    </row>
    <row r="544">
      <c r="A544" s="15" t="s">
        <v>224</v>
      </c>
      <c r="B544" s="22" t="s">
        <v>1363</v>
      </c>
      <c r="C544" s="22" t="s">
        <v>241</v>
      </c>
      <c r="D544" s="22" t="s">
        <v>1363</v>
      </c>
      <c r="E544" s="22" t="s">
        <v>2447</v>
      </c>
      <c r="F544" s="22" t="s">
        <v>1650</v>
      </c>
      <c r="G544" s="22" t="s">
        <v>2464</v>
      </c>
      <c r="H544" s="27"/>
    </row>
    <row r="545">
      <c r="A545" s="30"/>
      <c r="B545" s="22" t="s">
        <v>697</v>
      </c>
      <c r="C545" s="22" t="s">
        <v>1657</v>
      </c>
      <c r="D545" s="22" t="s">
        <v>1348</v>
      </c>
      <c r="E545" s="22" t="s">
        <v>1549</v>
      </c>
      <c r="F545" s="22" t="s">
        <v>1549</v>
      </c>
      <c r="G545" s="22" t="s">
        <v>1453</v>
      </c>
      <c r="H545" s="27"/>
    </row>
    <row r="546">
      <c r="A546" s="30"/>
      <c r="B546" s="22" t="s">
        <v>1348</v>
      </c>
      <c r="C546" s="22" t="s">
        <v>2220</v>
      </c>
      <c r="D546" s="22" t="s">
        <v>3090</v>
      </c>
      <c r="E546" s="22" t="s">
        <v>1363</v>
      </c>
      <c r="F546" s="22" t="s">
        <v>1348</v>
      </c>
      <c r="G546" s="22" t="s">
        <v>3011</v>
      </c>
      <c r="H546" s="27"/>
    </row>
    <row r="547">
      <c r="A547" s="25"/>
      <c r="B547" s="22" t="s">
        <v>1356</v>
      </c>
      <c r="C547" s="22" t="s">
        <v>2773</v>
      </c>
      <c r="D547" s="22" t="s">
        <v>589</v>
      </c>
      <c r="E547" s="22" t="s">
        <v>951</v>
      </c>
      <c r="F547" s="22" t="s">
        <v>1356</v>
      </c>
      <c r="G547" s="22" t="s">
        <v>3096</v>
      </c>
      <c r="H547" s="31"/>
      <c r="I547" s="32"/>
    </row>
    <row r="548">
      <c r="A548" s="10" t="s">
        <v>5</v>
      </c>
      <c r="B548" s="11" t="s">
        <v>3166</v>
      </c>
      <c r="C548" s="9"/>
      <c r="D548" s="9"/>
      <c r="E548" s="9"/>
      <c r="F548" s="9"/>
      <c r="G548" s="9"/>
      <c r="H548" s="9"/>
      <c r="I548" s="14"/>
    </row>
    <row r="549" ht="60.0" customHeight="1">
      <c r="A549" s="15" t="s">
        <v>16</v>
      </c>
      <c r="B549" s="22" t="str">
        <f t="array" ref="B549">iferror(VLOOKUP(INDIRECT(ADDRESS(ROW()+1,COLUMN(), 4)),Dex!$A$2:$C671,3,false),"")</f>
        <v/>
      </c>
      <c r="C549" s="22" t="str">
        <f t="array" ref="C549">iferror(VLOOKUP(INDIRECT(ADDRESS(ROW()+1,COLUMN(), 4)),Dex!$A$2:$C671,3,false),"")</f>
        <v/>
      </c>
      <c r="D549" s="22" t="str">
        <f t="array" ref="D549">iferror(VLOOKUP(INDIRECT(ADDRESS(ROW()+1,COLUMN(), 4)),Dex!$A$2:$C671,3,false),"")</f>
        <v/>
      </c>
      <c r="E549" s="22" t="str">
        <f t="array" ref="E549">iferror(VLOOKUP(INDIRECT(ADDRESS(ROW()+1,COLUMN(), 4)),Dex!$A$2:$C671,3,false),"")</f>
        <v/>
      </c>
      <c r="F549" s="22" t="str">
        <f t="array" ref="F549">iferror(VLOOKUP(INDIRECT(ADDRESS(ROW()+1,COLUMN(), 4)),Dex!$A$2:$C671,3,false),"")</f>
        <v/>
      </c>
      <c r="G549" s="22" t="str">
        <f t="array" ref="G549">iferror(VLOOKUP(INDIRECT(ADDRESS(ROW()+1,COLUMN(), 4)),Dex!$A$2:$C671,3,false),"")</f>
        <v/>
      </c>
      <c r="H549" s="23" t="str">
        <f t="array" ref="H549">iferror(VLOOKUP("TRAINER_PIC_Swimmer_M",Sprites!$A$1:$B671,2,false),"")</f>
        <v/>
      </c>
      <c r="I549" s="24"/>
    </row>
    <row r="550">
      <c r="A550" s="25"/>
      <c r="B550" s="26" t="s">
        <v>1566</v>
      </c>
      <c r="C550" s="26" t="s">
        <v>2282</v>
      </c>
      <c r="D550" s="26" t="s">
        <v>1981</v>
      </c>
      <c r="E550" s="26" t="s">
        <v>1389</v>
      </c>
      <c r="F550" s="26" t="s">
        <v>831</v>
      </c>
      <c r="G550" s="26" t="s">
        <v>1880</v>
      </c>
      <c r="H550" s="27"/>
    </row>
    <row r="551">
      <c r="A551" s="10" t="s">
        <v>199</v>
      </c>
      <c r="B551" s="22">
        <v>84.0</v>
      </c>
      <c r="C551" s="22">
        <v>86.0</v>
      </c>
      <c r="D551" s="22">
        <v>85.0</v>
      </c>
      <c r="E551" s="22">
        <v>84.0</v>
      </c>
      <c r="F551" s="22">
        <v>85.0</v>
      </c>
      <c r="G551" s="22" t="s">
        <v>3173</v>
      </c>
      <c r="H551" s="28"/>
    </row>
    <row r="552">
      <c r="A552" s="10" t="s">
        <v>201</v>
      </c>
      <c r="B552" s="29" t="s">
        <v>2032</v>
      </c>
      <c r="C552" s="29" t="s">
        <v>3175</v>
      </c>
      <c r="D552" s="29" t="s">
        <v>2410</v>
      </c>
      <c r="E552" s="29" t="s">
        <v>3176</v>
      </c>
      <c r="F552" s="29" t="s">
        <v>408</v>
      </c>
      <c r="G552" s="29" t="s">
        <v>3177</v>
      </c>
      <c r="H552" s="27"/>
    </row>
    <row r="553">
      <c r="A553" s="10" t="s">
        <v>209</v>
      </c>
      <c r="B553" s="22" t="s">
        <v>538</v>
      </c>
      <c r="C553" s="22" t="s">
        <v>538</v>
      </c>
      <c r="D553" s="22" t="s">
        <v>2369</v>
      </c>
      <c r="E553" s="22" t="s">
        <v>348</v>
      </c>
      <c r="F553" s="22" t="s">
        <v>2593</v>
      </c>
      <c r="G553" s="22" t="s">
        <v>2326</v>
      </c>
      <c r="H553" s="27"/>
    </row>
    <row r="554">
      <c r="A554" s="10" t="s">
        <v>215</v>
      </c>
      <c r="B554" s="29" t="s">
        <v>1343</v>
      </c>
      <c r="C554" s="29" t="s">
        <v>231</v>
      </c>
      <c r="D554" s="29" t="s">
        <v>685</v>
      </c>
      <c r="E554" s="29" t="s">
        <v>685</v>
      </c>
      <c r="F554" s="29" t="s">
        <v>461</v>
      </c>
      <c r="G554" s="29" t="s">
        <v>461</v>
      </c>
      <c r="H554" s="27"/>
    </row>
    <row r="555">
      <c r="A555" s="15" t="s">
        <v>224</v>
      </c>
      <c r="B555" s="22" t="s">
        <v>689</v>
      </c>
      <c r="C555" s="22" t="s">
        <v>2751</v>
      </c>
      <c r="D555" s="22" t="s">
        <v>2969</v>
      </c>
      <c r="E555" s="22" t="s">
        <v>2115</v>
      </c>
      <c r="F555" s="22" t="s">
        <v>914</v>
      </c>
      <c r="G555" s="22" t="s">
        <v>2500</v>
      </c>
      <c r="H555" s="27"/>
    </row>
    <row r="556">
      <c r="A556" s="30"/>
      <c r="B556" s="22" t="s">
        <v>361</v>
      </c>
      <c r="C556" s="22" t="s">
        <v>549</v>
      </c>
      <c r="D556" s="22" t="s">
        <v>815</v>
      </c>
      <c r="E556" s="22" t="s">
        <v>2863</v>
      </c>
      <c r="F556" s="22" t="s">
        <v>477</v>
      </c>
      <c r="G556" s="22" t="s">
        <v>1352</v>
      </c>
      <c r="H556" s="27"/>
    </row>
    <row r="557">
      <c r="A557" s="30"/>
      <c r="B557" s="22" t="s">
        <v>1661</v>
      </c>
      <c r="C557" s="22" t="s">
        <v>1848</v>
      </c>
      <c r="D557" s="22" t="s">
        <v>1551</v>
      </c>
      <c r="E557" s="22" t="s">
        <v>236</v>
      </c>
      <c r="F557" s="22" t="s">
        <v>555</v>
      </c>
      <c r="G557" s="22" t="s">
        <v>1029</v>
      </c>
      <c r="H557" s="27"/>
    </row>
    <row r="558">
      <c r="A558" s="25"/>
      <c r="B558" s="22" t="s">
        <v>565</v>
      </c>
      <c r="C558" s="22" t="s">
        <v>951</v>
      </c>
      <c r="D558" s="22" t="s">
        <v>1436</v>
      </c>
      <c r="E558" s="22" t="s">
        <v>689</v>
      </c>
      <c r="F558" s="22" t="s">
        <v>432</v>
      </c>
      <c r="G558" s="22" t="s">
        <v>2579</v>
      </c>
      <c r="H558" s="31"/>
      <c r="I558" s="32"/>
    </row>
    <row r="559">
      <c r="A559" s="8" t="s">
        <v>3180</v>
      </c>
      <c r="B559" s="9"/>
      <c r="C559" s="9"/>
      <c r="D559" s="9"/>
      <c r="E559" s="9"/>
      <c r="F559" s="9"/>
      <c r="G559" s="9"/>
      <c r="H559" s="9"/>
      <c r="I559" s="34"/>
    </row>
    <row r="560">
      <c r="A560" s="10" t="s">
        <v>5</v>
      </c>
      <c r="B560" s="11" t="s">
        <v>3181</v>
      </c>
      <c r="C560" s="9"/>
      <c r="D560" s="9"/>
      <c r="E560" s="9"/>
      <c r="F560" s="9"/>
      <c r="G560" s="9"/>
      <c r="H560" s="9"/>
      <c r="I560" s="13"/>
    </row>
    <row r="561" ht="60.0" customHeight="1">
      <c r="A561" s="15" t="s">
        <v>16</v>
      </c>
      <c r="B561" s="22" t="str">
        <f t="array" ref="B561">iferror(VLOOKUP(INDIRECT(ADDRESS(ROW()+1,COLUMN(), 4)),Dex!$A$2:$C671,3,false),"")</f>
        <v/>
      </c>
      <c r="C561" s="22" t="str">
        <f t="array" ref="C561">iferror(VLOOKUP(INDIRECT(ADDRESS(ROW()+1,COLUMN(), 4)),Dex!$A$2:$C671,3,false),"")</f>
        <v/>
      </c>
      <c r="D561" s="22" t="str">
        <f t="array" ref="D561">iferror(VLOOKUP(INDIRECT(ADDRESS(ROW()+1,COLUMN(), 4)),Dex!$A$2:$C671,3,false),"")</f>
        <v/>
      </c>
      <c r="E561" s="22" t="str">
        <f t="array" ref="E561">iferror(VLOOKUP(INDIRECT(ADDRESS(ROW()+1,COLUMN(), 4)),Dex!$A$2:$C671,3,false),"")</f>
        <v/>
      </c>
      <c r="F561" s="22" t="str">
        <f t="array" ref="F561">iferror(VLOOKUP(INDIRECT(ADDRESS(ROW()+1,COLUMN(), 4)),Dex!$A$2:$C671,3,false),"")</f>
        <v/>
      </c>
      <c r="G561" s="22" t="str">
        <f t="array" ref="G561">iferror(VLOOKUP(INDIRECT(ADDRESS(ROW()+1,COLUMN(), 4)),Dex!$A$2:$C671,3,false),"")</f>
        <v/>
      </c>
      <c r="H561" s="23" t="str">
        <f t="array" ref="H561">iferror(VLOOKUP("TRAINER_PIC_Expert_F",Sprites!$A$1:$B671,2,false),"")</f>
        <v/>
      </c>
      <c r="I561" s="24"/>
    </row>
    <row r="562">
      <c r="A562" s="25"/>
      <c r="B562" s="26" t="s">
        <v>1923</v>
      </c>
      <c r="C562" s="26" t="s">
        <v>3191</v>
      </c>
      <c r="D562" s="26" t="s">
        <v>2071</v>
      </c>
      <c r="E562" s="26" t="s">
        <v>1410</v>
      </c>
      <c r="F562" s="26" t="s">
        <v>2145</v>
      </c>
      <c r="G562" s="26" t="s">
        <v>1240</v>
      </c>
      <c r="H562" s="27"/>
    </row>
    <row r="563">
      <c r="A563" s="10" t="s">
        <v>199</v>
      </c>
      <c r="B563" s="22">
        <v>86.0</v>
      </c>
      <c r="C563" s="22">
        <v>86.0</v>
      </c>
      <c r="D563" s="22">
        <v>86.0</v>
      </c>
      <c r="E563" s="22">
        <v>86.0</v>
      </c>
      <c r="F563" s="22">
        <v>87.0</v>
      </c>
      <c r="G563" s="22">
        <v>88.0</v>
      </c>
      <c r="H563" s="28"/>
    </row>
    <row r="564">
      <c r="A564" s="10" t="s">
        <v>201</v>
      </c>
      <c r="B564" s="29" t="s">
        <v>2099</v>
      </c>
      <c r="C564" s="29" t="s">
        <v>537</v>
      </c>
      <c r="D564" s="29" t="s">
        <v>2090</v>
      </c>
      <c r="E564" s="29" t="s">
        <v>206</v>
      </c>
      <c r="F564" s="29" t="s">
        <v>3008</v>
      </c>
      <c r="G564" s="29" t="s">
        <v>645</v>
      </c>
      <c r="H564" s="27"/>
    </row>
    <row r="565">
      <c r="A565" s="10" t="s">
        <v>209</v>
      </c>
      <c r="B565" s="22" t="s">
        <v>1642</v>
      </c>
      <c r="C565" s="22" t="s">
        <v>2361</v>
      </c>
      <c r="D565" s="22" t="s">
        <v>2456</v>
      </c>
      <c r="E565" s="22" t="s">
        <v>352</v>
      </c>
      <c r="F565" s="22" t="s">
        <v>2316</v>
      </c>
      <c r="G565" s="22" t="s">
        <v>221</v>
      </c>
      <c r="H565" s="27"/>
    </row>
    <row r="566">
      <c r="A566" s="10" t="s">
        <v>215</v>
      </c>
      <c r="B566" s="29" t="s">
        <v>419</v>
      </c>
      <c r="C566" s="29" t="s">
        <v>419</v>
      </c>
      <c r="D566" s="29" t="s">
        <v>231</v>
      </c>
      <c r="E566" s="29" t="s">
        <v>218</v>
      </c>
      <c r="F566" s="29" t="s">
        <v>419</v>
      </c>
      <c r="G566" s="29" t="s">
        <v>564</v>
      </c>
      <c r="H566" s="27"/>
    </row>
    <row r="567">
      <c r="A567" s="15" t="s">
        <v>224</v>
      </c>
      <c r="B567" s="22" t="s">
        <v>3192</v>
      </c>
      <c r="C567" s="22" t="s">
        <v>814</v>
      </c>
      <c r="D567" s="22" t="s">
        <v>241</v>
      </c>
      <c r="E567" s="22" t="s">
        <v>357</v>
      </c>
      <c r="F567" s="22" t="s">
        <v>1664</v>
      </c>
      <c r="G567" s="22" t="s">
        <v>1031</v>
      </c>
      <c r="H567" s="27"/>
    </row>
    <row r="568">
      <c r="A568" s="30"/>
      <c r="B568" s="22" t="s">
        <v>2555</v>
      </c>
      <c r="C568" s="22" t="s">
        <v>1363</v>
      </c>
      <c r="D568" s="22" t="s">
        <v>1662</v>
      </c>
      <c r="E568" s="22" t="s">
        <v>555</v>
      </c>
      <c r="F568" s="22" t="s">
        <v>1030</v>
      </c>
      <c r="G568" s="22" t="s">
        <v>2328</v>
      </c>
      <c r="H568" s="27"/>
    </row>
    <row r="569">
      <c r="A569" s="30"/>
      <c r="B569" s="22" t="s">
        <v>576</v>
      </c>
      <c r="C569" s="22" t="s">
        <v>1348</v>
      </c>
      <c r="D569" s="22" t="s">
        <v>477</v>
      </c>
      <c r="E569" s="22" t="s">
        <v>431</v>
      </c>
      <c r="F569" s="22" t="s">
        <v>357</v>
      </c>
      <c r="G569" s="22" t="s">
        <v>467</v>
      </c>
      <c r="H569" s="27"/>
    </row>
    <row r="570">
      <c r="A570" s="25"/>
      <c r="B570" s="22" t="s">
        <v>3080</v>
      </c>
      <c r="C570" s="22" t="s">
        <v>258</v>
      </c>
      <c r="D570" s="22" t="s">
        <v>1227</v>
      </c>
      <c r="E570" s="22" t="s">
        <v>3080</v>
      </c>
      <c r="F570" s="22" t="s">
        <v>940</v>
      </c>
      <c r="G570" s="22" t="s">
        <v>2115</v>
      </c>
      <c r="H570" s="31"/>
      <c r="I570" s="32"/>
    </row>
    <row r="571">
      <c r="A571" s="8" t="s">
        <v>3193</v>
      </c>
      <c r="B571" s="9"/>
      <c r="C571" s="9"/>
      <c r="D571" s="9"/>
      <c r="E571" s="9"/>
      <c r="F571" s="9"/>
      <c r="G571" s="9"/>
      <c r="H571" s="9"/>
      <c r="I571" s="34"/>
    </row>
    <row r="572">
      <c r="A572" s="10" t="s">
        <v>5</v>
      </c>
      <c r="B572" s="11" t="s">
        <v>3194</v>
      </c>
      <c r="C572" s="9"/>
      <c r="D572" s="9"/>
      <c r="E572" s="9"/>
      <c r="F572" s="9"/>
      <c r="G572" s="9"/>
      <c r="H572" s="9"/>
      <c r="I572" s="13"/>
    </row>
    <row r="573" ht="60.0" customHeight="1">
      <c r="A573" s="15" t="s">
        <v>16</v>
      </c>
      <c r="B573" s="22" t="str">
        <f t="array" ref="B573">iferror(VLOOKUP(INDIRECT(ADDRESS(ROW()+1,COLUMN(), 4)),Dex!$A$2:$C671,3,false),"")</f>
        <v/>
      </c>
      <c r="C573" s="22" t="str">
        <f t="array" ref="C573">iferror(VLOOKUP(INDIRECT(ADDRESS(ROW()+1,COLUMN(), 4)),Dex!$A$2:$C671,3,false),"")</f>
        <v/>
      </c>
      <c r="D573" s="22" t="str">
        <f t="array" ref="D573">iferror(VLOOKUP(INDIRECT(ADDRESS(ROW()+1,COLUMN(), 4)),Dex!$A$2:$C671,3,false),"")</f>
        <v/>
      </c>
      <c r="E573" s="22" t="str">
        <f t="array" ref="E573">iferror(VLOOKUP(INDIRECT(ADDRESS(ROW()+1,COLUMN(), 4)),Dex!$A$2:$C671,3,false),"")</f>
        <v/>
      </c>
      <c r="F573" s="22" t="str">
        <f t="array" ref="F573">iferror(VLOOKUP(INDIRECT(ADDRESS(ROW()+1,COLUMN(), 4)),Dex!$A$2:$C671,3,false),"")</f>
        <v/>
      </c>
      <c r="G573" s="22" t="str">
        <f t="array" ref="G573">iferror(VLOOKUP(INDIRECT(ADDRESS(ROW()+1,COLUMN(), 4)),Dex!$A$2:$C671,3,false),"")</f>
        <v/>
      </c>
      <c r="H573" s="23" t="str">
        <f t="array" ref="H573">iferror(VLOOKUP("TRAINER_PIC_Leaf",Sprites!$A$1:$B671,2,false),"")</f>
        <v/>
      </c>
      <c r="I573" s="24"/>
    </row>
    <row r="574">
      <c r="A574" s="25"/>
      <c r="B574" s="26" t="s">
        <v>534</v>
      </c>
      <c r="C574" s="26" t="s">
        <v>986</v>
      </c>
      <c r="D574" s="26" t="s">
        <v>1701</v>
      </c>
      <c r="E574" s="26" t="s">
        <v>852</v>
      </c>
      <c r="F574" s="26" t="s">
        <v>1553</v>
      </c>
      <c r="G574" s="26" t="s">
        <v>583</v>
      </c>
      <c r="H574" s="27"/>
    </row>
    <row r="575">
      <c r="A575" s="10" t="s">
        <v>199</v>
      </c>
      <c r="B575" s="22">
        <v>84.0</v>
      </c>
      <c r="C575" s="22">
        <v>85.0</v>
      </c>
      <c r="D575" s="22">
        <v>86.0</v>
      </c>
      <c r="E575" s="22">
        <v>86.0</v>
      </c>
      <c r="F575" s="22">
        <v>86.0</v>
      </c>
      <c r="G575" s="22">
        <v>87.0</v>
      </c>
      <c r="H575" s="28"/>
    </row>
    <row r="576">
      <c r="A576" s="10" t="s">
        <v>201</v>
      </c>
      <c r="B576" s="29" t="s">
        <v>203</v>
      </c>
      <c r="C576" s="29" t="s">
        <v>1456</v>
      </c>
      <c r="D576" s="29" t="s">
        <v>3205</v>
      </c>
      <c r="E576" s="29" t="s">
        <v>3206</v>
      </c>
      <c r="F576" s="29" t="s">
        <v>3207</v>
      </c>
      <c r="G576" s="29" t="s">
        <v>408</v>
      </c>
      <c r="H576" s="27"/>
    </row>
    <row r="577">
      <c r="A577" s="10" t="s">
        <v>209</v>
      </c>
      <c r="B577" s="22" t="s">
        <v>556</v>
      </c>
      <c r="C577" s="22" t="s">
        <v>541</v>
      </c>
      <c r="D577" s="22" t="s">
        <v>2669</v>
      </c>
      <c r="E577" s="22" t="s">
        <v>681</v>
      </c>
      <c r="F577" s="22" t="s">
        <v>1763</v>
      </c>
      <c r="G577" s="22" t="s">
        <v>1840</v>
      </c>
      <c r="H577" s="27"/>
    </row>
    <row r="578">
      <c r="A578" s="10" t="s">
        <v>215</v>
      </c>
      <c r="B578" s="29" t="s">
        <v>222</v>
      </c>
      <c r="C578" s="29" t="s">
        <v>231</v>
      </c>
      <c r="D578" s="29" t="s">
        <v>231</v>
      </c>
      <c r="E578" s="29" t="s">
        <v>231</v>
      </c>
      <c r="F578" s="29" t="s">
        <v>220</v>
      </c>
      <c r="G578" s="29" t="s">
        <v>419</v>
      </c>
      <c r="H578" s="27"/>
    </row>
    <row r="579">
      <c r="A579" s="15" t="s">
        <v>224</v>
      </c>
      <c r="B579" s="22" t="s">
        <v>3163</v>
      </c>
      <c r="C579" s="22" t="s">
        <v>1036</v>
      </c>
      <c r="D579" s="22" t="s">
        <v>796</v>
      </c>
      <c r="E579" s="22" t="s">
        <v>934</v>
      </c>
      <c r="F579" s="22" t="s">
        <v>1069</v>
      </c>
      <c r="G579" s="22" t="s">
        <v>2793</v>
      </c>
      <c r="H579" s="27"/>
    </row>
    <row r="580">
      <c r="A580" s="30"/>
      <c r="B580" s="22" t="s">
        <v>585</v>
      </c>
      <c r="C580" s="22" t="s">
        <v>477</v>
      </c>
      <c r="D580" s="22" t="s">
        <v>1844</v>
      </c>
      <c r="E580" s="22" t="s">
        <v>1788</v>
      </c>
      <c r="F580" s="22" t="s">
        <v>1352</v>
      </c>
      <c r="G580" s="22" t="s">
        <v>229</v>
      </c>
      <c r="H580" s="27"/>
    </row>
    <row r="581">
      <c r="A581" s="30"/>
      <c r="B581" s="22" t="s">
        <v>580</v>
      </c>
      <c r="C581" s="22" t="s">
        <v>3208</v>
      </c>
      <c r="D581" s="22" t="s">
        <v>1666</v>
      </c>
      <c r="E581" s="22" t="s">
        <v>799</v>
      </c>
      <c r="F581" s="22" t="s">
        <v>796</v>
      </c>
      <c r="G581" s="22" t="s">
        <v>1458</v>
      </c>
      <c r="H581" s="27"/>
    </row>
    <row r="582">
      <c r="A582" s="25"/>
      <c r="B582" s="22" t="s">
        <v>589</v>
      </c>
      <c r="C582" s="22" t="s">
        <v>1169</v>
      </c>
      <c r="D582" s="22" t="s">
        <v>1227</v>
      </c>
      <c r="E582" s="22" t="s">
        <v>1844</v>
      </c>
      <c r="F582" s="22" t="s">
        <v>549</v>
      </c>
      <c r="G582" s="22" t="s">
        <v>701</v>
      </c>
      <c r="H582" s="31"/>
      <c r="I582" s="32"/>
    </row>
    <row r="583">
      <c r="A583" s="8" t="s">
        <v>3209</v>
      </c>
      <c r="B583" s="9"/>
      <c r="C583" s="9"/>
      <c r="D583" s="9"/>
      <c r="E583" s="9"/>
      <c r="F583" s="9"/>
      <c r="G583" s="9"/>
      <c r="H583" s="9"/>
      <c r="I583" s="34"/>
    </row>
    <row r="584">
      <c r="A584" s="10" t="s">
        <v>5</v>
      </c>
      <c r="B584" s="11" t="s">
        <v>3210</v>
      </c>
      <c r="C584" s="9"/>
      <c r="D584" s="9"/>
      <c r="E584" s="9"/>
      <c r="F584" s="9"/>
      <c r="G584" s="9"/>
      <c r="H584" s="9"/>
      <c r="I584" s="14"/>
    </row>
    <row r="585" ht="60.0" customHeight="1">
      <c r="A585" s="15" t="s">
        <v>16</v>
      </c>
      <c r="B585" s="22" t="str">
        <f t="array" ref="B585">iferror(VLOOKUP(INDIRECT(ADDRESS(ROW()+1,COLUMN(), 4)),Dex!$A$2:$C671,3,false),"")</f>
        <v/>
      </c>
      <c r="C585" s="22" t="str">
        <f t="array" ref="C585">iferror(VLOOKUP(INDIRECT(ADDRESS(ROW()+1,COLUMN(), 4)),Dex!$A$2:$C671,3,false),"")</f>
        <v/>
      </c>
      <c r="D585" s="22" t="str">
        <f t="array" ref="D585">iferror(VLOOKUP(INDIRECT(ADDRESS(ROW()+1,COLUMN(), 4)),Dex!$A$2:$C671,3,false),"")</f>
        <v/>
      </c>
      <c r="E585" s="22" t="str">
        <f t="array" ref="E585">iferror(VLOOKUP(INDIRECT(ADDRESS(ROW()+1,COLUMN(), 4)),Dex!$A$2:$C671,3,false),"")</f>
        <v/>
      </c>
      <c r="F585" s="22" t="str">
        <f t="array" ref="F585">iferror(VLOOKUP(INDIRECT(ADDRESS(ROW()+1,COLUMN(), 4)),Dex!$A$2:$C671,3,false),"")</f>
        <v/>
      </c>
      <c r="G585" s="22" t="str">
        <f t="array" ref="G585">iferror(VLOOKUP(INDIRECT(ADDRESS(ROW()+1,COLUMN(), 4)),Dex!$A$2:$C671,3,false),"")</f>
        <v/>
      </c>
      <c r="H585" s="23" t="str">
        <f t="array" ref="H585">iferror(VLOOKUP("TRAINER_PIC_Psychic_M",Sprites!$A$1:$B671,2,false),"")</f>
        <v/>
      </c>
      <c r="I585" s="24"/>
    </row>
    <row r="586">
      <c r="A586" s="25"/>
      <c r="B586" s="26" t="s">
        <v>1904</v>
      </c>
      <c r="C586" s="26" t="s">
        <v>1816</v>
      </c>
      <c r="D586" s="26" t="s">
        <v>873</v>
      </c>
      <c r="E586" s="26" t="s">
        <v>671</v>
      </c>
      <c r="F586" s="26" t="s">
        <v>2269</v>
      </c>
      <c r="G586" s="26" t="s">
        <v>301</v>
      </c>
      <c r="H586" s="27"/>
    </row>
    <row r="587">
      <c r="A587" s="10" t="s">
        <v>199</v>
      </c>
      <c r="B587" s="22">
        <v>85.0</v>
      </c>
      <c r="C587" s="22">
        <v>85.0</v>
      </c>
      <c r="D587" s="22">
        <v>85.0</v>
      </c>
      <c r="E587" s="22">
        <v>85.0</v>
      </c>
      <c r="F587" s="22">
        <v>85.0</v>
      </c>
      <c r="G587" s="22">
        <v>85.0</v>
      </c>
      <c r="H587" s="28"/>
    </row>
    <row r="588">
      <c r="A588" s="10" t="s">
        <v>201</v>
      </c>
      <c r="B588" s="29" t="s">
        <v>781</v>
      </c>
      <c r="C588" s="29" t="s">
        <v>344</v>
      </c>
      <c r="D588" s="29" t="s">
        <v>3040</v>
      </c>
      <c r="E588" s="29" t="s">
        <v>545</v>
      </c>
      <c r="F588" s="29" t="s">
        <v>408</v>
      </c>
      <c r="G588" s="29" t="s">
        <v>3207</v>
      </c>
      <c r="H588" s="27"/>
    </row>
    <row r="589">
      <c r="A589" s="10" t="s">
        <v>209</v>
      </c>
      <c r="B589" s="22" t="s">
        <v>2646</v>
      </c>
      <c r="C589" s="22" t="s">
        <v>2569</v>
      </c>
      <c r="D589" s="22" t="s">
        <v>2342</v>
      </c>
      <c r="E589" s="22" t="s">
        <v>553</v>
      </c>
      <c r="F589" s="22" t="s">
        <v>2482</v>
      </c>
      <c r="G589" s="22" t="s">
        <v>786</v>
      </c>
      <c r="H589" s="27"/>
    </row>
    <row r="590">
      <c r="A590" s="10" t="s">
        <v>215</v>
      </c>
      <c r="B590" s="29" t="s">
        <v>906</v>
      </c>
      <c r="C590" s="29" t="s">
        <v>906</v>
      </c>
      <c r="D590" s="29" t="s">
        <v>231</v>
      </c>
      <c r="E590" s="29" t="s">
        <v>419</v>
      </c>
      <c r="F590" s="29" t="s">
        <v>419</v>
      </c>
      <c r="G590" s="29" t="s">
        <v>685</v>
      </c>
      <c r="H590" s="27"/>
    </row>
    <row r="591">
      <c r="A591" s="15" t="s">
        <v>224</v>
      </c>
      <c r="B591" s="22" t="s">
        <v>1039</v>
      </c>
      <c r="C591" s="22" t="s">
        <v>2647</v>
      </c>
      <c r="D591" s="22" t="s">
        <v>3215</v>
      </c>
      <c r="E591" s="22" t="s">
        <v>577</v>
      </c>
      <c r="F591" s="22" t="s">
        <v>2647</v>
      </c>
      <c r="G591" s="22" t="s">
        <v>2647</v>
      </c>
      <c r="H591" s="27"/>
    </row>
    <row r="592">
      <c r="A592" s="30"/>
      <c r="B592" s="22" t="s">
        <v>2647</v>
      </c>
      <c r="C592" s="22" t="s">
        <v>360</v>
      </c>
      <c r="D592" s="22" t="s">
        <v>2566</v>
      </c>
      <c r="E592" s="22" t="s">
        <v>2386</v>
      </c>
      <c r="F592" s="22" t="s">
        <v>2040</v>
      </c>
      <c r="G592" s="22" t="s">
        <v>796</v>
      </c>
      <c r="H592" s="27"/>
    </row>
    <row r="593">
      <c r="A593" s="30"/>
      <c r="B593" s="22" t="s">
        <v>701</v>
      </c>
      <c r="C593" s="22" t="s">
        <v>565</v>
      </c>
      <c r="D593" s="22" t="s">
        <v>796</v>
      </c>
      <c r="E593" s="22" t="s">
        <v>572</v>
      </c>
      <c r="F593" s="22" t="s">
        <v>1458</v>
      </c>
      <c r="G593" s="22" t="s">
        <v>2040</v>
      </c>
      <c r="H593" s="27"/>
    </row>
    <row r="594">
      <c r="A594" s="25"/>
      <c r="B594" s="22" t="s">
        <v>3216</v>
      </c>
      <c r="C594" s="22" t="s">
        <v>3216</v>
      </c>
      <c r="D594" s="22" t="s">
        <v>477</v>
      </c>
      <c r="E594" s="22" t="s">
        <v>582</v>
      </c>
      <c r="F594" s="22" t="s">
        <v>582</v>
      </c>
      <c r="G594" s="22" t="s">
        <v>2875</v>
      </c>
      <c r="H594" s="31"/>
      <c r="I594" s="32"/>
    </row>
    <row r="595">
      <c r="A595" s="10" t="s">
        <v>5</v>
      </c>
      <c r="B595" s="11" t="s">
        <v>3217</v>
      </c>
      <c r="C595" s="9"/>
      <c r="D595" s="9"/>
      <c r="E595" s="9"/>
      <c r="F595" s="9"/>
      <c r="G595" s="9"/>
      <c r="H595" s="9"/>
      <c r="I595" s="14"/>
    </row>
    <row r="596" ht="60.0" customHeight="1">
      <c r="A596" s="15" t="s">
        <v>16</v>
      </c>
      <c r="B596" s="22" t="str">
        <f t="array" ref="B596">iferror(VLOOKUP(INDIRECT(ADDRESS(ROW()+1,COLUMN(), 4)),Dex!$A$2:$C671,3,false),"")</f>
        <v/>
      </c>
      <c r="C596" s="22" t="str">
        <f t="array" ref="C596">iferror(VLOOKUP(INDIRECT(ADDRESS(ROW()+1,COLUMN(), 4)),Dex!$A$2:$C671,3,false),"")</f>
        <v/>
      </c>
      <c r="D596" s="22" t="str">
        <f t="array" ref="D596">iferror(VLOOKUP(INDIRECT(ADDRESS(ROW()+1,COLUMN(), 4)),Dex!$A$2:$C671,3,false),"")</f>
        <v/>
      </c>
      <c r="E596" s="22" t="str">
        <f t="array" ref="E596">iferror(VLOOKUP(INDIRECT(ADDRESS(ROW()+1,COLUMN(), 4)),Dex!$A$2:$C671,3,false),"")</f>
        <v/>
      </c>
      <c r="F596" s="22" t="str">
        <f t="array" ref="F596">iferror(VLOOKUP(INDIRECT(ADDRESS(ROW()+1,COLUMN(), 4)),Dex!$A$2:$C671,3,false),"")</f>
        <v/>
      </c>
      <c r="G596" s="22" t="str">
        <f t="array" ref="G596">iferror(VLOOKUP(INDIRECT(ADDRESS(ROW()+1,COLUMN(), 4)),Dex!$A$2:$C671,3,false),"")</f>
        <v/>
      </c>
      <c r="H596" s="23" t="str">
        <f t="array" ref="H596">iferror(VLOOKUP("TRAINER_PIC_Pokemaniac",Sprites!$A$1:$B671,2,false),"")</f>
        <v/>
      </c>
      <c r="I596" s="24"/>
    </row>
    <row r="597">
      <c r="A597" s="25"/>
      <c r="B597" s="26" t="s">
        <v>530</v>
      </c>
      <c r="C597" s="26" t="s">
        <v>1469</v>
      </c>
      <c r="D597" s="26" t="s">
        <v>385</v>
      </c>
      <c r="E597" s="26" t="s">
        <v>1019</v>
      </c>
      <c r="F597" s="26" t="s">
        <v>316</v>
      </c>
      <c r="G597" s="26" t="s">
        <v>1770</v>
      </c>
      <c r="H597" s="27"/>
    </row>
    <row r="598">
      <c r="A598" s="10" t="s">
        <v>199</v>
      </c>
      <c r="B598" s="22">
        <v>85.0</v>
      </c>
      <c r="C598" s="22">
        <v>85.0</v>
      </c>
      <c r="D598" s="22">
        <v>86.0</v>
      </c>
      <c r="E598" s="22">
        <v>86.0</v>
      </c>
      <c r="F598" s="22">
        <v>85.0</v>
      </c>
      <c r="G598" s="22">
        <v>85.0</v>
      </c>
      <c r="H598" s="28"/>
    </row>
    <row r="599">
      <c r="A599" s="10" t="s">
        <v>201</v>
      </c>
      <c r="B599" s="29" t="s">
        <v>1521</v>
      </c>
      <c r="C599" s="29" t="s">
        <v>345</v>
      </c>
      <c r="D599" s="29" t="s">
        <v>3224</v>
      </c>
      <c r="E599" s="29" t="s">
        <v>2032</v>
      </c>
      <c r="F599" s="29" t="s">
        <v>1546</v>
      </c>
      <c r="G599" s="29" t="s">
        <v>2792</v>
      </c>
      <c r="H599" s="27"/>
    </row>
    <row r="600">
      <c r="A600" s="10" t="s">
        <v>209</v>
      </c>
      <c r="B600" s="22" t="s">
        <v>2404</v>
      </c>
      <c r="C600" s="22" t="s">
        <v>2404</v>
      </c>
      <c r="D600" s="22" t="s">
        <v>2096</v>
      </c>
      <c r="E600" s="22" t="s">
        <v>219</v>
      </c>
      <c r="F600" s="22" t="s">
        <v>3225</v>
      </c>
      <c r="G600" s="22" t="s">
        <v>541</v>
      </c>
      <c r="H600" s="27"/>
    </row>
    <row r="601">
      <c r="A601" s="10" t="s">
        <v>215</v>
      </c>
      <c r="B601" s="29" t="s">
        <v>220</v>
      </c>
      <c r="C601" s="29" t="s">
        <v>231</v>
      </c>
      <c r="D601" s="29" t="s">
        <v>1346</v>
      </c>
      <c r="E601" s="29" t="s">
        <v>220</v>
      </c>
      <c r="F601" s="29" t="s">
        <v>542</v>
      </c>
      <c r="G601" s="29" t="s">
        <v>231</v>
      </c>
      <c r="H601" s="27"/>
    </row>
    <row r="602">
      <c r="A602" s="15" t="s">
        <v>224</v>
      </c>
      <c r="B602" s="22" t="s">
        <v>799</v>
      </c>
      <c r="C602" s="22" t="s">
        <v>2469</v>
      </c>
      <c r="D602" s="22" t="s">
        <v>587</v>
      </c>
      <c r="E602" s="22" t="s">
        <v>3227</v>
      </c>
      <c r="F602" s="22" t="s">
        <v>2220</v>
      </c>
      <c r="G602" s="22" t="s">
        <v>2634</v>
      </c>
      <c r="H602" s="27"/>
    </row>
    <row r="603">
      <c r="A603" s="30"/>
      <c r="B603" s="22" t="s">
        <v>587</v>
      </c>
      <c r="C603" s="22" t="s">
        <v>1127</v>
      </c>
      <c r="D603" s="22" t="s">
        <v>796</v>
      </c>
      <c r="E603" s="22" t="s">
        <v>1048</v>
      </c>
      <c r="F603" s="22" t="s">
        <v>477</v>
      </c>
      <c r="G603" s="22" t="s">
        <v>2907</v>
      </c>
      <c r="H603" s="27"/>
    </row>
    <row r="604">
      <c r="A604" s="30"/>
      <c r="B604" s="22" t="s">
        <v>432</v>
      </c>
      <c r="C604" s="22" t="s">
        <v>555</v>
      </c>
      <c r="D604" s="22" t="s">
        <v>2111</v>
      </c>
      <c r="E604" s="22" t="s">
        <v>1127</v>
      </c>
      <c r="F604" s="22" t="s">
        <v>463</v>
      </c>
      <c r="G604" s="22" t="s">
        <v>3227</v>
      </c>
      <c r="H604" s="27"/>
    </row>
    <row r="605">
      <c r="A605" s="25"/>
      <c r="B605" s="22" t="s">
        <v>473</v>
      </c>
      <c r="C605" s="22" t="s">
        <v>2842</v>
      </c>
      <c r="D605" s="22" t="s">
        <v>238</v>
      </c>
      <c r="E605" s="22" t="s">
        <v>1042</v>
      </c>
      <c r="F605" s="22" t="s">
        <v>465</v>
      </c>
      <c r="G605" s="22" t="s">
        <v>1999</v>
      </c>
      <c r="H605" s="31"/>
      <c r="I605" s="32"/>
    </row>
    <row r="606">
      <c r="A606" s="10" t="s">
        <v>5</v>
      </c>
      <c r="B606" s="11" t="s">
        <v>3230</v>
      </c>
      <c r="C606" s="9"/>
      <c r="D606" s="9"/>
      <c r="E606" s="9"/>
      <c r="F606" s="9"/>
      <c r="G606" s="9"/>
      <c r="H606" s="9"/>
      <c r="I606" s="14"/>
    </row>
    <row r="607" ht="60.0" customHeight="1">
      <c r="A607" s="15" t="s">
        <v>16</v>
      </c>
      <c r="B607" s="22" t="str">
        <f t="array" ref="B607">iferror(VLOOKUP(INDIRECT(ADDRESS(ROW()+1,COLUMN(), 4)),Dex!$A$2:$C671,3,false),"")</f>
        <v/>
      </c>
      <c r="C607" s="22" t="str">
        <f t="array" ref="C607">iferror(VLOOKUP(INDIRECT(ADDRESS(ROW()+1,COLUMN(), 4)),Dex!$A$2:$C671,3,false),"")</f>
        <v/>
      </c>
      <c r="D607" s="22" t="str">
        <f t="array" ref="D607">iferror(VLOOKUP(INDIRECT(ADDRESS(ROW()+1,COLUMN(), 4)),Dex!$A$2:$C671,3,false),"")</f>
        <v/>
      </c>
      <c r="E607" s="22" t="str">
        <f t="array" ref="E607">iferror(VLOOKUP(INDIRECT(ADDRESS(ROW()+1,COLUMN(), 4)),Dex!$A$2:$C671,3,false),"")</f>
        <v/>
      </c>
      <c r="F607" s="22" t="str">
        <f t="array" ref="F607">iferror(VLOOKUP(INDIRECT(ADDRESS(ROW()+1,COLUMN(), 4)),Dex!$A$2:$C671,3,false),"")</f>
        <v/>
      </c>
      <c r="G607" s="22" t="str">
        <f t="array" ref="G607">iferror(VLOOKUP(INDIRECT(ADDRESS(ROW()+1,COLUMN(), 4)),Dex!$A$2:$C671,3,false),"")</f>
        <v/>
      </c>
      <c r="H607" s="23" t="str">
        <f t="array" ref="H607">iferror(VLOOKUP("TRAINER_PIC_Psychic_M",Sprites!$A$1:$B671,2,false),"")</f>
        <v/>
      </c>
      <c r="I607" s="24"/>
    </row>
    <row r="608">
      <c r="A608" s="25"/>
      <c r="B608" s="26" t="s">
        <v>1836</v>
      </c>
      <c r="C608" s="26" t="s">
        <v>2263</v>
      </c>
      <c r="D608" s="26" t="s">
        <v>302</v>
      </c>
      <c r="E608" s="26" t="s">
        <v>1961</v>
      </c>
      <c r="F608" s="26" t="s">
        <v>342</v>
      </c>
      <c r="G608" s="26" t="s">
        <v>1786</v>
      </c>
      <c r="H608" s="27"/>
    </row>
    <row r="609">
      <c r="A609" s="10" t="s">
        <v>199</v>
      </c>
      <c r="B609" s="22">
        <v>85.0</v>
      </c>
      <c r="C609" s="22">
        <v>86.0</v>
      </c>
      <c r="D609" s="22">
        <v>86.0</v>
      </c>
      <c r="E609" s="22">
        <v>85.0</v>
      </c>
      <c r="F609" s="22">
        <v>86.0</v>
      </c>
      <c r="G609" s="22">
        <v>86.0</v>
      </c>
      <c r="H609" s="28"/>
    </row>
    <row r="610">
      <c r="A610" s="10" t="s">
        <v>201</v>
      </c>
      <c r="B610" s="29" t="s">
        <v>408</v>
      </c>
      <c r="C610" s="29" t="s">
        <v>2980</v>
      </c>
      <c r="D610" s="29" t="s">
        <v>3239</v>
      </c>
      <c r="E610" s="29" t="s">
        <v>453</v>
      </c>
      <c r="F610" s="29" t="s">
        <v>675</v>
      </c>
      <c r="G610" s="29" t="s">
        <v>1150</v>
      </c>
      <c r="H610" s="27"/>
    </row>
    <row r="611">
      <c r="A611" s="10" t="s">
        <v>209</v>
      </c>
      <c r="B611" s="22" t="s">
        <v>1840</v>
      </c>
      <c r="C611" s="22" t="s">
        <v>2739</v>
      </c>
      <c r="D611" s="22" t="s">
        <v>897</v>
      </c>
      <c r="E611" s="22" t="s">
        <v>458</v>
      </c>
      <c r="F611" s="22" t="s">
        <v>2262</v>
      </c>
      <c r="G611" s="22" t="s">
        <v>1153</v>
      </c>
      <c r="H611" s="27"/>
    </row>
    <row r="612">
      <c r="A612" s="10" t="s">
        <v>215</v>
      </c>
      <c r="B612" s="29" t="s">
        <v>685</v>
      </c>
      <c r="C612" s="29" t="s">
        <v>1343</v>
      </c>
      <c r="D612" s="29" t="s">
        <v>417</v>
      </c>
      <c r="E612" s="29" t="s">
        <v>461</v>
      </c>
      <c r="F612" s="29" t="s">
        <v>461</v>
      </c>
      <c r="G612" s="29" t="s">
        <v>461</v>
      </c>
      <c r="H612" s="27"/>
    </row>
    <row r="613">
      <c r="A613" s="15" t="s">
        <v>224</v>
      </c>
      <c r="B613" s="22" t="s">
        <v>689</v>
      </c>
      <c r="C613" s="22" t="s">
        <v>2659</v>
      </c>
      <c r="D613" s="22" t="s">
        <v>814</v>
      </c>
      <c r="E613" s="22" t="s">
        <v>1065</v>
      </c>
      <c r="F613" s="22" t="s">
        <v>2327</v>
      </c>
      <c r="G613" s="22" t="s">
        <v>3240</v>
      </c>
      <c r="H613" s="27"/>
    </row>
    <row r="614">
      <c r="A614" s="30"/>
      <c r="B614" s="22" t="s">
        <v>229</v>
      </c>
      <c r="C614" s="22" t="s">
        <v>689</v>
      </c>
      <c r="D614" s="22" t="s">
        <v>920</v>
      </c>
      <c r="E614" s="22" t="s">
        <v>2469</v>
      </c>
      <c r="F614" s="22" t="s">
        <v>3045</v>
      </c>
      <c r="G614" s="22" t="s">
        <v>692</v>
      </c>
      <c r="H614" s="27"/>
    </row>
    <row r="615">
      <c r="A615" s="30"/>
      <c r="B615" s="22" t="s">
        <v>701</v>
      </c>
      <c r="C615" s="22" t="s">
        <v>2741</v>
      </c>
      <c r="D615" s="22" t="s">
        <v>2555</v>
      </c>
      <c r="E615" s="22" t="s">
        <v>2673</v>
      </c>
      <c r="F615" s="22" t="s">
        <v>465</v>
      </c>
      <c r="G615" s="22" t="s">
        <v>700</v>
      </c>
      <c r="H615" s="27"/>
    </row>
    <row r="616">
      <c r="A616" s="25"/>
      <c r="B616" s="22" t="s">
        <v>3034</v>
      </c>
      <c r="C616" s="22" t="s">
        <v>815</v>
      </c>
      <c r="D616" s="22" t="s">
        <v>689</v>
      </c>
      <c r="E616" s="22" t="s">
        <v>465</v>
      </c>
      <c r="F616" s="22" t="s">
        <v>3218</v>
      </c>
      <c r="G616" s="22" t="s">
        <v>702</v>
      </c>
      <c r="H616" s="31"/>
      <c r="I616" s="32"/>
    </row>
    <row r="617">
      <c r="A617" s="10" t="s">
        <v>5</v>
      </c>
      <c r="B617" s="11" t="s">
        <v>3242</v>
      </c>
      <c r="C617" s="9"/>
      <c r="D617" s="9"/>
      <c r="E617" s="9"/>
      <c r="F617" s="9"/>
      <c r="G617" s="9"/>
      <c r="H617" s="9"/>
      <c r="I617" s="14"/>
    </row>
    <row r="618" ht="60.0" customHeight="1">
      <c r="A618" s="15" t="s">
        <v>16</v>
      </c>
      <c r="B618" s="22" t="str">
        <f t="array" ref="B618">iferror(VLOOKUP(INDIRECT(ADDRESS(ROW()+1,COLUMN(), 4)),Dex!$A$2:$C671,3,false),"")</f>
        <v/>
      </c>
      <c r="C618" s="22" t="str">
        <f t="array" ref="C618">iferror(VLOOKUP(INDIRECT(ADDRESS(ROW()+1,COLUMN(), 4)),Dex!$A$2:$C671,3,false),"")</f>
        <v/>
      </c>
      <c r="D618" s="22" t="str">
        <f t="array" ref="D618">iferror(VLOOKUP(INDIRECT(ADDRESS(ROW()+1,COLUMN(), 4)),Dex!$A$2:$C671,3,false),"")</f>
        <v/>
      </c>
      <c r="E618" s="22" t="str">
        <f t="array" ref="E618">iferror(VLOOKUP(INDIRECT(ADDRESS(ROW()+1,COLUMN(), 4)),Dex!$A$2:$C671,3,false),"")</f>
        <v/>
      </c>
      <c r="F618" s="22" t="str">
        <f t="array" ref="F618">iferror(VLOOKUP(INDIRECT(ADDRESS(ROW()+1,COLUMN(), 4)),Dex!$A$2:$C671,3,false),"")</f>
        <v/>
      </c>
      <c r="G618" s="22" t="str">
        <f t="array" ref="G618">iferror(VLOOKUP(INDIRECT(ADDRESS(ROW()+1,COLUMN(), 4)),Dex!$A$2:$C671,3,false),"")</f>
        <v/>
      </c>
      <c r="H618" s="23" t="str">
        <f t="array" ref="H618">iferror(VLOOKUP("TRAINER_PIC_Psychic_M",Sprites!$A$1:$B671,2,false),"")</f>
        <v/>
      </c>
      <c r="I618" s="24"/>
    </row>
    <row r="619">
      <c r="A619" s="25"/>
      <c r="B619" s="26" t="s">
        <v>1776</v>
      </c>
      <c r="C619" s="26" t="s">
        <v>1484</v>
      </c>
      <c r="D619" s="26" t="s">
        <v>724</v>
      </c>
      <c r="E619" s="26" t="s">
        <v>3183</v>
      </c>
      <c r="F619" s="26" t="s">
        <v>2364</v>
      </c>
      <c r="G619" s="26" t="s">
        <v>1584</v>
      </c>
      <c r="H619" s="27"/>
    </row>
    <row r="620">
      <c r="A620" s="10" t="s">
        <v>199</v>
      </c>
      <c r="B620" s="22">
        <v>86.0</v>
      </c>
      <c r="C620" s="22">
        <v>86.0</v>
      </c>
      <c r="D620" s="22">
        <v>86.0</v>
      </c>
      <c r="E620" s="22">
        <v>86.0</v>
      </c>
      <c r="F620" s="22">
        <v>86.0</v>
      </c>
      <c r="G620" s="22">
        <v>86.0</v>
      </c>
      <c r="H620" s="28"/>
    </row>
    <row r="621">
      <c r="A621" s="10" t="s">
        <v>201</v>
      </c>
      <c r="B621" s="29" t="s">
        <v>206</v>
      </c>
      <c r="C621" s="29" t="s">
        <v>1521</v>
      </c>
      <c r="D621" s="29" t="s">
        <v>3246</v>
      </c>
      <c r="E621" s="29" t="s">
        <v>2366</v>
      </c>
      <c r="F621" s="29" t="s">
        <v>2366</v>
      </c>
      <c r="G621" s="29" t="s">
        <v>2902</v>
      </c>
      <c r="H621" s="27"/>
    </row>
    <row r="622">
      <c r="A622" s="10" t="s">
        <v>209</v>
      </c>
      <c r="B622" s="22" t="s">
        <v>3247</v>
      </c>
      <c r="C622" s="22" t="s">
        <v>3247</v>
      </c>
      <c r="D622" s="22" t="s">
        <v>2596</v>
      </c>
      <c r="E622" s="22" t="s">
        <v>2361</v>
      </c>
      <c r="F622" s="22" t="s">
        <v>2368</v>
      </c>
      <c r="G622" s="22" t="s">
        <v>3186</v>
      </c>
      <c r="H622" s="27"/>
    </row>
    <row r="623">
      <c r="A623" s="10" t="s">
        <v>215</v>
      </c>
      <c r="B623" s="29" t="s">
        <v>1343</v>
      </c>
      <c r="C623" s="29" t="s">
        <v>906</v>
      </c>
      <c r="D623" s="29" t="s">
        <v>419</v>
      </c>
      <c r="E623" s="29" t="s">
        <v>231</v>
      </c>
      <c r="F623" s="29" t="s">
        <v>906</v>
      </c>
      <c r="G623" s="29" t="s">
        <v>231</v>
      </c>
      <c r="H623" s="27"/>
    </row>
    <row r="624">
      <c r="A624" s="15" t="s">
        <v>224</v>
      </c>
      <c r="B624" s="22" t="s">
        <v>2387</v>
      </c>
      <c r="C624" s="22" t="s">
        <v>3248</v>
      </c>
      <c r="D624" s="22" t="s">
        <v>1873</v>
      </c>
      <c r="E624" s="22" t="s">
        <v>3188</v>
      </c>
      <c r="F624" s="22" t="s">
        <v>565</v>
      </c>
      <c r="G624" s="22" t="s">
        <v>799</v>
      </c>
      <c r="H624" s="27"/>
    </row>
    <row r="625">
      <c r="A625" s="30"/>
      <c r="B625" s="22" t="s">
        <v>565</v>
      </c>
      <c r="C625" s="22" t="s">
        <v>229</v>
      </c>
      <c r="D625" s="22" t="s">
        <v>2557</v>
      </c>
      <c r="E625" s="22" t="s">
        <v>796</v>
      </c>
      <c r="F625" s="22" t="s">
        <v>1231</v>
      </c>
      <c r="G625" s="22" t="s">
        <v>1352</v>
      </c>
      <c r="H625" s="27"/>
    </row>
    <row r="626">
      <c r="A626" s="30"/>
      <c r="B626" s="22" t="s">
        <v>2608</v>
      </c>
      <c r="C626" s="22" t="s">
        <v>2306</v>
      </c>
      <c r="D626" s="22" t="s">
        <v>582</v>
      </c>
      <c r="E626" s="22" t="s">
        <v>2450</v>
      </c>
      <c r="F626" s="22" t="s">
        <v>229</v>
      </c>
      <c r="G626" s="22" t="s">
        <v>567</v>
      </c>
      <c r="H626" s="27"/>
    </row>
    <row r="627">
      <c r="A627" s="25"/>
      <c r="B627" s="22" t="s">
        <v>1934</v>
      </c>
      <c r="C627" s="22" t="s">
        <v>920</v>
      </c>
      <c r="D627" s="22" t="s">
        <v>701</v>
      </c>
      <c r="E627" s="22" t="s">
        <v>1043</v>
      </c>
      <c r="F627" s="22" t="s">
        <v>1363</v>
      </c>
      <c r="G627" s="22" t="s">
        <v>1934</v>
      </c>
      <c r="H627" s="31"/>
      <c r="I627" s="32"/>
    </row>
    <row r="628">
      <c r="A628" s="10" t="s">
        <v>5</v>
      </c>
      <c r="B628" s="11" t="s">
        <v>3249</v>
      </c>
      <c r="C628" s="9"/>
      <c r="D628" s="9"/>
      <c r="E628" s="9"/>
      <c r="F628" s="9"/>
      <c r="G628" s="9"/>
      <c r="H628" s="9"/>
      <c r="I628" s="14"/>
    </row>
    <row r="629" ht="60.0" customHeight="1">
      <c r="A629" s="15" t="s">
        <v>16</v>
      </c>
      <c r="B629" s="22" t="str">
        <f t="array" ref="B629">iferror(VLOOKUP(INDIRECT(ADDRESS(ROW()+1,COLUMN(), 4)),Dex!$A$2:$C671,3,false),"")</f>
        <v/>
      </c>
      <c r="C629" s="22" t="str">
        <f t="array" ref="C629">iferror(VLOOKUP(INDIRECT(ADDRESS(ROW()+1,COLUMN(), 4)),Dex!$A$2:$C671,3,false),"")</f>
        <v/>
      </c>
      <c r="D629" s="22" t="str">
        <f t="array" ref="D629">iferror(VLOOKUP(INDIRECT(ADDRESS(ROW()+1,COLUMN(), 4)),Dex!$A$2:$C671,3,false),"")</f>
        <v/>
      </c>
      <c r="E629" s="22" t="str">
        <f t="array" ref="E629">iferror(VLOOKUP(INDIRECT(ADDRESS(ROW()+1,COLUMN(), 4)),Dex!$A$2:$C671,3,false),"")</f>
        <v/>
      </c>
      <c r="F629" s="22" t="str">
        <f t="array" ref="F629">iferror(VLOOKUP(INDIRECT(ADDRESS(ROW()+1,COLUMN(), 4)),Dex!$A$2:$C671,3,false),"")</f>
        <v/>
      </c>
      <c r="G629" s="22" t="str">
        <f t="array" ref="G629">iferror(VLOOKUP(INDIRECT(ADDRESS(ROW()+1,COLUMN(), 4)),Dex!$A$2:$C671,3,false),"")</f>
        <v/>
      </c>
      <c r="H629" s="23" t="str">
        <f t="array" ref="H629">iferror(VLOOKUP("TRAINER_PIC_Gentleman",Sprites!$A$1:$B671,2,false),"")</f>
        <v/>
      </c>
      <c r="I629" s="24"/>
    </row>
    <row r="630">
      <c r="A630" s="25"/>
      <c r="B630" s="26" t="s">
        <v>1963</v>
      </c>
      <c r="C630" s="26" t="s">
        <v>1516</v>
      </c>
      <c r="D630" s="26" t="s">
        <v>1089</v>
      </c>
      <c r="E630" s="26" t="s">
        <v>1490</v>
      </c>
      <c r="F630" s="26" t="s">
        <v>384</v>
      </c>
      <c r="G630" s="26" t="s">
        <v>1112</v>
      </c>
      <c r="H630" s="27"/>
    </row>
    <row r="631">
      <c r="A631" s="10" t="s">
        <v>199</v>
      </c>
      <c r="B631" s="22">
        <v>86.0</v>
      </c>
      <c r="C631" s="22">
        <v>86.0</v>
      </c>
      <c r="D631" s="22">
        <v>86.0</v>
      </c>
      <c r="E631" s="22">
        <v>86.0</v>
      </c>
      <c r="F631" s="22">
        <v>86.0</v>
      </c>
      <c r="G631" s="22">
        <v>86.0</v>
      </c>
      <c r="H631" s="28"/>
    </row>
    <row r="632">
      <c r="A632" s="10" t="s">
        <v>201</v>
      </c>
      <c r="B632" s="29" t="s">
        <v>2430</v>
      </c>
      <c r="C632" s="29" t="s">
        <v>408</v>
      </c>
      <c r="D632" s="29" t="s">
        <v>3256</v>
      </c>
      <c r="E632" s="29" t="s">
        <v>2032</v>
      </c>
      <c r="F632" s="29" t="s">
        <v>206</v>
      </c>
      <c r="G632" s="29" t="s">
        <v>1926</v>
      </c>
      <c r="H632" s="27"/>
    </row>
    <row r="633">
      <c r="A633" s="10" t="s">
        <v>209</v>
      </c>
      <c r="B633" s="22" t="s">
        <v>2718</v>
      </c>
      <c r="C633" s="22" t="s">
        <v>1459</v>
      </c>
      <c r="D633" s="22" t="s">
        <v>911</v>
      </c>
      <c r="E633" s="22" t="s">
        <v>221</v>
      </c>
      <c r="F633" s="22" t="s">
        <v>1747</v>
      </c>
      <c r="G633" s="22" t="s">
        <v>1642</v>
      </c>
      <c r="H633" s="27"/>
    </row>
    <row r="634">
      <c r="A634" s="10" t="s">
        <v>215</v>
      </c>
      <c r="B634" s="29" t="s">
        <v>222</v>
      </c>
      <c r="C634" s="29" t="s">
        <v>220</v>
      </c>
      <c r="D634" s="29" t="s">
        <v>231</v>
      </c>
      <c r="E634" s="29" t="s">
        <v>419</v>
      </c>
      <c r="F634" s="29" t="s">
        <v>419</v>
      </c>
      <c r="G634" s="29" t="s">
        <v>2600</v>
      </c>
      <c r="H634" s="27"/>
    </row>
    <row r="635">
      <c r="A635" s="15" t="s">
        <v>224</v>
      </c>
      <c r="B635" s="22" t="s">
        <v>357</v>
      </c>
      <c r="C635" s="22" t="s">
        <v>1536</v>
      </c>
      <c r="D635" s="22" t="s">
        <v>692</v>
      </c>
      <c r="E635" s="22" t="s">
        <v>3080</v>
      </c>
      <c r="F635" s="22" t="s">
        <v>814</v>
      </c>
      <c r="G635" s="22" t="s">
        <v>3080</v>
      </c>
      <c r="H635" s="27"/>
    </row>
    <row r="636">
      <c r="A636" s="30"/>
      <c r="B636" s="22" t="s">
        <v>1873</v>
      </c>
      <c r="C636" s="22" t="s">
        <v>795</v>
      </c>
      <c r="D636" s="22" t="s">
        <v>477</v>
      </c>
      <c r="E636" s="22" t="s">
        <v>241</v>
      </c>
      <c r="F636" s="22" t="s">
        <v>1439</v>
      </c>
      <c r="G636" s="22" t="s">
        <v>3000</v>
      </c>
      <c r="H636" s="27"/>
    </row>
    <row r="637">
      <c r="A637" s="30"/>
      <c r="B637" s="22" t="s">
        <v>1043</v>
      </c>
      <c r="C637" s="22" t="s">
        <v>366</v>
      </c>
      <c r="D637" s="22" t="s">
        <v>796</v>
      </c>
      <c r="E637" s="22" t="s">
        <v>1458</v>
      </c>
      <c r="F637" s="22" t="s">
        <v>1363</v>
      </c>
      <c r="G637" s="22" t="s">
        <v>795</v>
      </c>
      <c r="H637" s="27"/>
    </row>
    <row r="638">
      <c r="A638" s="25"/>
      <c r="B638" s="22" t="s">
        <v>953</v>
      </c>
      <c r="C638" s="22" t="s">
        <v>1460</v>
      </c>
      <c r="D638" s="22" t="s">
        <v>363</v>
      </c>
      <c r="E638" s="22" t="s">
        <v>424</v>
      </c>
      <c r="F638" s="22" t="s">
        <v>3080</v>
      </c>
      <c r="G638" s="22" t="s">
        <v>1891</v>
      </c>
      <c r="H638" s="31"/>
      <c r="I638" s="32"/>
    </row>
    <row r="639">
      <c r="A639" s="10" t="s">
        <v>5</v>
      </c>
      <c r="B639" s="11" t="s">
        <v>3257</v>
      </c>
      <c r="C639" s="9"/>
      <c r="D639" s="9"/>
      <c r="E639" s="9"/>
      <c r="F639" s="9"/>
      <c r="G639" s="9"/>
      <c r="H639" s="9"/>
      <c r="I639" s="14"/>
    </row>
    <row r="640" ht="60.0" customHeight="1">
      <c r="A640" s="15" t="s">
        <v>16</v>
      </c>
      <c r="B640" s="22" t="str">
        <f t="array" ref="B640">iferror(VLOOKUP(INDIRECT(ADDRESS(ROW()+1,COLUMN(), 4)),Dex!$A$2:$C671,3,false),"")</f>
        <v/>
      </c>
      <c r="C640" s="22" t="str">
        <f t="array" ref="C640">iferror(VLOOKUP(INDIRECT(ADDRESS(ROW()+1,COLUMN(), 4)),Dex!$A$2:$C671,3,false),"")</f>
        <v/>
      </c>
      <c r="D640" s="22" t="str">
        <f t="array" ref="D640">iferror(VLOOKUP(INDIRECT(ADDRESS(ROW()+1,COLUMN(), 4)),Dex!$A$2:$C671,3,false),"")</f>
        <v/>
      </c>
      <c r="E640" s="22" t="str">
        <f t="array" ref="E640">iferror(VLOOKUP(INDIRECT(ADDRESS(ROW()+1,COLUMN(), 4)),Dex!$A$2:$C671,3,false),"")</f>
        <v/>
      </c>
      <c r="F640" s="22" t="str">
        <f t="array" ref="F640">iferror(VLOOKUP(INDIRECT(ADDRESS(ROW()+1,COLUMN(), 4)),Dex!$A$2:$C671,3,false),"")</f>
        <v/>
      </c>
      <c r="G640" s="22" t="str">
        <f t="array" ref="G640">iferror(VLOOKUP(INDIRECT(ADDRESS(ROW()+1,COLUMN(), 4)),Dex!$A$2:$C671,3,false),"")</f>
        <v/>
      </c>
      <c r="H640" s="23" t="str">
        <f t="array" ref="H640">iferror(VLOOKUP("TRAINER_PIC_Gentleman",Sprites!$A$1:$B671,2,false),"")</f>
        <v/>
      </c>
      <c r="I640" s="24"/>
    </row>
    <row r="641">
      <c r="A641" s="25"/>
      <c r="B641" s="26" t="s">
        <v>389</v>
      </c>
      <c r="C641" s="26" t="s">
        <v>2978</v>
      </c>
      <c r="D641" s="26" t="s">
        <v>1445</v>
      </c>
      <c r="E641" s="26" t="s">
        <v>1923</v>
      </c>
      <c r="F641" s="26" t="s">
        <v>988</v>
      </c>
      <c r="G641" s="26" t="s">
        <v>2102</v>
      </c>
      <c r="H641" s="27"/>
    </row>
    <row r="642">
      <c r="A642" s="10" t="s">
        <v>199</v>
      </c>
      <c r="B642" s="22">
        <v>86.0</v>
      </c>
      <c r="C642" s="22">
        <v>86.0</v>
      </c>
      <c r="D642" s="22">
        <v>87.0</v>
      </c>
      <c r="E642" s="22">
        <v>87.0</v>
      </c>
      <c r="F642" s="22">
        <v>86.0</v>
      </c>
      <c r="G642" s="22">
        <v>86.0</v>
      </c>
      <c r="H642" s="28"/>
    </row>
    <row r="643">
      <c r="A643" s="10" t="s">
        <v>201</v>
      </c>
      <c r="B643" s="29" t="s">
        <v>451</v>
      </c>
      <c r="C643" s="29" t="s">
        <v>1456</v>
      </c>
      <c r="D643" s="29" t="s">
        <v>2552</v>
      </c>
      <c r="E643" s="29" t="s">
        <v>2338</v>
      </c>
      <c r="F643" s="29" t="s">
        <v>2338</v>
      </c>
      <c r="G643" s="29" t="s">
        <v>2338</v>
      </c>
      <c r="H643" s="27"/>
    </row>
    <row r="644">
      <c r="A644" s="10" t="s">
        <v>209</v>
      </c>
      <c r="B644" s="22" t="s">
        <v>911</v>
      </c>
      <c r="C644" s="22" t="s">
        <v>2361</v>
      </c>
      <c r="D644" s="22" t="s">
        <v>2553</v>
      </c>
      <c r="E644" s="22" t="s">
        <v>1642</v>
      </c>
      <c r="F644" s="22" t="s">
        <v>1763</v>
      </c>
      <c r="G644" s="22" t="s">
        <v>2325</v>
      </c>
      <c r="H644" s="27"/>
    </row>
    <row r="645">
      <c r="A645" s="10" t="s">
        <v>215</v>
      </c>
      <c r="B645" s="29" t="s">
        <v>906</v>
      </c>
      <c r="C645" s="29" t="s">
        <v>419</v>
      </c>
      <c r="D645" s="29" t="s">
        <v>419</v>
      </c>
      <c r="E645" s="29" t="s">
        <v>419</v>
      </c>
      <c r="F645" s="29" t="s">
        <v>1346</v>
      </c>
      <c r="G645" s="29" t="s">
        <v>419</v>
      </c>
      <c r="H645" s="27"/>
    </row>
    <row r="646">
      <c r="A646" s="15" t="s">
        <v>224</v>
      </c>
      <c r="B646" s="22" t="s">
        <v>1542</v>
      </c>
      <c r="C646" s="22" t="s">
        <v>2660</v>
      </c>
      <c r="D646" s="22" t="s">
        <v>2665</v>
      </c>
      <c r="E646" s="22" t="s">
        <v>355</v>
      </c>
      <c r="F646" s="22" t="s">
        <v>815</v>
      </c>
      <c r="G646" s="22" t="s">
        <v>3264</v>
      </c>
      <c r="H646" s="27"/>
    </row>
    <row r="647">
      <c r="A647" s="30"/>
      <c r="B647" s="22" t="s">
        <v>1040</v>
      </c>
      <c r="C647" s="22" t="s">
        <v>2665</v>
      </c>
      <c r="D647" s="22" t="s">
        <v>3034</v>
      </c>
      <c r="E647" s="22" t="s">
        <v>3192</v>
      </c>
      <c r="F647" s="22" t="s">
        <v>1069</v>
      </c>
      <c r="G647" s="22" t="s">
        <v>589</v>
      </c>
      <c r="H647" s="27"/>
    </row>
    <row r="648">
      <c r="A648" s="30"/>
      <c r="B648" s="22" t="s">
        <v>1037</v>
      </c>
      <c r="C648" s="22" t="s">
        <v>582</v>
      </c>
      <c r="D648" s="22" t="s">
        <v>236</v>
      </c>
      <c r="E648" s="22" t="s">
        <v>246</v>
      </c>
      <c r="F648" s="22" t="s">
        <v>2583</v>
      </c>
      <c r="G648" s="22" t="s">
        <v>815</v>
      </c>
      <c r="H648" s="27"/>
    </row>
    <row r="649">
      <c r="A649" s="25"/>
      <c r="B649" s="22" t="s">
        <v>1043</v>
      </c>
      <c r="C649" s="22" t="s">
        <v>229</v>
      </c>
      <c r="D649" s="22" t="s">
        <v>253</v>
      </c>
      <c r="E649" s="22" t="s">
        <v>1048</v>
      </c>
      <c r="F649" s="22" t="s">
        <v>552</v>
      </c>
      <c r="G649" s="22" t="s">
        <v>1047</v>
      </c>
      <c r="H649" s="31"/>
      <c r="I649" s="32"/>
    </row>
    <row r="650">
      <c r="A650" s="10" t="s">
        <v>5</v>
      </c>
      <c r="B650" s="11" t="s">
        <v>3265</v>
      </c>
      <c r="C650" s="9"/>
      <c r="D650" s="9"/>
      <c r="E650" s="9"/>
      <c r="F650" s="9"/>
      <c r="G650" s="9"/>
      <c r="H650" s="9"/>
      <c r="I650" s="14"/>
    </row>
    <row r="651" ht="60.0" customHeight="1">
      <c r="A651" s="15" t="s">
        <v>16</v>
      </c>
      <c r="B651" s="22" t="str">
        <f t="array" ref="B651">iferror(VLOOKUP(INDIRECT(ADDRESS(ROW()+1,COLUMN(), 4)),Dex!$A$2:$C671,3,false),"")</f>
        <v/>
      </c>
      <c r="C651" s="22" t="str">
        <f t="array" ref="C651">iferror(VLOOKUP(INDIRECT(ADDRESS(ROW()+1,COLUMN(), 4)),Dex!$A$2:$C671,3,false),"")</f>
        <v/>
      </c>
      <c r="D651" s="22" t="str">
        <f t="array" ref="D651">iferror(VLOOKUP(INDIRECT(ADDRESS(ROW()+1,COLUMN(), 4)),Dex!$A$2:$C671,3,false),"")</f>
        <v/>
      </c>
      <c r="E651" s="22" t="str">
        <f t="array" ref="E651">iferror(VLOOKUP(INDIRECT(ADDRESS(ROW()+1,COLUMN(), 4)),Dex!$A$2:$C671,3,false),"")</f>
        <v/>
      </c>
      <c r="F651" s="22" t="str">
        <f t="array" ref="F651">iferror(VLOOKUP(INDIRECT(ADDRESS(ROW()+1,COLUMN(), 4)),Dex!$A$2:$C671,3,false),"")</f>
        <v/>
      </c>
      <c r="G651" s="22" t="str">
        <f t="array" ref="G651">iferror(VLOOKUP(INDIRECT(ADDRESS(ROW()+1,COLUMN(), 4)),Dex!$A$2:$C671,3,false),"")</f>
        <v/>
      </c>
      <c r="H651" s="23" t="str">
        <f t="array" ref="H651">iferror(VLOOKUP("TRAINER_PIC_Leader_Liza",Sprites!$A$1:$B671,2,false),"")</f>
        <v/>
      </c>
      <c r="I651" s="24"/>
    </row>
    <row r="652">
      <c r="A652" s="25"/>
      <c r="B652" s="26" t="s">
        <v>1257</v>
      </c>
      <c r="C652" s="26" t="s">
        <v>2056</v>
      </c>
      <c r="D652" s="26" t="s">
        <v>913</v>
      </c>
      <c r="E652" s="26" t="s">
        <v>1754</v>
      </c>
      <c r="F652" s="26"/>
      <c r="G652" s="26"/>
      <c r="H652" s="27"/>
    </row>
    <row r="653">
      <c r="A653" s="10" t="s">
        <v>199</v>
      </c>
      <c r="B653" s="22">
        <v>86.0</v>
      </c>
      <c r="C653" s="22">
        <v>87.0</v>
      </c>
      <c r="D653" s="22">
        <v>86.0</v>
      </c>
      <c r="E653" s="22">
        <v>89.0</v>
      </c>
      <c r="F653" s="22"/>
      <c r="G653" s="22"/>
      <c r="H653" s="28"/>
    </row>
    <row r="654">
      <c r="A654" s="10" t="s">
        <v>201</v>
      </c>
      <c r="B654" s="29" t="s">
        <v>2939</v>
      </c>
      <c r="C654" s="29" t="s">
        <v>1926</v>
      </c>
      <c r="D654" s="29" t="s">
        <v>545</v>
      </c>
      <c r="E654" s="29" t="s">
        <v>3270</v>
      </c>
      <c r="F654" s="29"/>
      <c r="G654" s="29"/>
      <c r="H654" s="27"/>
    </row>
    <row r="655">
      <c r="A655" s="10" t="s">
        <v>209</v>
      </c>
      <c r="B655" s="22" t="s">
        <v>2909</v>
      </c>
      <c r="C655" s="22" t="s">
        <v>1523</v>
      </c>
      <c r="D655" s="22" t="s">
        <v>911</v>
      </c>
      <c r="E655" s="22" t="s">
        <v>2709</v>
      </c>
      <c r="F655" s="22"/>
      <c r="G655" s="22"/>
      <c r="H655" s="27"/>
    </row>
    <row r="656">
      <c r="A656" s="10" t="s">
        <v>215</v>
      </c>
      <c r="B656" s="29" t="s">
        <v>1868</v>
      </c>
      <c r="C656" s="29" t="s">
        <v>231</v>
      </c>
      <c r="D656" s="29" t="s">
        <v>218</v>
      </c>
      <c r="E656" s="29" t="s">
        <v>231</v>
      </c>
      <c r="F656" s="29"/>
      <c r="G656" s="29"/>
      <c r="H656" s="27"/>
    </row>
    <row r="657">
      <c r="A657" s="15" t="s">
        <v>224</v>
      </c>
      <c r="B657" s="22" t="s">
        <v>2975</v>
      </c>
      <c r="C657" s="22" t="s">
        <v>2327</v>
      </c>
      <c r="D657" s="22" t="s">
        <v>473</v>
      </c>
      <c r="E657" s="22" t="s">
        <v>3010</v>
      </c>
      <c r="F657" s="22"/>
      <c r="G657" s="22"/>
      <c r="H657" s="27"/>
    </row>
    <row r="658">
      <c r="A658" s="30"/>
      <c r="B658" s="22" t="s">
        <v>473</v>
      </c>
      <c r="C658" s="22" t="s">
        <v>1752</v>
      </c>
      <c r="D658" s="22" t="s">
        <v>2793</v>
      </c>
      <c r="E658" s="22" t="s">
        <v>2602</v>
      </c>
      <c r="F658" s="22"/>
      <c r="G658" s="22"/>
      <c r="H658" s="27"/>
    </row>
    <row r="659">
      <c r="A659" s="30"/>
      <c r="B659" s="22" t="s">
        <v>920</v>
      </c>
      <c r="C659" s="22" t="s">
        <v>1999</v>
      </c>
      <c r="D659" s="22" t="s">
        <v>477</v>
      </c>
      <c r="E659" s="22" t="s">
        <v>2513</v>
      </c>
      <c r="F659" s="22"/>
      <c r="G659" s="22"/>
      <c r="H659" s="27"/>
    </row>
    <row r="660">
      <c r="A660" s="25"/>
      <c r="B660" s="22" t="s">
        <v>236</v>
      </c>
      <c r="C660" s="22" t="s">
        <v>1352</v>
      </c>
      <c r="D660" s="22" t="s">
        <v>2560</v>
      </c>
      <c r="E660" s="22" t="s">
        <v>1460</v>
      </c>
      <c r="F660" s="22"/>
      <c r="G660" s="22"/>
      <c r="H660" s="31"/>
      <c r="I660" s="32"/>
    </row>
    <row r="661">
      <c r="A661" s="10" t="s">
        <v>5</v>
      </c>
      <c r="B661" s="11" t="s">
        <v>3272</v>
      </c>
      <c r="C661" s="9"/>
      <c r="D661" s="9"/>
      <c r="E661" s="9"/>
      <c r="F661" s="9"/>
      <c r="G661" s="9"/>
      <c r="H661" s="9"/>
      <c r="I661" s="14"/>
    </row>
    <row r="662" ht="60.0" customHeight="1">
      <c r="A662" s="15" t="s">
        <v>16</v>
      </c>
      <c r="B662" s="22" t="str">
        <f t="array" ref="B662">iferror(VLOOKUP(INDIRECT(ADDRESS(ROW()+1,COLUMN(), 4)),Dex!$A$2:$C671,3,false),"")</f>
        <v/>
      </c>
      <c r="C662" s="22" t="str">
        <f t="array" ref="C662">iferror(VLOOKUP(INDIRECT(ADDRESS(ROW()+1,COLUMN(), 4)),Dex!$A$2:$C671,3,false),"")</f>
        <v/>
      </c>
      <c r="D662" s="22" t="str">
        <f t="array" ref="D662">iferror(VLOOKUP(INDIRECT(ADDRESS(ROW()+1,COLUMN(), 4)),Dex!$A$2:$C671,3,false),"")</f>
        <v/>
      </c>
      <c r="E662" s="22" t="str">
        <f t="array" ref="E662">iferror(VLOOKUP(INDIRECT(ADDRESS(ROW()+1,COLUMN(), 4)),Dex!$A$2:$C671,3,false),"")</f>
        <v/>
      </c>
      <c r="F662" s="22" t="str">
        <f t="array" ref="F662">iferror(VLOOKUP(INDIRECT(ADDRESS(ROW()+1,COLUMN(), 4)),Dex!$A$2:$C671,3,false),"")</f>
        <v/>
      </c>
      <c r="G662" s="22" t="str">
        <f t="array" ref="G662">iferror(VLOOKUP(INDIRECT(ADDRESS(ROW()+1,COLUMN(), 4)),Dex!$A$2:$C671,3,false),"")</f>
        <v/>
      </c>
      <c r="H662" s="23" t="str">
        <f t="array" ref="H662">iferror(VLOOKUP("TRAINER_PIC_Leader_Tate",Sprites!$A$1:$B671,2,false),"")</f>
        <v/>
      </c>
      <c r="I662" s="24"/>
    </row>
    <row r="663">
      <c r="A663" s="25"/>
      <c r="B663" s="26" t="s">
        <v>1680</v>
      </c>
      <c r="C663" s="26" t="s">
        <v>1876</v>
      </c>
      <c r="D663" s="26" t="s">
        <v>919</v>
      </c>
      <c r="E663" s="26" t="s">
        <v>2176</v>
      </c>
      <c r="F663" s="26"/>
      <c r="G663" s="26"/>
      <c r="H663" s="27"/>
    </row>
    <row r="664">
      <c r="A664" s="10" t="s">
        <v>199</v>
      </c>
      <c r="B664" s="22">
        <v>86.0</v>
      </c>
      <c r="C664" s="22">
        <v>86.0</v>
      </c>
      <c r="D664" s="22">
        <v>86.0</v>
      </c>
      <c r="E664" s="22">
        <v>87.0</v>
      </c>
      <c r="F664" s="22"/>
      <c r="G664" s="22"/>
      <c r="H664" s="27"/>
    </row>
    <row r="665">
      <c r="A665" s="10" t="s">
        <v>201</v>
      </c>
      <c r="B665" s="29" t="s">
        <v>408</v>
      </c>
      <c r="C665" s="29" t="s">
        <v>2032</v>
      </c>
      <c r="D665" s="29" t="s">
        <v>1342</v>
      </c>
      <c r="E665" s="29" t="s">
        <v>645</v>
      </c>
      <c r="F665" s="29"/>
      <c r="G665" s="29"/>
      <c r="H665" s="27"/>
    </row>
    <row r="666">
      <c r="A666" s="10" t="s">
        <v>209</v>
      </c>
      <c r="B666" s="22" t="s">
        <v>3247</v>
      </c>
      <c r="C666" s="22" t="s">
        <v>221</v>
      </c>
      <c r="D666" s="22" t="s">
        <v>2508</v>
      </c>
      <c r="E666" s="22" t="s">
        <v>785</v>
      </c>
      <c r="F666" s="22"/>
      <c r="G666" s="22"/>
      <c r="H666" s="27"/>
    </row>
    <row r="667">
      <c r="A667" s="10" t="s">
        <v>215</v>
      </c>
      <c r="B667" s="29" t="s">
        <v>906</v>
      </c>
      <c r="C667" s="29" t="s">
        <v>542</v>
      </c>
      <c r="D667" s="29" t="s">
        <v>419</v>
      </c>
      <c r="E667" s="29" t="s">
        <v>231</v>
      </c>
      <c r="F667" s="29"/>
      <c r="G667" s="29"/>
      <c r="H667" s="27"/>
    </row>
    <row r="668">
      <c r="A668" s="15" t="s">
        <v>224</v>
      </c>
      <c r="B668" s="22" t="s">
        <v>2548</v>
      </c>
      <c r="C668" s="22" t="s">
        <v>241</v>
      </c>
      <c r="D668" s="22" t="s">
        <v>1037</v>
      </c>
      <c r="E668" s="22" t="s">
        <v>1039</v>
      </c>
      <c r="F668" s="22"/>
      <c r="G668" s="22"/>
      <c r="H668" s="27"/>
    </row>
    <row r="669">
      <c r="A669" s="30"/>
      <c r="B669" s="22" t="s">
        <v>1039</v>
      </c>
      <c r="C669" s="22" t="s">
        <v>799</v>
      </c>
      <c r="D669" s="22" t="s">
        <v>1040</v>
      </c>
      <c r="E669" s="22" t="s">
        <v>471</v>
      </c>
      <c r="F669" s="22"/>
      <c r="G669" s="22"/>
      <c r="H669" s="27"/>
    </row>
    <row r="670">
      <c r="A670" s="30"/>
      <c r="B670" s="22" t="s">
        <v>428</v>
      </c>
      <c r="C670" s="22" t="s">
        <v>477</v>
      </c>
      <c r="D670" s="22" t="s">
        <v>2781</v>
      </c>
      <c r="E670" s="22" t="s">
        <v>463</v>
      </c>
      <c r="F670" s="22"/>
      <c r="G670" s="22"/>
      <c r="H670" s="27"/>
    </row>
    <row r="671">
      <c r="A671" s="25"/>
      <c r="B671" s="22" t="s">
        <v>1036</v>
      </c>
      <c r="C671" s="22" t="s">
        <v>1227</v>
      </c>
      <c r="D671" s="22" t="s">
        <v>1158</v>
      </c>
      <c r="E671" s="22" t="s">
        <v>2773</v>
      </c>
      <c r="F671" s="22"/>
      <c r="G671" s="22"/>
      <c r="H671" s="31"/>
      <c r="I671" s="32"/>
    </row>
  </sheetData>
  <mergeCells count="251">
    <mergeCell ref="A43:A46"/>
    <mergeCell ref="A48:A49"/>
    <mergeCell ref="A54:A57"/>
    <mergeCell ref="A59:A60"/>
    <mergeCell ref="A65:A68"/>
    <mergeCell ref="A71:A72"/>
    <mergeCell ref="A77:A80"/>
    <mergeCell ref="A183:A184"/>
    <mergeCell ref="A194:A195"/>
    <mergeCell ref="A205:A206"/>
    <mergeCell ref="A110:A113"/>
    <mergeCell ref="A116:A117"/>
    <mergeCell ref="A127:A128"/>
    <mergeCell ref="A138:A139"/>
    <mergeCell ref="A150:A151"/>
    <mergeCell ref="A161:A162"/>
    <mergeCell ref="A172:A173"/>
    <mergeCell ref="A82:A83"/>
    <mergeCell ref="A88:A91"/>
    <mergeCell ref="B92:H92"/>
    <mergeCell ref="A93:A94"/>
    <mergeCell ref="A99:A102"/>
    <mergeCell ref="B103:H103"/>
    <mergeCell ref="A104:A105"/>
    <mergeCell ref="A114:I114"/>
    <mergeCell ref="B115:H115"/>
    <mergeCell ref="B126:H126"/>
    <mergeCell ref="H161:I170"/>
    <mergeCell ref="H172:I181"/>
    <mergeCell ref="H183:I192"/>
    <mergeCell ref="H194:I203"/>
    <mergeCell ref="H205:I214"/>
    <mergeCell ref="H216:I225"/>
    <mergeCell ref="H227:I236"/>
    <mergeCell ref="H238:I247"/>
    <mergeCell ref="H249:I258"/>
    <mergeCell ref="H260:I269"/>
    <mergeCell ref="H271:I280"/>
    <mergeCell ref="H282:I291"/>
    <mergeCell ref="H293:I302"/>
    <mergeCell ref="H304:I313"/>
    <mergeCell ref="H315:I324"/>
    <mergeCell ref="H327:I336"/>
    <mergeCell ref="H338:I347"/>
    <mergeCell ref="H349:I358"/>
    <mergeCell ref="H360:I369"/>
    <mergeCell ref="H371:I380"/>
    <mergeCell ref="H382:I391"/>
    <mergeCell ref="H393:I402"/>
    <mergeCell ref="H404:I413"/>
    <mergeCell ref="H415:I424"/>
    <mergeCell ref="H426:I435"/>
    <mergeCell ref="H437:I446"/>
    <mergeCell ref="H448:I457"/>
    <mergeCell ref="H460:I469"/>
    <mergeCell ref="H471:I480"/>
    <mergeCell ref="H482:I491"/>
    <mergeCell ref="H493:I502"/>
    <mergeCell ref="H504:I513"/>
    <mergeCell ref="H515:I524"/>
    <mergeCell ref="H526:I535"/>
    <mergeCell ref="H538:I547"/>
    <mergeCell ref="H629:I638"/>
    <mergeCell ref="H640:I649"/>
    <mergeCell ref="H651:I660"/>
    <mergeCell ref="H662:I671"/>
    <mergeCell ref="H549:I558"/>
    <mergeCell ref="H561:I570"/>
    <mergeCell ref="H573:I582"/>
    <mergeCell ref="H585:I594"/>
    <mergeCell ref="H596:I605"/>
    <mergeCell ref="H607:I616"/>
    <mergeCell ref="H618:I627"/>
    <mergeCell ref="B204:H204"/>
    <mergeCell ref="B215:H215"/>
    <mergeCell ref="A222:A225"/>
    <mergeCell ref="B226:H226"/>
    <mergeCell ref="A233:A236"/>
    <mergeCell ref="B237:H237"/>
    <mergeCell ref="A244:A247"/>
    <mergeCell ref="B248:H248"/>
    <mergeCell ref="B259:H259"/>
    <mergeCell ref="B270:H270"/>
    <mergeCell ref="B281:H281"/>
    <mergeCell ref="B292:H292"/>
    <mergeCell ref="B303:H303"/>
    <mergeCell ref="B314:H314"/>
    <mergeCell ref="B392:H392"/>
    <mergeCell ref="B403:H403"/>
    <mergeCell ref="B414:H414"/>
    <mergeCell ref="B425:H425"/>
    <mergeCell ref="B436:H436"/>
    <mergeCell ref="B447:H447"/>
    <mergeCell ref="A458:I458"/>
    <mergeCell ref="B459:H459"/>
    <mergeCell ref="B470:H470"/>
    <mergeCell ref="B481:H481"/>
    <mergeCell ref="B492:H492"/>
    <mergeCell ref="B503:H503"/>
    <mergeCell ref="B514:H514"/>
    <mergeCell ref="B525:H525"/>
    <mergeCell ref="A536:I536"/>
    <mergeCell ref="B537:H537"/>
    <mergeCell ref="B548:H548"/>
    <mergeCell ref="A559:I559"/>
    <mergeCell ref="B560:H560"/>
    <mergeCell ref="A571:I571"/>
    <mergeCell ref="B572:H572"/>
    <mergeCell ref="B650:H650"/>
    <mergeCell ref="B661:H661"/>
    <mergeCell ref="A583:I583"/>
    <mergeCell ref="B584:H584"/>
    <mergeCell ref="B595:H595"/>
    <mergeCell ref="B606:H606"/>
    <mergeCell ref="B617:H617"/>
    <mergeCell ref="B628:H628"/>
    <mergeCell ref="B639:H639"/>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H4:I13"/>
    <mergeCell ref="H15:I24"/>
    <mergeCell ref="H26:I35"/>
    <mergeCell ref="H37:I46"/>
    <mergeCell ref="H48:I57"/>
    <mergeCell ref="H59:I68"/>
    <mergeCell ref="H71:I80"/>
    <mergeCell ref="H82:I91"/>
    <mergeCell ref="H93:I102"/>
    <mergeCell ref="H104:I113"/>
    <mergeCell ref="H116:I125"/>
    <mergeCell ref="H127:I136"/>
    <mergeCell ref="H138:I147"/>
    <mergeCell ref="H150:I159"/>
    <mergeCell ref="B137:H137"/>
    <mergeCell ref="A148:I148"/>
    <mergeCell ref="B149:H149"/>
    <mergeCell ref="B160:H160"/>
    <mergeCell ref="B171:H171"/>
    <mergeCell ref="B182:H182"/>
    <mergeCell ref="B193:H193"/>
    <mergeCell ref="A325:I325"/>
    <mergeCell ref="B326:H326"/>
    <mergeCell ref="B337:H337"/>
    <mergeCell ref="B348:H348"/>
    <mergeCell ref="B359:H359"/>
    <mergeCell ref="B370:H370"/>
    <mergeCell ref="B381:H381"/>
    <mergeCell ref="A454:A457"/>
    <mergeCell ref="A460:A461"/>
    <mergeCell ref="A466:A469"/>
    <mergeCell ref="A471:A472"/>
    <mergeCell ref="A477:A480"/>
    <mergeCell ref="A482:A483"/>
    <mergeCell ref="A488:A491"/>
    <mergeCell ref="A493:A494"/>
    <mergeCell ref="A499:A502"/>
    <mergeCell ref="A504:A505"/>
    <mergeCell ref="A510:A513"/>
    <mergeCell ref="A515:A516"/>
    <mergeCell ref="A521:A524"/>
    <mergeCell ref="A526:A527"/>
    <mergeCell ref="A532:A535"/>
    <mergeCell ref="A538:A539"/>
    <mergeCell ref="A544:A547"/>
    <mergeCell ref="A549:A550"/>
    <mergeCell ref="A555:A558"/>
    <mergeCell ref="A561:A562"/>
    <mergeCell ref="A567:A570"/>
    <mergeCell ref="A573:A574"/>
    <mergeCell ref="A579:A582"/>
    <mergeCell ref="A585:A586"/>
    <mergeCell ref="A591:A594"/>
    <mergeCell ref="A596:A597"/>
    <mergeCell ref="A602:A605"/>
    <mergeCell ref="A607:A608"/>
    <mergeCell ref="A651:A652"/>
    <mergeCell ref="A657:A660"/>
    <mergeCell ref="A662:A663"/>
    <mergeCell ref="A668:A671"/>
    <mergeCell ref="A613:A616"/>
    <mergeCell ref="A618:A619"/>
    <mergeCell ref="A624:A627"/>
    <mergeCell ref="A629:A630"/>
    <mergeCell ref="A635:A638"/>
    <mergeCell ref="A640:A641"/>
    <mergeCell ref="A646:A649"/>
    <mergeCell ref="A122:A125"/>
    <mergeCell ref="A133:A136"/>
    <mergeCell ref="A144:A147"/>
    <mergeCell ref="A156:A159"/>
    <mergeCell ref="A167:A170"/>
    <mergeCell ref="A178:A181"/>
    <mergeCell ref="A189:A192"/>
    <mergeCell ref="A200:A203"/>
    <mergeCell ref="A211:A214"/>
    <mergeCell ref="A216:A217"/>
    <mergeCell ref="A227:A228"/>
    <mergeCell ref="A238:A239"/>
    <mergeCell ref="A249:A250"/>
    <mergeCell ref="A255:A258"/>
    <mergeCell ref="A260:A261"/>
    <mergeCell ref="A266:A269"/>
    <mergeCell ref="A271:A272"/>
    <mergeCell ref="A277:A280"/>
    <mergeCell ref="A282:A283"/>
    <mergeCell ref="A288:A291"/>
    <mergeCell ref="A293:A294"/>
    <mergeCell ref="A299:A302"/>
    <mergeCell ref="A304:A305"/>
    <mergeCell ref="A310:A313"/>
    <mergeCell ref="A315:A316"/>
    <mergeCell ref="A321:A324"/>
    <mergeCell ref="A327:A328"/>
    <mergeCell ref="A333:A336"/>
    <mergeCell ref="A338:A339"/>
    <mergeCell ref="A344:A347"/>
    <mergeCell ref="A349:A350"/>
    <mergeCell ref="A355:A358"/>
    <mergeCell ref="A360:A361"/>
    <mergeCell ref="A366:A369"/>
    <mergeCell ref="A371:A372"/>
    <mergeCell ref="A377:A380"/>
    <mergeCell ref="A382:A383"/>
    <mergeCell ref="A388:A391"/>
    <mergeCell ref="A393:A394"/>
    <mergeCell ref="A399:A402"/>
    <mergeCell ref="A404:A405"/>
    <mergeCell ref="A410:A413"/>
    <mergeCell ref="A415:A416"/>
    <mergeCell ref="A421:A424"/>
    <mergeCell ref="A426:A427"/>
    <mergeCell ref="A432:A435"/>
    <mergeCell ref="A437:A438"/>
    <mergeCell ref="A443:A446"/>
    <mergeCell ref="A448:A449"/>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1"/>
      <c r="B1" s="49"/>
      <c r="C1" s="32"/>
      <c r="D1" s="32"/>
      <c r="E1" s="32"/>
      <c r="F1" s="32"/>
      <c r="G1" s="32"/>
      <c r="H1" s="25"/>
      <c r="I1" s="5"/>
    </row>
    <row r="2">
      <c r="A2" s="8" t="s">
        <v>2951</v>
      </c>
      <c r="B2" s="9"/>
      <c r="C2" s="9"/>
      <c r="D2" s="9"/>
      <c r="E2" s="9"/>
      <c r="F2" s="9"/>
      <c r="G2" s="9"/>
      <c r="H2" s="9"/>
      <c r="I2" s="34"/>
    </row>
    <row r="3">
      <c r="A3" s="10" t="s">
        <v>5</v>
      </c>
      <c r="B3" s="11" t="s">
        <v>2952</v>
      </c>
      <c r="C3" s="9"/>
      <c r="D3" s="9"/>
      <c r="E3" s="9"/>
      <c r="F3" s="9"/>
      <c r="G3" s="9"/>
      <c r="H3" s="9"/>
      <c r="I3" s="13"/>
    </row>
    <row r="4" ht="60.0" customHeight="1">
      <c r="A4" s="15" t="s">
        <v>16</v>
      </c>
      <c r="B4" s="22" t="str">
        <f t="array" ref="B4">iferror(VLOOKUP(INDIRECT(ADDRESS(ROW()+1,COLUMN(), 4)),Dex!$A$2:$C473,3,false),"")</f>
        <v/>
      </c>
      <c r="C4" s="22" t="str">
        <f t="array" ref="C4">iferror(VLOOKUP(INDIRECT(ADDRESS(ROW()+1,COLUMN(), 4)),Dex!$A$2:$C473,3,false),"")</f>
        <v/>
      </c>
      <c r="D4" s="22" t="str">
        <f t="array" ref="D4">iferror(VLOOKUP(INDIRECT(ADDRESS(ROW()+1,COLUMN(), 4)),Dex!$A$2:$C473,3,false),"")</f>
        <v/>
      </c>
      <c r="E4" s="22" t="str">
        <f t="array" ref="E4">iferror(VLOOKUP(INDIRECT(ADDRESS(ROW()+1,COLUMN(), 4)),Dex!$A$2:$C473,3,false),"")</f>
        <v/>
      </c>
      <c r="F4" s="22" t="str">
        <f t="array" ref="F4">iferror(VLOOKUP(INDIRECT(ADDRESS(ROW()+1,COLUMN(), 4)),Dex!$A$2:$C473,3,false),"")</f>
        <v/>
      </c>
      <c r="G4" s="22" t="str">
        <f t="array" ref="G4">iferror(VLOOKUP(INDIRECT(ADDRESS(ROW()+1,COLUMN(), 4)),Dex!$A$2:$C473,3,false),"")</f>
        <v/>
      </c>
      <c r="H4" s="23" t="str">
        <f t="array" ref="H4">iferror(VLOOKUP("TRAINER_PIC_Magma_Grunt_M",Sprites!$A$1:$B473,2,false),"")</f>
        <v/>
      </c>
      <c r="I4" s="24"/>
    </row>
    <row r="5">
      <c r="A5" s="25"/>
      <c r="B5" s="26" t="s">
        <v>2143</v>
      </c>
      <c r="C5" s="26" t="s">
        <v>676</v>
      </c>
      <c r="D5" s="26" t="s">
        <v>1073</v>
      </c>
      <c r="E5" s="26" t="s">
        <v>1515</v>
      </c>
      <c r="F5" s="26" t="s">
        <v>1777</v>
      </c>
      <c r="G5" s="26" t="s">
        <v>663</v>
      </c>
      <c r="H5" s="27"/>
    </row>
    <row r="6">
      <c r="A6" s="10" t="s">
        <v>199</v>
      </c>
      <c r="B6" s="22">
        <v>87.0</v>
      </c>
      <c r="C6" s="22">
        <v>88.0</v>
      </c>
      <c r="D6" s="22">
        <v>87.0</v>
      </c>
      <c r="E6" s="22">
        <v>87.0</v>
      </c>
      <c r="F6" s="22">
        <v>87.0</v>
      </c>
      <c r="G6" s="22">
        <v>87.0</v>
      </c>
      <c r="H6" s="27"/>
    </row>
    <row r="7">
      <c r="A7" s="10" t="s">
        <v>201</v>
      </c>
      <c r="B7" s="29" t="s">
        <v>777</v>
      </c>
      <c r="C7" s="29" t="s">
        <v>1332</v>
      </c>
      <c r="D7" s="29" t="s">
        <v>1022</v>
      </c>
      <c r="E7" s="29" t="s">
        <v>2351</v>
      </c>
      <c r="F7" s="29" t="s">
        <v>1518</v>
      </c>
      <c r="G7" s="29" t="s">
        <v>779</v>
      </c>
      <c r="H7" s="27"/>
    </row>
    <row r="8">
      <c r="A8" s="10" t="s">
        <v>209</v>
      </c>
      <c r="B8" s="22" t="s">
        <v>2314</v>
      </c>
      <c r="C8" s="22" t="s">
        <v>2325</v>
      </c>
      <c r="D8" s="22" t="s">
        <v>538</v>
      </c>
      <c r="E8" s="22" t="s">
        <v>679</v>
      </c>
      <c r="F8" s="22" t="s">
        <v>2035</v>
      </c>
      <c r="G8" s="22" t="s">
        <v>912</v>
      </c>
      <c r="H8" s="27"/>
    </row>
    <row r="9">
      <c r="A9" s="10" t="s">
        <v>215</v>
      </c>
      <c r="B9" s="29" t="s">
        <v>685</v>
      </c>
      <c r="C9" s="29" t="s">
        <v>220</v>
      </c>
      <c r="D9" s="29" t="s">
        <v>685</v>
      </c>
      <c r="E9" s="29" t="s">
        <v>222</v>
      </c>
      <c r="F9" s="29" t="s">
        <v>419</v>
      </c>
      <c r="G9" s="29" t="s">
        <v>231</v>
      </c>
      <c r="H9" s="27"/>
    </row>
    <row r="10">
      <c r="A10" s="15" t="s">
        <v>224</v>
      </c>
      <c r="B10" s="22" t="s">
        <v>361</v>
      </c>
      <c r="C10" s="22" t="s">
        <v>931</v>
      </c>
      <c r="D10" s="22" t="s">
        <v>238</v>
      </c>
      <c r="E10" s="22" t="s">
        <v>697</v>
      </c>
      <c r="F10" s="22" t="s">
        <v>2961</v>
      </c>
      <c r="G10" s="22" t="s">
        <v>2962</v>
      </c>
      <c r="H10" s="27"/>
    </row>
    <row r="11">
      <c r="A11" s="30"/>
      <c r="B11" s="22" t="s">
        <v>570</v>
      </c>
      <c r="C11" s="22" t="s">
        <v>2002</v>
      </c>
      <c r="D11" s="22" t="s">
        <v>469</v>
      </c>
      <c r="E11" s="22" t="s">
        <v>701</v>
      </c>
      <c r="F11" s="22" t="s">
        <v>815</v>
      </c>
      <c r="G11" s="22" t="s">
        <v>1454</v>
      </c>
      <c r="H11" s="27"/>
    </row>
    <row r="12">
      <c r="A12" s="30"/>
      <c r="B12" s="22" t="s">
        <v>1366</v>
      </c>
      <c r="C12" s="22" t="s">
        <v>363</v>
      </c>
      <c r="D12" s="22" t="s">
        <v>474</v>
      </c>
      <c r="E12" s="22" t="s">
        <v>920</v>
      </c>
      <c r="F12" s="22" t="s">
        <v>589</v>
      </c>
      <c r="G12" s="22" t="s">
        <v>2965</v>
      </c>
      <c r="H12" s="27"/>
    </row>
    <row r="13">
      <c r="A13" s="25"/>
      <c r="B13" s="22" t="s">
        <v>2320</v>
      </c>
      <c r="C13" s="22" t="s">
        <v>465</v>
      </c>
      <c r="D13" s="22" t="s">
        <v>1366</v>
      </c>
      <c r="E13" s="22" t="s">
        <v>2370</v>
      </c>
      <c r="F13" s="22" t="s">
        <v>1366</v>
      </c>
      <c r="G13" s="22" t="s">
        <v>2221</v>
      </c>
      <c r="H13" s="31"/>
      <c r="I13" s="32"/>
    </row>
    <row r="14">
      <c r="A14" s="10" t="s">
        <v>5</v>
      </c>
      <c r="B14" s="11" t="s">
        <v>2967</v>
      </c>
      <c r="C14" s="9"/>
      <c r="D14" s="9"/>
      <c r="E14" s="9"/>
      <c r="F14" s="9"/>
      <c r="G14" s="9"/>
      <c r="H14" s="9"/>
      <c r="I14" s="14"/>
    </row>
    <row r="15" ht="60.0" customHeight="1">
      <c r="A15" s="15" t="s">
        <v>16</v>
      </c>
      <c r="B15" s="22" t="str">
        <f t="array" ref="B15">iferror(VLOOKUP(INDIRECT(ADDRESS(ROW()+1,COLUMN(), 4)),Dex!$A$2:$C473,3,false),"")</f>
        <v/>
      </c>
      <c r="C15" s="22" t="str">
        <f t="array" ref="C15">iferror(VLOOKUP(INDIRECT(ADDRESS(ROW()+1,COLUMN(), 4)),Dex!$A$2:$C473,3,false),"")</f>
        <v/>
      </c>
      <c r="D15" s="22" t="str">
        <f t="array" ref="D15">iferror(VLOOKUP(INDIRECT(ADDRESS(ROW()+1,COLUMN(), 4)),Dex!$A$2:$C473,3,false),"")</f>
        <v/>
      </c>
      <c r="E15" s="22" t="str">
        <f t="array" ref="E15">iferror(VLOOKUP(INDIRECT(ADDRESS(ROW()+1,COLUMN(), 4)),Dex!$A$2:$C473,3,false),"")</f>
        <v/>
      </c>
      <c r="F15" s="22" t="str">
        <f t="array" ref="F15">iferror(VLOOKUP(INDIRECT(ADDRESS(ROW()+1,COLUMN(), 4)),Dex!$A$2:$C473,3,false),"")</f>
        <v/>
      </c>
      <c r="G15" s="22" t="str">
        <f t="array" ref="G15">iferror(VLOOKUP(INDIRECT(ADDRESS(ROW()+1,COLUMN(), 4)),Dex!$A$2:$C473,3,false),"")</f>
        <v/>
      </c>
      <c r="H15" s="23" t="str">
        <f t="array" ref="H15">iferror(VLOOKUP("TRAINER_PIC_Magma_Grunt_F",Sprites!$A$1:$B473,2,false),"")</f>
        <v/>
      </c>
      <c r="I15" s="24"/>
    </row>
    <row r="16">
      <c r="A16" s="25"/>
      <c r="B16" s="26" t="s">
        <v>2973</v>
      </c>
      <c r="C16" s="26" t="s">
        <v>1905</v>
      </c>
      <c r="D16" s="26" t="s">
        <v>1202</v>
      </c>
      <c r="E16" s="26" t="s">
        <v>1172</v>
      </c>
      <c r="F16" s="26" t="s">
        <v>1751</v>
      </c>
      <c r="G16" s="26" t="s">
        <v>1160</v>
      </c>
      <c r="H16" s="27"/>
    </row>
    <row r="17">
      <c r="A17" s="10" t="s">
        <v>199</v>
      </c>
      <c r="B17" s="22">
        <v>87.0</v>
      </c>
      <c r="C17" s="22">
        <v>87.0</v>
      </c>
      <c r="D17" s="22">
        <v>87.0</v>
      </c>
      <c r="E17" s="22">
        <v>88.0</v>
      </c>
      <c r="F17" s="22">
        <v>87.0</v>
      </c>
      <c r="G17" s="22">
        <v>89.0</v>
      </c>
      <c r="H17" s="27"/>
    </row>
    <row r="18">
      <c r="A18" s="10" t="s">
        <v>201</v>
      </c>
      <c r="B18" s="29" t="s">
        <v>2351</v>
      </c>
      <c r="C18" s="29" t="s">
        <v>2974</v>
      </c>
      <c r="D18" s="29" t="s">
        <v>1745</v>
      </c>
      <c r="E18" s="29" t="s">
        <v>777</v>
      </c>
      <c r="F18" s="29" t="s">
        <v>2505</v>
      </c>
      <c r="G18" s="29" t="s">
        <v>1213</v>
      </c>
      <c r="H18" s="27"/>
    </row>
    <row r="19">
      <c r="A19" s="10" t="s">
        <v>209</v>
      </c>
      <c r="B19" s="22" t="s">
        <v>2368</v>
      </c>
      <c r="C19" s="22" t="s">
        <v>2095</v>
      </c>
      <c r="D19" s="22" t="s">
        <v>896</v>
      </c>
      <c r="E19" s="22" t="s">
        <v>1123</v>
      </c>
      <c r="F19" s="22" t="s">
        <v>219</v>
      </c>
      <c r="G19" s="22" t="s">
        <v>2438</v>
      </c>
      <c r="H19" s="27"/>
    </row>
    <row r="20">
      <c r="A20" s="10" t="s">
        <v>215</v>
      </c>
      <c r="B20" s="29" t="s">
        <v>419</v>
      </c>
      <c r="C20" s="29" t="s">
        <v>231</v>
      </c>
      <c r="D20" s="29" t="s">
        <v>419</v>
      </c>
      <c r="E20" s="29" t="s">
        <v>220</v>
      </c>
      <c r="F20" s="29" t="s">
        <v>220</v>
      </c>
      <c r="G20" s="29" t="s">
        <v>231</v>
      </c>
      <c r="H20" s="27"/>
    </row>
    <row r="21">
      <c r="A21" s="15" t="s">
        <v>224</v>
      </c>
      <c r="B21" s="22" t="s">
        <v>2771</v>
      </c>
      <c r="C21" s="22" t="s">
        <v>2100</v>
      </c>
      <c r="D21" s="22" t="s">
        <v>1442</v>
      </c>
      <c r="E21" s="22" t="s">
        <v>1352</v>
      </c>
      <c r="F21" s="22" t="s">
        <v>795</v>
      </c>
      <c r="G21" s="22" t="s">
        <v>2439</v>
      </c>
      <c r="H21" s="27"/>
    </row>
    <row r="22">
      <c r="A22" s="30"/>
      <c r="B22" s="22" t="s">
        <v>701</v>
      </c>
      <c r="C22" s="22" t="s">
        <v>1771</v>
      </c>
      <c r="D22" s="22" t="s">
        <v>2115</v>
      </c>
      <c r="E22" s="22" t="s">
        <v>2327</v>
      </c>
      <c r="F22" s="22" t="s">
        <v>477</v>
      </c>
      <c r="G22" s="22" t="s">
        <v>2975</v>
      </c>
      <c r="H22" s="27"/>
    </row>
    <row r="23">
      <c r="A23" s="30"/>
      <c r="B23" s="22" t="s">
        <v>552</v>
      </c>
      <c r="C23" s="22" t="s">
        <v>1169</v>
      </c>
      <c r="D23" s="22" t="s">
        <v>1545</v>
      </c>
      <c r="E23" s="22" t="s">
        <v>2268</v>
      </c>
      <c r="F23" s="22" t="s">
        <v>809</v>
      </c>
      <c r="G23" s="22" t="s">
        <v>796</v>
      </c>
      <c r="H23" s="27"/>
    </row>
    <row r="24">
      <c r="A24" s="25"/>
      <c r="B24" s="22" t="s">
        <v>581</v>
      </c>
      <c r="C24" s="22" t="s">
        <v>2106</v>
      </c>
      <c r="D24" s="22" t="s">
        <v>236</v>
      </c>
      <c r="E24" s="22" t="s">
        <v>793</v>
      </c>
      <c r="F24" s="22" t="s">
        <v>1227</v>
      </c>
      <c r="G24" s="22" t="s">
        <v>2976</v>
      </c>
      <c r="H24" s="31"/>
      <c r="I24" s="32"/>
    </row>
    <row r="25">
      <c r="A25" s="10" t="s">
        <v>5</v>
      </c>
      <c r="B25" s="11" t="s">
        <v>2977</v>
      </c>
      <c r="C25" s="9"/>
      <c r="D25" s="9"/>
      <c r="E25" s="9"/>
      <c r="F25" s="9"/>
      <c r="G25" s="9"/>
      <c r="H25" s="9"/>
      <c r="I25" s="14"/>
    </row>
    <row r="26" ht="60.0" customHeight="1">
      <c r="A26" s="15" t="s">
        <v>16</v>
      </c>
      <c r="B26" s="22" t="str">
        <f t="array" ref="B26">iferror(VLOOKUP(INDIRECT(ADDRESS(ROW()+1,COLUMN(), 4)),Dex!$A$2:$C473,3,false),"")</f>
        <v/>
      </c>
      <c r="C26" s="22" t="str">
        <f t="array" ref="C26">iferror(VLOOKUP(INDIRECT(ADDRESS(ROW()+1,COLUMN(), 4)),Dex!$A$2:$C473,3,false),"")</f>
        <v/>
      </c>
      <c r="D26" s="22" t="str">
        <f t="array" ref="D26">iferror(VLOOKUP(INDIRECT(ADDRESS(ROW()+1,COLUMN(), 4)),Dex!$A$2:$C473,3,false),"")</f>
        <v/>
      </c>
      <c r="E26" s="22" t="str">
        <f t="array" ref="E26">iferror(VLOOKUP(INDIRECT(ADDRESS(ROW()+1,COLUMN(), 4)),Dex!$A$2:$C473,3,false),"")</f>
        <v/>
      </c>
      <c r="F26" s="22" t="str">
        <f t="array" ref="F26">iferror(VLOOKUP(INDIRECT(ADDRESS(ROW()+1,COLUMN(), 4)),Dex!$A$2:$C473,3,false),"")</f>
        <v/>
      </c>
      <c r="G26" s="22" t="str">
        <f t="array" ref="G26">iferror(VLOOKUP(INDIRECT(ADDRESS(ROW()+1,COLUMN(), 4)),Dex!$A$2:$C473,3,false),"")</f>
        <v/>
      </c>
      <c r="H26" s="23" t="str">
        <f t="array" ref="H26">iferror(VLOOKUP("TRAINER_PIC_Magma_Grunt_M",Sprites!$A$1:$B473,2,false),"")</f>
        <v/>
      </c>
      <c r="I26" s="24"/>
    </row>
    <row r="27">
      <c r="A27" s="25"/>
      <c r="B27" s="26" t="s">
        <v>1603</v>
      </c>
      <c r="C27" s="26" t="s">
        <v>1961</v>
      </c>
      <c r="D27" s="26" t="s">
        <v>1182</v>
      </c>
      <c r="E27" s="26" t="s">
        <v>1411</v>
      </c>
      <c r="F27" s="26" t="s">
        <v>2984</v>
      </c>
      <c r="G27" s="26" t="s">
        <v>888</v>
      </c>
      <c r="H27" s="27"/>
    </row>
    <row r="28">
      <c r="A28" s="10" t="s">
        <v>199</v>
      </c>
      <c r="B28" s="22">
        <v>88.0</v>
      </c>
      <c r="C28" s="22" t="s">
        <v>2986</v>
      </c>
      <c r="D28" s="22">
        <v>87.0</v>
      </c>
      <c r="E28" s="22">
        <v>91.0</v>
      </c>
      <c r="F28" s="22">
        <v>88.0</v>
      </c>
      <c r="G28" s="22">
        <v>89.0</v>
      </c>
      <c r="H28" s="27"/>
    </row>
    <row r="29">
      <c r="A29" s="10" t="s">
        <v>201</v>
      </c>
      <c r="B29" s="29" t="s">
        <v>779</v>
      </c>
      <c r="C29" s="29" t="s">
        <v>777</v>
      </c>
      <c r="D29" s="29" t="s">
        <v>2351</v>
      </c>
      <c r="E29" s="29" t="s">
        <v>2032</v>
      </c>
      <c r="F29" s="29" t="s">
        <v>1023</v>
      </c>
      <c r="G29" s="29" t="s">
        <v>2365</v>
      </c>
      <c r="H29" s="27"/>
    </row>
    <row r="30">
      <c r="A30" s="10" t="s">
        <v>209</v>
      </c>
      <c r="B30" s="22" t="s">
        <v>219</v>
      </c>
      <c r="C30" s="22" t="s">
        <v>458</v>
      </c>
      <c r="D30" s="22" t="s">
        <v>1747</v>
      </c>
      <c r="E30" s="22" t="s">
        <v>219</v>
      </c>
      <c r="F30" s="22" t="s">
        <v>2368</v>
      </c>
      <c r="G30" s="22" t="s">
        <v>2473</v>
      </c>
      <c r="H30" s="27"/>
    </row>
    <row r="31">
      <c r="A31" s="10" t="s">
        <v>215</v>
      </c>
      <c r="B31" s="29" t="s">
        <v>220</v>
      </c>
      <c r="C31" s="29" t="s">
        <v>220</v>
      </c>
      <c r="D31" s="29" t="s">
        <v>220</v>
      </c>
      <c r="E31" s="29" t="s">
        <v>904</v>
      </c>
      <c r="F31" s="29" t="s">
        <v>419</v>
      </c>
      <c r="G31" s="29" t="s">
        <v>231</v>
      </c>
      <c r="H31" s="27"/>
    </row>
    <row r="32">
      <c r="A32" s="15" t="s">
        <v>224</v>
      </c>
      <c r="B32" s="22" t="s">
        <v>241</v>
      </c>
      <c r="C32" s="22" t="s">
        <v>2469</v>
      </c>
      <c r="D32" s="22" t="s">
        <v>241</v>
      </c>
      <c r="E32" s="22" t="s">
        <v>567</v>
      </c>
      <c r="F32" s="22" t="s">
        <v>238</v>
      </c>
      <c r="G32" s="22" t="s">
        <v>2565</v>
      </c>
      <c r="H32" s="27"/>
    </row>
    <row r="33">
      <c r="A33" s="30"/>
      <c r="B33" s="22" t="s">
        <v>2327</v>
      </c>
      <c r="C33" s="22" t="s">
        <v>1065</v>
      </c>
      <c r="D33" s="22" t="s">
        <v>1662</v>
      </c>
      <c r="E33" s="22" t="s">
        <v>2987</v>
      </c>
      <c r="F33" s="22" t="s">
        <v>2397</v>
      </c>
      <c r="G33" s="22" t="s">
        <v>1352</v>
      </c>
      <c r="H33" s="27"/>
    </row>
    <row r="34">
      <c r="A34" s="30"/>
      <c r="B34" s="22" t="s">
        <v>477</v>
      </c>
      <c r="C34" s="22" t="s">
        <v>811</v>
      </c>
      <c r="D34" s="22" t="s">
        <v>811</v>
      </c>
      <c r="E34" s="22" t="s">
        <v>361</v>
      </c>
      <c r="F34" s="22" t="s">
        <v>2988</v>
      </c>
      <c r="G34" s="22" t="s">
        <v>2660</v>
      </c>
      <c r="H34" s="27"/>
    </row>
    <row r="35">
      <c r="A35" s="25"/>
      <c r="B35" s="22" t="s">
        <v>1227</v>
      </c>
      <c r="C35" s="22" t="s">
        <v>1043</v>
      </c>
      <c r="D35" s="22" t="s">
        <v>552</v>
      </c>
      <c r="E35" s="22" t="s">
        <v>363</v>
      </c>
      <c r="F35" s="22" t="s">
        <v>1952</v>
      </c>
      <c r="G35" s="22" t="s">
        <v>2773</v>
      </c>
      <c r="H35" s="31"/>
      <c r="I35" s="32"/>
    </row>
    <row r="36">
      <c r="A36" s="10" t="s">
        <v>5</v>
      </c>
      <c r="B36" s="11" t="s">
        <v>2989</v>
      </c>
      <c r="C36" s="9"/>
      <c r="D36" s="9"/>
      <c r="E36" s="9"/>
      <c r="F36" s="9"/>
      <c r="G36" s="9"/>
      <c r="H36" s="9"/>
      <c r="I36" s="13"/>
    </row>
    <row r="37" ht="60.0" customHeight="1">
      <c r="A37" s="15" t="s">
        <v>16</v>
      </c>
      <c r="B37" s="22" t="str">
        <f t="array" ref="B37">iferror(VLOOKUP(INDIRECT(ADDRESS(ROW()+1,COLUMN(), 4)),Dex!$A$2:$C473,3,false),"")</f>
        <v/>
      </c>
      <c r="C37" s="22" t="str">
        <f t="array" ref="C37">iferror(VLOOKUP(INDIRECT(ADDRESS(ROW()+1,COLUMN(), 4)),Dex!$A$2:$C473,3,false),"")</f>
        <v/>
      </c>
      <c r="D37" s="22" t="str">
        <f t="array" ref="D37">iferror(VLOOKUP(INDIRECT(ADDRESS(ROW()+1,COLUMN(), 4)),Dex!$A$2:$C473,3,false),"")</f>
        <v/>
      </c>
      <c r="E37" s="22" t="str">
        <f t="array" ref="E37">iferror(VLOOKUP(INDIRECT(ADDRESS(ROW()+1,COLUMN(), 4)),Dex!$A$2:$C473,3,false),"")</f>
        <v/>
      </c>
      <c r="F37" s="22" t="str">
        <f t="array" ref="F37">iferror(VLOOKUP(INDIRECT(ADDRESS(ROW()+1,COLUMN(), 4)),Dex!$A$2:$C473,3,false),"")</f>
        <v/>
      </c>
      <c r="G37" s="22" t="str">
        <f t="array" ref="G37">iferror(VLOOKUP(INDIRECT(ADDRESS(ROW()+1,COLUMN(), 4)),Dex!$A$2:$C473,3,false),"")</f>
        <v/>
      </c>
      <c r="H37" s="23" t="str">
        <f t="array" ref="H37">iferror(VLOOKUP("TRAINER_PIC_Magma_Grunt_M",Sprites!$A$1:$B473,2,false),"")</f>
        <v/>
      </c>
      <c r="I37" s="24"/>
    </row>
    <row r="38">
      <c r="A38" s="25"/>
      <c r="B38" s="26" t="s">
        <v>1399</v>
      </c>
      <c r="C38" s="26" t="s">
        <v>1092</v>
      </c>
      <c r="D38" s="26" t="s">
        <v>482</v>
      </c>
      <c r="E38" s="26" t="s">
        <v>991</v>
      </c>
      <c r="F38" s="26"/>
      <c r="G38" s="26"/>
      <c r="H38" s="27"/>
    </row>
    <row r="39">
      <c r="A39" s="10" t="s">
        <v>199</v>
      </c>
      <c r="B39" s="22">
        <v>88.0</v>
      </c>
      <c r="C39" s="22">
        <v>87.0</v>
      </c>
      <c r="D39" s="22">
        <v>88.0</v>
      </c>
      <c r="E39" s="22">
        <v>91.0</v>
      </c>
      <c r="F39" s="22"/>
      <c r="G39" s="22"/>
      <c r="H39" s="27"/>
    </row>
    <row r="40">
      <c r="A40" s="10" t="s">
        <v>201</v>
      </c>
      <c r="B40" s="29" t="s">
        <v>645</v>
      </c>
      <c r="C40" s="29" t="s">
        <v>2090</v>
      </c>
      <c r="D40" s="29" t="s">
        <v>1635</v>
      </c>
      <c r="E40" s="29" t="s">
        <v>3002</v>
      </c>
      <c r="F40" s="29"/>
      <c r="G40" s="29"/>
      <c r="H40" s="27"/>
    </row>
    <row r="41">
      <c r="A41" s="10" t="s">
        <v>209</v>
      </c>
      <c r="B41" s="22" t="s">
        <v>911</v>
      </c>
      <c r="C41" s="22" t="s">
        <v>2317</v>
      </c>
      <c r="D41" s="22" t="s">
        <v>2391</v>
      </c>
      <c r="E41" s="22" t="s">
        <v>2638</v>
      </c>
      <c r="F41" s="22"/>
      <c r="G41" s="22"/>
      <c r="H41" s="27"/>
    </row>
    <row r="42">
      <c r="A42" s="10" t="s">
        <v>215</v>
      </c>
      <c r="B42" s="29" t="s">
        <v>419</v>
      </c>
      <c r="C42" s="29" t="s">
        <v>419</v>
      </c>
      <c r="D42" s="29" t="s">
        <v>542</v>
      </c>
      <c r="E42" s="29" t="s">
        <v>231</v>
      </c>
      <c r="F42" s="29"/>
      <c r="G42" s="29"/>
      <c r="H42" s="27"/>
    </row>
    <row r="43">
      <c r="A43" s="15" t="s">
        <v>224</v>
      </c>
      <c r="B43" s="22" t="s">
        <v>361</v>
      </c>
      <c r="C43" s="22" t="s">
        <v>570</v>
      </c>
      <c r="D43" s="22" t="s">
        <v>1131</v>
      </c>
      <c r="E43" s="22" t="s">
        <v>1998</v>
      </c>
      <c r="F43" s="22"/>
      <c r="G43" s="22"/>
      <c r="H43" s="27"/>
    </row>
    <row r="44">
      <c r="A44" s="30"/>
      <c r="B44" s="22" t="s">
        <v>940</v>
      </c>
      <c r="C44" s="22" t="s">
        <v>937</v>
      </c>
      <c r="D44" s="22" t="s">
        <v>809</v>
      </c>
      <c r="E44" s="22" t="s">
        <v>811</v>
      </c>
      <c r="F44" s="22"/>
      <c r="G44" s="22"/>
      <c r="H44" s="27"/>
    </row>
    <row r="45">
      <c r="A45" s="30"/>
      <c r="B45" s="22" t="s">
        <v>465</v>
      </c>
      <c r="C45" s="22" t="s">
        <v>1541</v>
      </c>
      <c r="D45" s="22" t="s">
        <v>424</v>
      </c>
      <c r="E45" s="22" t="s">
        <v>424</v>
      </c>
      <c r="F45" s="22"/>
      <c r="G45" s="22"/>
      <c r="H45" s="27"/>
    </row>
    <row r="46">
      <c r="A46" s="25"/>
      <c r="B46" s="22" t="s">
        <v>588</v>
      </c>
      <c r="C46" s="22" t="s">
        <v>1363</v>
      </c>
      <c r="D46" s="22" t="s">
        <v>1354</v>
      </c>
      <c r="E46" s="22" t="s">
        <v>1941</v>
      </c>
      <c r="F46" s="22"/>
      <c r="G46" s="22"/>
      <c r="H46" s="31"/>
      <c r="I46" s="32"/>
    </row>
    <row r="47">
      <c r="A47" s="10" t="s">
        <v>5</v>
      </c>
      <c r="B47" s="11" t="s">
        <v>3003</v>
      </c>
      <c r="C47" s="9"/>
      <c r="D47" s="9"/>
      <c r="E47" s="9"/>
      <c r="F47" s="9"/>
      <c r="G47" s="9"/>
      <c r="H47" s="9"/>
      <c r="I47" s="14"/>
    </row>
    <row r="48" ht="60.0" customHeight="1">
      <c r="A48" s="15" t="s">
        <v>16</v>
      </c>
      <c r="B48" s="22" t="str">
        <f t="array" ref="B48">iferror(VLOOKUP(INDIRECT(ADDRESS(ROW()+1,COLUMN(), 4)),Dex!$A$2:$C473,3,false),"")</f>
        <v/>
      </c>
      <c r="C48" s="22" t="str">
        <f t="array" ref="C48">iferror(VLOOKUP(INDIRECT(ADDRESS(ROW()+1,COLUMN(), 4)),Dex!$A$2:$C473,3,false),"")</f>
        <v/>
      </c>
      <c r="D48" s="22" t="str">
        <f t="array" ref="D48">iferror(VLOOKUP(INDIRECT(ADDRESS(ROW()+1,COLUMN(), 4)),Dex!$A$2:$C473,3,false),"")</f>
        <v/>
      </c>
      <c r="E48" s="22" t="str">
        <f t="array" ref="E48">iferror(VLOOKUP(INDIRECT(ADDRESS(ROW()+1,COLUMN(), 4)),Dex!$A$2:$C473,3,false),"")</f>
        <v/>
      </c>
      <c r="F48" s="22" t="str">
        <f t="array" ref="F48">iferror(VLOOKUP(INDIRECT(ADDRESS(ROW()+1,COLUMN(), 4)),Dex!$A$2:$C473,3,false),"")</f>
        <v/>
      </c>
      <c r="G48" s="22" t="str">
        <f t="array" ref="G48">iferror(VLOOKUP(INDIRECT(ADDRESS(ROW()+1,COLUMN(), 4)),Dex!$A$2:$C473,3,false),"")</f>
        <v/>
      </c>
      <c r="H48" s="23" t="str">
        <f t="array" ref="H48">iferror(VLOOKUP("TRAINER_PIC_Magma_Grunt_M",Sprites!$A$1:$B473,2,false),"")</f>
        <v/>
      </c>
      <c r="I48" s="24"/>
    </row>
    <row r="49">
      <c r="A49" s="25"/>
      <c r="B49" s="26" t="s">
        <v>1109</v>
      </c>
      <c r="C49" s="26" t="s">
        <v>1714</v>
      </c>
      <c r="D49" s="26" t="s">
        <v>1748</v>
      </c>
      <c r="E49" s="26" t="s">
        <v>1401</v>
      </c>
      <c r="F49" s="26" t="s">
        <v>827</v>
      </c>
      <c r="G49" s="26"/>
      <c r="H49" s="27"/>
    </row>
    <row r="50">
      <c r="A50" s="10" t="s">
        <v>199</v>
      </c>
      <c r="B50" s="22">
        <v>87.0</v>
      </c>
      <c r="C50" s="22">
        <v>87.0</v>
      </c>
      <c r="D50" s="22">
        <v>90.0</v>
      </c>
      <c r="E50" s="22">
        <v>88.0</v>
      </c>
      <c r="F50" s="22">
        <v>87.0</v>
      </c>
      <c r="G50" s="22"/>
      <c r="H50" s="27"/>
    </row>
    <row r="51">
      <c r="A51" s="10" t="s">
        <v>201</v>
      </c>
      <c r="B51" s="29" t="s">
        <v>3005</v>
      </c>
      <c r="C51" s="29" t="s">
        <v>777</v>
      </c>
      <c r="D51" s="29" t="s">
        <v>1023</v>
      </c>
      <c r="E51" s="29" t="s">
        <v>545</v>
      </c>
      <c r="F51" s="29" t="s">
        <v>2032</v>
      </c>
      <c r="G51" s="29"/>
      <c r="H51" s="27"/>
    </row>
    <row r="52">
      <c r="A52" s="10" t="s">
        <v>209</v>
      </c>
      <c r="B52" s="22" t="s">
        <v>2816</v>
      </c>
      <c r="C52" s="22" t="s">
        <v>897</v>
      </c>
      <c r="D52" s="22" t="s">
        <v>2035</v>
      </c>
      <c r="E52" s="22" t="s">
        <v>911</v>
      </c>
      <c r="F52" s="22" t="s">
        <v>413</v>
      </c>
      <c r="G52" s="22"/>
      <c r="H52" s="27"/>
    </row>
    <row r="53">
      <c r="A53" s="10" t="s">
        <v>215</v>
      </c>
      <c r="B53" s="29" t="s">
        <v>906</v>
      </c>
      <c r="C53" s="29" t="s">
        <v>461</v>
      </c>
      <c r="D53" s="29" t="s">
        <v>419</v>
      </c>
      <c r="E53" s="29" t="s">
        <v>1346</v>
      </c>
      <c r="F53" s="29" t="s">
        <v>231</v>
      </c>
      <c r="G53" s="29"/>
      <c r="H53" s="27"/>
    </row>
    <row r="54">
      <c r="A54" s="15" t="s">
        <v>224</v>
      </c>
      <c r="B54" s="22" t="s">
        <v>361</v>
      </c>
      <c r="C54" s="22" t="s">
        <v>1366</v>
      </c>
      <c r="D54" s="22" t="s">
        <v>588</v>
      </c>
      <c r="E54" s="22" t="s">
        <v>1352</v>
      </c>
      <c r="F54" s="22" t="s">
        <v>363</v>
      </c>
      <c r="G54" s="22"/>
      <c r="H54" s="27"/>
    </row>
    <row r="55">
      <c r="A55" s="30"/>
      <c r="B55" s="22" t="s">
        <v>2457</v>
      </c>
      <c r="C55" s="22"/>
      <c r="D55" s="22" t="s">
        <v>805</v>
      </c>
      <c r="E55" s="22" t="s">
        <v>577</v>
      </c>
      <c r="F55" s="22" t="s">
        <v>3010</v>
      </c>
      <c r="G55" s="22"/>
      <c r="H55" s="27"/>
    </row>
    <row r="56">
      <c r="A56" s="30"/>
      <c r="B56" s="22" t="s">
        <v>924</v>
      </c>
      <c r="C56" s="22"/>
      <c r="D56" s="22" t="s">
        <v>229</v>
      </c>
      <c r="E56" s="22" t="s">
        <v>1040</v>
      </c>
      <c r="F56" s="22" t="s">
        <v>924</v>
      </c>
      <c r="G56" s="22"/>
      <c r="H56" s="27"/>
    </row>
    <row r="57">
      <c r="A57" s="25"/>
      <c r="B57" s="22" t="s">
        <v>469</v>
      </c>
      <c r="C57" s="22"/>
      <c r="D57" s="22" t="s">
        <v>552</v>
      </c>
      <c r="E57" s="22" t="s">
        <v>926</v>
      </c>
      <c r="F57" s="22" t="s">
        <v>1366</v>
      </c>
      <c r="G57" s="22"/>
      <c r="H57" s="31"/>
      <c r="I57" s="32"/>
    </row>
    <row r="58">
      <c r="A58" s="10" t="s">
        <v>5</v>
      </c>
      <c r="B58" s="11" t="s">
        <v>3012</v>
      </c>
      <c r="C58" s="9"/>
      <c r="D58" s="9"/>
      <c r="E58" s="9"/>
      <c r="F58" s="9"/>
      <c r="G58" s="9"/>
      <c r="H58" s="9"/>
      <c r="I58" s="14"/>
    </row>
    <row r="59" ht="60.0" customHeight="1">
      <c r="A59" s="15" t="s">
        <v>16</v>
      </c>
      <c r="B59" s="22" t="str">
        <f t="array" ref="B59">iferror(VLOOKUP(INDIRECT(ADDRESS(ROW()+1,COLUMN(), 4)),Dex!$A$2:$C473,3,false),"")</f>
        <v/>
      </c>
      <c r="C59" s="22" t="str">
        <f t="array" ref="C59">iferror(VLOOKUP(INDIRECT(ADDRESS(ROW()+1,COLUMN(), 4)),Dex!$A$2:$C473,3,false),"")</f>
        <v/>
      </c>
      <c r="D59" s="22" t="str">
        <f t="array" ref="D59">iferror(VLOOKUP(INDIRECT(ADDRESS(ROW()+1,COLUMN(), 4)),Dex!$A$2:$C473,3,false),"")</f>
        <v/>
      </c>
      <c r="E59" s="22" t="str">
        <f t="array" ref="E59">iferror(VLOOKUP(INDIRECT(ADDRESS(ROW()+1,COLUMN(), 4)),Dex!$A$2:$C473,3,false),"")</f>
        <v/>
      </c>
      <c r="F59" s="22" t="str">
        <f t="array" ref="F59">iferror(VLOOKUP(INDIRECT(ADDRESS(ROW()+1,COLUMN(), 4)),Dex!$A$2:$C473,3,false),"")</f>
        <v/>
      </c>
      <c r="G59" s="22" t="str">
        <f t="array" ref="G59">iferror(VLOOKUP(INDIRECT(ADDRESS(ROW()+1,COLUMN(), 4)),Dex!$A$2:$C473,3,false),"")</f>
        <v/>
      </c>
      <c r="H59" s="23" t="str">
        <f t="array" ref="H59">iferror(VLOOKUP("TRAINER_PIC_Magma_Grunt_M",Sprites!$A$1:$B473,2,false),"")</f>
        <v/>
      </c>
      <c r="I59" s="24"/>
    </row>
    <row r="60">
      <c r="A60" s="25"/>
      <c r="B60" s="26" t="s">
        <v>267</v>
      </c>
      <c r="C60" s="26" t="s">
        <v>1117</v>
      </c>
      <c r="D60" s="26" t="s">
        <v>1400</v>
      </c>
      <c r="E60" s="26" t="s">
        <v>1775</v>
      </c>
      <c r="F60" s="26"/>
      <c r="G60" s="26"/>
      <c r="H60" s="27"/>
    </row>
    <row r="61">
      <c r="A61" s="10" t="s">
        <v>199</v>
      </c>
      <c r="B61" s="22">
        <v>88.0</v>
      </c>
      <c r="C61" s="22">
        <v>87.0</v>
      </c>
      <c r="D61" s="22">
        <v>90.0</v>
      </c>
      <c r="E61" s="22">
        <v>89.0</v>
      </c>
      <c r="F61" s="22"/>
      <c r="G61" s="22"/>
      <c r="H61" s="27"/>
    </row>
    <row r="62">
      <c r="A62" s="10" t="s">
        <v>201</v>
      </c>
      <c r="B62" s="29" t="s">
        <v>1279</v>
      </c>
      <c r="C62" s="29" t="s">
        <v>3018</v>
      </c>
      <c r="D62" s="29" t="s">
        <v>408</v>
      </c>
      <c r="E62" s="29" t="s">
        <v>206</v>
      </c>
      <c r="F62" s="29"/>
      <c r="G62" s="29"/>
      <c r="H62" s="27"/>
    </row>
    <row r="63">
      <c r="A63" s="10" t="s">
        <v>209</v>
      </c>
      <c r="B63" s="22" t="s">
        <v>2262</v>
      </c>
      <c r="C63" s="22" t="s">
        <v>2615</v>
      </c>
      <c r="D63" s="22" t="s">
        <v>911</v>
      </c>
      <c r="E63" s="22" t="s">
        <v>2035</v>
      </c>
      <c r="F63" s="22"/>
      <c r="G63" s="22"/>
      <c r="H63" s="27"/>
    </row>
    <row r="64">
      <c r="A64" s="10" t="s">
        <v>215</v>
      </c>
      <c r="B64" s="29" t="s">
        <v>220</v>
      </c>
      <c r="C64" s="29" t="s">
        <v>906</v>
      </c>
      <c r="D64" s="29" t="s">
        <v>231</v>
      </c>
      <c r="E64" s="29" t="s">
        <v>419</v>
      </c>
      <c r="F64" s="29"/>
      <c r="G64" s="29"/>
      <c r="H64" s="27"/>
    </row>
    <row r="65">
      <c r="A65" s="15" t="s">
        <v>224</v>
      </c>
      <c r="B65" s="22" t="s">
        <v>2327</v>
      </c>
      <c r="C65" s="22" t="s">
        <v>2616</v>
      </c>
      <c r="D65" s="22" t="s">
        <v>549</v>
      </c>
      <c r="E65" s="22" t="s">
        <v>2578</v>
      </c>
      <c r="F65" s="22"/>
      <c r="G65" s="22"/>
      <c r="H65" s="27"/>
    </row>
    <row r="66">
      <c r="A66" s="30"/>
      <c r="B66" s="22" t="s">
        <v>2268</v>
      </c>
      <c r="C66" s="22" t="s">
        <v>563</v>
      </c>
      <c r="D66" s="22" t="s">
        <v>363</v>
      </c>
      <c r="E66" s="22" t="s">
        <v>2040</v>
      </c>
      <c r="F66" s="22"/>
      <c r="G66" s="22"/>
      <c r="H66" s="27"/>
    </row>
    <row r="67">
      <c r="A67" s="30"/>
      <c r="B67" s="22" t="s">
        <v>1352</v>
      </c>
      <c r="C67" s="22" t="s">
        <v>560</v>
      </c>
      <c r="D67" s="22" t="s">
        <v>2450</v>
      </c>
      <c r="E67" s="22" t="s">
        <v>2555</v>
      </c>
      <c r="F67" s="22"/>
      <c r="G67" s="22"/>
      <c r="H67" s="27"/>
    </row>
    <row r="68">
      <c r="A68" s="25"/>
      <c r="B68" s="22" t="s">
        <v>1035</v>
      </c>
      <c r="C68" s="22" t="s">
        <v>581</v>
      </c>
      <c r="D68" s="22" t="s">
        <v>2812</v>
      </c>
      <c r="E68" s="22" t="s">
        <v>694</v>
      </c>
      <c r="F68" s="22"/>
      <c r="G68" s="22"/>
      <c r="H68" s="31"/>
      <c r="I68" s="32"/>
    </row>
    <row r="69">
      <c r="A69" s="10" t="s">
        <v>5</v>
      </c>
      <c r="B69" s="11" t="s">
        <v>3019</v>
      </c>
      <c r="C69" s="9"/>
      <c r="D69" s="9"/>
      <c r="E69" s="9"/>
      <c r="F69" s="9"/>
      <c r="G69" s="9"/>
      <c r="H69" s="9"/>
      <c r="I69" s="14"/>
    </row>
    <row r="70" ht="60.0" customHeight="1">
      <c r="A70" s="15" t="s">
        <v>16</v>
      </c>
      <c r="B70" s="22" t="str">
        <f t="array" ref="B70">iferror(VLOOKUP(INDIRECT(ADDRESS(ROW()+1,COLUMN(), 4)),Dex!$A$2:$C473,3,false),"")</f>
        <v/>
      </c>
      <c r="C70" s="22" t="str">
        <f t="array" ref="C70">iferror(VLOOKUP(INDIRECT(ADDRESS(ROW()+1,COLUMN(), 4)),Dex!$A$2:$C473,3,false),"")</f>
        <v/>
      </c>
      <c r="D70" s="22" t="str">
        <f t="array" ref="D70">iferror(VLOOKUP(INDIRECT(ADDRESS(ROW()+1,COLUMN(), 4)),Dex!$A$2:$C473,3,false),"")</f>
        <v/>
      </c>
      <c r="E70" s="22" t="str">
        <f t="array" ref="E70">iferror(VLOOKUP(INDIRECT(ADDRESS(ROW()+1,COLUMN(), 4)),Dex!$A$2:$C473,3,false),"")</f>
        <v/>
      </c>
      <c r="F70" s="22" t="str">
        <f t="array" ref="F70">iferror(VLOOKUP(INDIRECT(ADDRESS(ROW()+1,COLUMN(), 4)),Dex!$A$2:$C473,3,false),"")</f>
        <v/>
      </c>
      <c r="G70" s="22" t="str">
        <f t="array" ref="G70">iferror(VLOOKUP(INDIRECT(ADDRESS(ROW()+1,COLUMN(), 4)),Dex!$A$2:$C473,3,false),"")</f>
        <v/>
      </c>
      <c r="H70" s="23" t="str">
        <f t="array" ref="H70">iferror(VLOOKUP("TRAINER_PIC_Magma_Leader_Maxie",Sprites!$A$1:$B473,2,false),"")</f>
        <v/>
      </c>
      <c r="I70" s="24"/>
    </row>
    <row r="71">
      <c r="A71" s="25"/>
      <c r="B71" s="26" t="s">
        <v>782</v>
      </c>
      <c r="C71" s="26" t="s">
        <v>2250</v>
      </c>
      <c r="D71" s="26" t="s">
        <v>2084</v>
      </c>
      <c r="E71" s="26" t="s">
        <v>1921</v>
      </c>
      <c r="F71" s="26" t="s">
        <v>2054</v>
      </c>
      <c r="G71" s="26" t="s">
        <v>610</v>
      </c>
      <c r="H71" s="27"/>
    </row>
    <row r="72">
      <c r="A72" s="10" t="s">
        <v>199</v>
      </c>
      <c r="B72" s="22">
        <v>90.0</v>
      </c>
      <c r="C72" s="22">
        <v>90.0</v>
      </c>
      <c r="D72" s="22">
        <v>89.0</v>
      </c>
      <c r="E72" s="22">
        <v>90.0</v>
      </c>
      <c r="F72" s="22">
        <v>89.0</v>
      </c>
      <c r="G72" s="22">
        <v>90.0</v>
      </c>
      <c r="H72" s="27"/>
    </row>
    <row r="73">
      <c r="A73" s="10" t="s">
        <v>201</v>
      </c>
      <c r="B73" s="29" t="s">
        <v>2455</v>
      </c>
      <c r="C73" s="29" t="s">
        <v>206</v>
      </c>
      <c r="D73" s="29" t="s">
        <v>1213</v>
      </c>
      <c r="E73" s="29" t="s">
        <v>2198</v>
      </c>
      <c r="F73" s="29" t="s">
        <v>1014</v>
      </c>
      <c r="G73" s="29" t="s">
        <v>2940</v>
      </c>
      <c r="H73" s="27"/>
    </row>
    <row r="74">
      <c r="A74" s="10" t="s">
        <v>209</v>
      </c>
      <c r="B74" s="22" t="s">
        <v>352</v>
      </c>
      <c r="C74" s="22" t="s">
        <v>2953</v>
      </c>
      <c r="D74" s="22" t="s">
        <v>1950</v>
      </c>
      <c r="E74" s="22" t="s">
        <v>2202</v>
      </c>
      <c r="F74" s="22" t="s">
        <v>1060</v>
      </c>
      <c r="G74" s="22" t="s">
        <v>541</v>
      </c>
      <c r="H74" s="27"/>
    </row>
    <row r="75">
      <c r="A75" s="10" t="s">
        <v>215</v>
      </c>
      <c r="B75" s="29" t="s">
        <v>222</v>
      </c>
      <c r="C75" s="29" t="s">
        <v>231</v>
      </c>
      <c r="D75" s="29" t="s">
        <v>419</v>
      </c>
      <c r="E75" s="29" t="s">
        <v>542</v>
      </c>
      <c r="F75" s="29" t="s">
        <v>419</v>
      </c>
      <c r="G75" s="29" t="s">
        <v>220</v>
      </c>
      <c r="H75" s="27"/>
    </row>
    <row r="76">
      <c r="A76" s="15" t="s">
        <v>224</v>
      </c>
      <c r="B76" s="22" t="s">
        <v>357</v>
      </c>
      <c r="C76" s="22" t="s">
        <v>2955</v>
      </c>
      <c r="D76" s="22" t="s">
        <v>2332</v>
      </c>
      <c r="E76" s="22" t="s">
        <v>565</v>
      </c>
      <c r="F76" s="22" t="s">
        <v>2852</v>
      </c>
      <c r="G76" s="22" t="s">
        <v>3025</v>
      </c>
      <c r="H76" s="27"/>
    </row>
    <row r="77">
      <c r="A77" s="30"/>
      <c r="B77" s="22" t="s">
        <v>246</v>
      </c>
      <c r="C77" s="22" t="s">
        <v>2513</v>
      </c>
      <c r="D77" s="22" t="s">
        <v>577</v>
      </c>
      <c r="E77" s="22" t="s">
        <v>3026</v>
      </c>
      <c r="F77" s="22" t="s">
        <v>2557</v>
      </c>
      <c r="G77" s="22" t="s">
        <v>1793</v>
      </c>
      <c r="H77" s="27"/>
    </row>
    <row r="78">
      <c r="A78" s="30"/>
      <c r="B78" s="22" t="s">
        <v>236</v>
      </c>
      <c r="C78" s="22" t="s">
        <v>2608</v>
      </c>
      <c r="D78" s="22" t="s">
        <v>3027</v>
      </c>
      <c r="E78" s="22" t="s">
        <v>1037</v>
      </c>
      <c r="F78" s="22" t="s">
        <v>357</v>
      </c>
      <c r="G78" s="22" t="s">
        <v>1352</v>
      </c>
      <c r="H78" s="27"/>
    </row>
    <row r="79">
      <c r="A79" s="25"/>
      <c r="B79" s="22" t="s">
        <v>465</v>
      </c>
      <c r="C79" s="22" t="s">
        <v>549</v>
      </c>
      <c r="D79" s="22" t="s">
        <v>2659</v>
      </c>
      <c r="E79" s="22" t="s">
        <v>2319</v>
      </c>
      <c r="F79" s="22" t="s">
        <v>2041</v>
      </c>
      <c r="G79" s="22" t="s">
        <v>938</v>
      </c>
      <c r="H79" s="31"/>
      <c r="I79" s="32"/>
    </row>
    <row r="80">
      <c r="A80" s="10" t="s">
        <v>5</v>
      </c>
      <c r="B80" s="11" t="s">
        <v>3028</v>
      </c>
      <c r="C80" s="9"/>
      <c r="D80" s="9"/>
      <c r="E80" s="9"/>
      <c r="F80" s="9"/>
      <c r="G80" s="9"/>
      <c r="H80" s="9"/>
      <c r="I80" s="14"/>
    </row>
    <row r="81" ht="60.0" customHeight="1">
      <c r="A81" s="15" t="s">
        <v>16</v>
      </c>
      <c r="B81" s="22" t="str">
        <f t="array" ref="B81">iferror(VLOOKUP(INDIRECT(ADDRESS(ROW()+1,COLUMN(), 4)),Dex!$A$2:$C473,3,false),"")</f>
        <v/>
      </c>
      <c r="C81" s="22" t="str">
        <f t="array" ref="C81">iferror(VLOOKUP(INDIRECT(ADDRESS(ROW()+1,COLUMN(), 4)),Dex!$A$2:$C473,3,false),"")</f>
        <v/>
      </c>
      <c r="D81" s="22" t="str">
        <f t="array" ref="D81">iferror(VLOOKUP(INDIRECT(ADDRESS(ROW()+1,COLUMN(), 4)),Dex!$A$2:$C473,3,false),"")</f>
        <v/>
      </c>
      <c r="E81" s="22" t="str">
        <f t="array" ref="E81">iferror(VLOOKUP(INDIRECT(ADDRESS(ROW()+1,COLUMN(), 4)),Dex!$A$2:$C473,3,false),"")</f>
        <v/>
      </c>
      <c r="F81" s="22" t="str">
        <f t="array" ref="F81">iferror(VLOOKUP(INDIRECT(ADDRESS(ROW()+1,COLUMN(), 4)),Dex!$A$2:$C473,3,false),"")</f>
        <v/>
      </c>
      <c r="G81" s="22" t="str">
        <f t="array" ref="G81">iferror(VLOOKUP(INDIRECT(ADDRESS(ROW()+1,COLUMN(), 4)),Dex!$A$2:$C473,3,false),"")</f>
        <v/>
      </c>
      <c r="H81" s="23" t="str">
        <f t="array" ref="H81">iferror(VLOOKUP("TRAINER_PIC_Steven",Sprites!$A$1:$B473,2,false),"")</f>
        <v/>
      </c>
      <c r="I81" s="24"/>
    </row>
    <row r="82">
      <c r="A82" s="25"/>
      <c r="B82" s="26" t="s">
        <v>1108</v>
      </c>
      <c r="C82" s="26" t="s">
        <v>1918</v>
      </c>
      <c r="D82" s="26" t="s">
        <v>873</v>
      </c>
      <c r="E82" s="26"/>
      <c r="F82" s="26"/>
      <c r="G82" s="26"/>
      <c r="H82" s="27"/>
    </row>
    <row r="83">
      <c r="A83" s="10" t="s">
        <v>199</v>
      </c>
      <c r="B83" s="22">
        <v>94.0</v>
      </c>
      <c r="C83" s="22">
        <v>95.0</v>
      </c>
      <c r="D83" s="22">
        <v>100.0</v>
      </c>
      <c r="E83" s="22"/>
      <c r="F83" s="22"/>
      <c r="G83" s="22"/>
      <c r="H83" s="27"/>
    </row>
    <row r="84">
      <c r="A84" s="10" t="s">
        <v>201</v>
      </c>
      <c r="B84" s="29" t="s">
        <v>206</v>
      </c>
      <c r="C84" s="29" t="s">
        <v>3039</v>
      </c>
      <c r="D84" s="29" t="s">
        <v>3040</v>
      </c>
      <c r="E84" s="29"/>
      <c r="F84" s="29"/>
      <c r="G84" s="29"/>
      <c r="H84" s="27"/>
    </row>
    <row r="85">
      <c r="A85" s="10" t="s">
        <v>209</v>
      </c>
      <c r="B85" s="22" t="s">
        <v>2354</v>
      </c>
      <c r="C85" s="22" t="s">
        <v>3041</v>
      </c>
      <c r="D85" s="22" t="s">
        <v>2342</v>
      </c>
      <c r="E85" s="22"/>
      <c r="F85" s="22"/>
      <c r="G85" s="22"/>
      <c r="H85" s="27"/>
    </row>
    <row r="86">
      <c r="A86" s="10" t="s">
        <v>215</v>
      </c>
      <c r="B86" s="29" t="s">
        <v>222</v>
      </c>
      <c r="C86" s="29" t="s">
        <v>231</v>
      </c>
      <c r="D86" s="29" t="s">
        <v>231</v>
      </c>
      <c r="E86" s="29"/>
      <c r="F86" s="29"/>
      <c r="G86" s="29"/>
      <c r="H86" s="27"/>
    </row>
    <row r="87">
      <c r="A87" s="15" t="s">
        <v>224</v>
      </c>
      <c r="B87" s="22" t="s">
        <v>2457</v>
      </c>
      <c r="C87" s="22" t="s">
        <v>799</v>
      </c>
      <c r="D87" s="22" t="s">
        <v>2566</v>
      </c>
      <c r="E87" s="22"/>
      <c r="F87" s="22"/>
      <c r="G87" s="22"/>
      <c r="H87" s="27"/>
    </row>
    <row r="88">
      <c r="A88" s="30"/>
      <c r="B88" s="22" t="s">
        <v>469</v>
      </c>
      <c r="C88" s="22" t="s">
        <v>3042</v>
      </c>
      <c r="D88" s="22" t="s">
        <v>2217</v>
      </c>
      <c r="E88" s="22"/>
      <c r="F88" s="22"/>
      <c r="G88" s="22"/>
      <c r="H88" s="27"/>
    </row>
    <row r="89">
      <c r="A89" s="30"/>
      <c r="B89" s="22" t="s">
        <v>357</v>
      </c>
      <c r="C89" s="22" t="s">
        <v>465</v>
      </c>
      <c r="D89" s="22" t="s">
        <v>922</v>
      </c>
      <c r="E89" s="22"/>
      <c r="F89" s="22"/>
      <c r="G89" s="22"/>
      <c r="H89" s="27"/>
    </row>
    <row r="90">
      <c r="A90" s="25"/>
      <c r="B90" s="22" t="s">
        <v>236</v>
      </c>
      <c r="C90" s="22" t="s">
        <v>800</v>
      </c>
      <c r="D90" s="22" t="s">
        <v>465</v>
      </c>
      <c r="E90" s="22"/>
      <c r="F90" s="22"/>
      <c r="G90" s="22"/>
      <c r="H90" s="31"/>
      <c r="I90" s="32"/>
    </row>
    <row r="91">
      <c r="A91" s="8" t="s">
        <v>3043</v>
      </c>
      <c r="B91" s="9"/>
      <c r="C91" s="9"/>
      <c r="D91" s="9"/>
      <c r="E91" s="9"/>
      <c r="F91" s="9"/>
      <c r="G91" s="9"/>
      <c r="H91" s="9"/>
      <c r="I91" s="34"/>
    </row>
    <row r="92">
      <c r="A92" s="10" t="s">
        <v>5</v>
      </c>
      <c r="B92" s="11" t="s">
        <v>3044</v>
      </c>
      <c r="C92" s="12"/>
      <c r="D92" s="12"/>
      <c r="E92" s="12"/>
      <c r="F92" s="12"/>
      <c r="G92" s="12"/>
      <c r="H92" s="12"/>
      <c r="I92" s="13"/>
    </row>
    <row r="93" ht="60.0" customHeight="1">
      <c r="A93" s="15" t="s">
        <v>16</v>
      </c>
      <c r="B93" s="22" t="str">
        <f t="array" ref="B93">iferror(VLOOKUP(INDIRECT(ADDRESS(ROW()+1,COLUMN(), 4)),Dex!$A$2:$C473,3,false),"")</f>
        <v/>
      </c>
      <c r="C93" s="22" t="str">
        <f t="array" ref="C93">iferror(VLOOKUP(INDIRECT(ADDRESS(ROW()+1,COLUMN(), 4)),Dex!$A$2:$C473,3,false),"")</f>
        <v/>
      </c>
      <c r="D93" s="22" t="str">
        <f t="array" ref="D93">iferror(VLOOKUP(INDIRECT(ADDRESS(ROW()+1,COLUMN(), 4)),Dex!$A$2:$C473,3,false),"")</f>
        <v/>
      </c>
      <c r="E93" s="22" t="str">
        <f t="array" ref="E93">iferror(VLOOKUP(INDIRECT(ADDRESS(ROW()+1,COLUMN(), 4)),Dex!$A$2:$C473,3,false),"")</f>
        <v/>
      </c>
      <c r="F93" s="22" t="str">
        <f t="array" ref="F93">iferror(VLOOKUP(INDIRECT(ADDRESS(ROW()+1,COLUMN(), 4)),Dex!$A$2:$C473,3,false),"")</f>
        <v/>
      </c>
      <c r="G93" s="22" t="str">
        <f t="array" ref="G93">iferror(VLOOKUP(INDIRECT(ADDRESS(ROW()+1,COLUMN(), 4)),Dex!$A$2:$C473,3,false),"")</f>
        <v/>
      </c>
      <c r="H93" s="23" t="str">
        <f t="array" ref="H93">iferror(VLOOKUP("TRAINER_PIC_Bird_Keeper",Sprites!$A$1:$B473,2,false),"")</f>
        <v/>
      </c>
      <c r="I93" s="24"/>
    </row>
    <row r="94">
      <c r="A94" s="25"/>
      <c r="B94" s="26" t="s">
        <v>1609</v>
      </c>
      <c r="C94" s="26" t="s">
        <v>1381</v>
      </c>
      <c r="D94" s="26" t="s">
        <v>527</v>
      </c>
      <c r="E94" s="26" t="s">
        <v>172</v>
      </c>
      <c r="F94" s="26" t="s">
        <v>1179</v>
      </c>
      <c r="G94" s="26" t="s">
        <v>875</v>
      </c>
      <c r="H94" s="27"/>
    </row>
    <row r="95">
      <c r="A95" s="10" t="s">
        <v>199</v>
      </c>
      <c r="B95" s="22">
        <v>88.0</v>
      </c>
      <c r="C95" s="22">
        <v>90.0</v>
      </c>
      <c r="D95" s="22">
        <v>89.0</v>
      </c>
      <c r="E95" s="22">
        <v>87.0</v>
      </c>
      <c r="F95" s="22">
        <v>88.0</v>
      </c>
      <c r="G95" s="22">
        <v>88.0</v>
      </c>
      <c r="H95" s="27"/>
    </row>
    <row r="96">
      <c r="A96" s="10" t="s">
        <v>201</v>
      </c>
      <c r="B96" s="29" t="s">
        <v>1147</v>
      </c>
      <c r="C96" s="29" t="s">
        <v>2493</v>
      </c>
      <c r="D96" s="29" t="s">
        <v>1213</v>
      </c>
      <c r="E96" s="29" t="s">
        <v>408</v>
      </c>
      <c r="F96" s="29" t="s">
        <v>2032</v>
      </c>
      <c r="G96" s="29" t="s">
        <v>537</v>
      </c>
      <c r="H96" s="27"/>
    </row>
    <row r="97">
      <c r="A97" s="10" t="s">
        <v>209</v>
      </c>
      <c r="B97" s="22" t="s">
        <v>2203</v>
      </c>
      <c r="C97" s="22" t="s">
        <v>1153</v>
      </c>
      <c r="D97" s="22" t="s">
        <v>1747</v>
      </c>
      <c r="E97" s="22" t="s">
        <v>1448</v>
      </c>
      <c r="F97" s="22" t="s">
        <v>897</v>
      </c>
      <c r="G97" s="22" t="s">
        <v>1216</v>
      </c>
      <c r="H97" s="27"/>
    </row>
    <row r="98">
      <c r="A98" s="10" t="s">
        <v>215</v>
      </c>
      <c r="B98" s="29" t="s">
        <v>231</v>
      </c>
      <c r="C98" s="29" t="s">
        <v>220</v>
      </c>
      <c r="D98" s="29" t="s">
        <v>222</v>
      </c>
      <c r="E98" s="29" t="s">
        <v>220</v>
      </c>
      <c r="F98" s="29" t="s">
        <v>222</v>
      </c>
      <c r="G98" s="29" t="s">
        <v>222</v>
      </c>
      <c r="H98" s="27"/>
    </row>
    <row r="99">
      <c r="A99" s="15" t="s">
        <v>224</v>
      </c>
      <c r="B99" s="22" t="s">
        <v>1069</v>
      </c>
      <c r="C99" s="22" t="s">
        <v>2469</v>
      </c>
      <c r="D99" s="22" t="s">
        <v>577</v>
      </c>
      <c r="E99" s="22" t="s">
        <v>2640</v>
      </c>
      <c r="F99" s="22" t="s">
        <v>814</v>
      </c>
      <c r="G99" s="22" t="s">
        <v>1363</v>
      </c>
      <c r="H99" s="27"/>
    </row>
    <row r="100">
      <c r="A100" s="30"/>
      <c r="B100" s="22" t="s">
        <v>2915</v>
      </c>
      <c r="C100" s="22" t="s">
        <v>1896</v>
      </c>
      <c r="D100" s="22" t="s">
        <v>697</v>
      </c>
      <c r="E100" s="22" t="s">
        <v>3055</v>
      </c>
      <c r="F100" s="22" t="s">
        <v>1363</v>
      </c>
      <c r="G100" s="22" t="s">
        <v>1439</v>
      </c>
      <c r="H100" s="27"/>
    </row>
    <row r="101">
      <c r="A101" s="30"/>
      <c r="B101" s="22" t="s">
        <v>2220</v>
      </c>
      <c r="C101" s="22" t="s">
        <v>692</v>
      </c>
      <c r="D101" s="22" t="s">
        <v>365</v>
      </c>
      <c r="E101" s="22" t="s">
        <v>361</v>
      </c>
      <c r="F101" s="22" t="s">
        <v>253</v>
      </c>
      <c r="G101" s="22" t="s">
        <v>582</v>
      </c>
      <c r="H101" s="27"/>
    </row>
    <row r="102">
      <c r="A102" s="25"/>
      <c r="B102" s="22" t="s">
        <v>1772</v>
      </c>
      <c r="C102" s="22" t="s">
        <v>363</v>
      </c>
      <c r="D102" s="22" t="s">
        <v>371</v>
      </c>
      <c r="E102" s="22" t="s">
        <v>952</v>
      </c>
      <c r="F102" s="22" t="s">
        <v>258</v>
      </c>
      <c r="G102" s="22" t="s">
        <v>1664</v>
      </c>
      <c r="H102" s="31"/>
      <c r="I102" s="32"/>
    </row>
    <row r="103">
      <c r="A103" s="10" t="s">
        <v>5</v>
      </c>
      <c r="B103" s="11" t="s">
        <v>3057</v>
      </c>
      <c r="C103" s="12"/>
      <c r="D103" s="12"/>
      <c r="E103" s="12"/>
      <c r="F103" s="12"/>
      <c r="G103" s="12"/>
      <c r="H103" s="12"/>
      <c r="I103" s="14"/>
    </row>
    <row r="104" ht="60.0" customHeight="1">
      <c r="A104" s="15" t="s">
        <v>16</v>
      </c>
      <c r="B104" s="22" t="str">
        <f t="array" ref="B104">iferror(VLOOKUP(INDIRECT(ADDRESS(ROW()+1,COLUMN(), 4)),Dex!$A$2:$C473,3,false),"")</f>
        <v/>
      </c>
      <c r="C104" s="22" t="str">
        <f t="array" ref="C104">iferror(VLOOKUP(INDIRECT(ADDRESS(ROW()+1,COLUMN(), 4)),Dex!$A$2:$C473,3,false),"")</f>
        <v/>
      </c>
      <c r="D104" s="22" t="str">
        <f t="array" ref="D104">iferror(VLOOKUP(INDIRECT(ADDRESS(ROW()+1,COLUMN(), 4)),Dex!$A$2:$C473,3,false),"")</f>
        <v/>
      </c>
      <c r="E104" s="22" t="str">
        <f t="array" ref="E104">iferror(VLOOKUP(INDIRECT(ADDRESS(ROW()+1,COLUMN(), 4)),Dex!$A$2:$C473,3,false),"")</f>
        <v/>
      </c>
      <c r="F104" s="22" t="str">
        <f t="array" ref="F104">iferror(VLOOKUP(INDIRECT(ADDRESS(ROW()+1,COLUMN(), 4)),Dex!$A$2:$C473,3,false),"")</f>
        <v/>
      </c>
      <c r="G104" s="22" t="str">
        <f t="array" ref="G104">iferror(VLOOKUP(INDIRECT(ADDRESS(ROW()+1,COLUMN(), 4)),Dex!$A$2:$C473,3,false),"")</f>
        <v/>
      </c>
      <c r="H104" s="23" t="str">
        <f t="array" ref="H104">iferror(VLOOKUP("TRAINER_PIC_Cooltrainer_M",Sprites!$A$1:$B473,2,false),"")</f>
        <v/>
      </c>
      <c r="I104" s="24"/>
    </row>
    <row r="105">
      <c r="A105" s="25"/>
      <c r="B105" s="26" t="s">
        <v>1992</v>
      </c>
      <c r="C105" s="26" t="s">
        <v>3063</v>
      </c>
      <c r="D105" s="26" t="s">
        <v>404</v>
      </c>
      <c r="E105" s="26" t="s">
        <v>1246</v>
      </c>
      <c r="F105" s="26" t="s">
        <v>444</v>
      </c>
      <c r="G105" s="26" t="s">
        <v>1737</v>
      </c>
      <c r="H105" s="27"/>
    </row>
    <row r="106">
      <c r="A106" s="10" t="s">
        <v>199</v>
      </c>
      <c r="B106" s="22">
        <v>88.0</v>
      </c>
      <c r="C106" s="22">
        <v>87.0</v>
      </c>
      <c r="D106" s="22">
        <v>87.0</v>
      </c>
      <c r="E106" s="22">
        <v>88.0</v>
      </c>
      <c r="F106" s="22">
        <v>87.0</v>
      </c>
      <c r="G106" s="22">
        <v>88.0</v>
      </c>
      <c r="H106" s="27"/>
    </row>
    <row r="107">
      <c r="A107" s="10" t="s">
        <v>201</v>
      </c>
      <c r="B107" s="29" t="s">
        <v>1456</v>
      </c>
      <c r="C107" s="29" t="s">
        <v>645</v>
      </c>
      <c r="D107" s="29" t="s">
        <v>1242</v>
      </c>
      <c r="E107" s="29" t="s">
        <v>537</v>
      </c>
      <c r="F107" s="29" t="s">
        <v>406</v>
      </c>
      <c r="G107" s="29" t="s">
        <v>645</v>
      </c>
      <c r="H107" s="27"/>
    </row>
    <row r="108">
      <c r="A108" s="10" t="s">
        <v>209</v>
      </c>
      <c r="B108" s="22" t="s">
        <v>212</v>
      </c>
      <c r="C108" s="22" t="s">
        <v>3064</v>
      </c>
      <c r="D108" s="22" t="s">
        <v>219</v>
      </c>
      <c r="E108" s="22" t="s">
        <v>1459</v>
      </c>
      <c r="F108" s="22" t="s">
        <v>1152</v>
      </c>
      <c r="G108" s="22" t="s">
        <v>2569</v>
      </c>
      <c r="H108" s="27"/>
    </row>
    <row r="109">
      <c r="A109" s="10" t="s">
        <v>215</v>
      </c>
      <c r="B109" s="29" t="s">
        <v>220</v>
      </c>
      <c r="C109" s="29" t="s">
        <v>904</v>
      </c>
      <c r="D109" s="29" t="s">
        <v>231</v>
      </c>
      <c r="E109" s="29" t="s">
        <v>231</v>
      </c>
      <c r="F109" s="29" t="s">
        <v>231</v>
      </c>
      <c r="G109" s="29" t="s">
        <v>906</v>
      </c>
      <c r="H109" s="27"/>
    </row>
    <row r="110">
      <c r="A110" s="15" t="s">
        <v>224</v>
      </c>
      <c r="B110" s="22" t="s">
        <v>1064</v>
      </c>
      <c r="C110" s="22" t="s">
        <v>356</v>
      </c>
      <c r="D110" s="22" t="s">
        <v>1352</v>
      </c>
      <c r="E110" s="22" t="s">
        <v>3065</v>
      </c>
      <c r="F110" s="22" t="s">
        <v>363</v>
      </c>
      <c r="G110" s="22" t="s">
        <v>697</v>
      </c>
      <c r="H110" s="27"/>
    </row>
    <row r="111">
      <c r="A111" s="30"/>
      <c r="B111" s="22" t="s">
        <v>1127</v>
      </c>
      <c r="C111" s="22" t="s">
        <v>477</v>
      </c>
      <c r="D111" s="22" t="s">
        <v>2327</v>
      </c>
      <c r="E111" s="22" t="s">
        <v>1848</v>
      </c>
      <c r="F111" s="22" t="s">
        <v>927</v>
      </c>
      <c r="G111" s="22" t="s">
        <v>362</v>
      </c>
      <c r="H111" s="27"/>
    </row>
    <row r="112">
      <c r="A112" s="30"/>
      <c r="B112" s="22" t="s">
        <v>565</v>
      </c>
      <c r="C112" s="22" t="s">
        <v>565</v>
      </c>
      <c r="D112" s="22" t="s">
        <v>476</v>
      </c>
      <c r="E112" s="22" t="s">
        <v>365</v>
      </c>
      <c r="F112" s="22" t="s">
        <v>432</v>
      </c>
      <c r="G112" s="22" t="s">
        <v>1250</v>
      </c>
      <c r="H112" s="27"/>
    </row>
    <row r="113">
      <c r="A113" s="25"/>
      <c r="B113" s="22" t="s">
        <v>567</v>
      </c>
      <c r="C113" s="22" t="s">
        <v>361</v>
      </c>
      <c r="D113" s="22" t="s">
        <v>652</v>
      </c>
      <c r="E113" s="22" t="s">
        <v>2439</v>
      </c>
      <c r="F113" s="22" t="s">
        <v>549</v>
      </c>
      <c r="G113" s="22" t="s">
        <v>1442</v>
      </c>
      <c r="H113" s="31"/>
      <c r="I113" s="32"/>
    </row>
    <row r="114">
      <c r="A114" s="10" t="s">
        <v>5</v>
      </c>
      <c r="B114" s="11" t="s">
        <v>3066</v>
      </c>
      <c r="C114" s="12"/>
      <c r="D114" s="12"/>
      <c r="E114" s="12"/>
      <c r="F114" s="12"/>
      <c r="G114" s="12"/>
      <c r="H114" s="12"/>
      <c r="I114" s="14"/>
    </row>
    <row r="115" ht="60.0" customHeight="1">
      <c r="A115" s="15" t="s">
        <v>16</v>
      </c>
      <c r="B115" s="22" t="str">
        <f t="array" ref="B115">iferror(VLOOKUP(INDIRECT(ADDRESS(ROW()+1,COLUMN(), 4)),Dex!$A$2:$C473,3,false),"")</f>
        <v/>
      </c>
      <c r="C115" s="22" t="str">
        <f t="array" ref="C115">iferror(VLOOKUP(INDIRECT(ADDRESS(ROW()+1,COLUMN(), 4)),Dex!$A$2:$C473,3,false),"")</f>
        <v/>
      </c>
      <c r="D115" s="22" t="str">
        <f t="array" ref="D115">iferror(VLOOKUP(INDIRECT(ADDRESS(ROW()+1,COLUMN(), 4)),Dex!$A$2:$C473,3,false),"")</f>
        <v/>
      </c>
      <c r="E115" s="22" t="str">
        <f t="array" ref="E115">iferror(VLOOKUP(INDIRECT(ADDRESS(ROW()+1,COLUMN(), 4)),Dex!$A$2:$C473,3,false),"")</f>
        <v/>
      </c>
      <c r="F115" s="22" t="str">
        <f t="array" ref="F115">iferror(VLOOKUP(INDIRECT(ADDRESS(ROW()+1,COLUMN(), 4)),Dex!$A$2:$C473,3,false),"")</f>
        <v/>
      </c>
      <c r="G115" s="22" t="str">
        <f t="array" ref="G115">iferror(VLOOKUP(INDIRECT(ADDRESS(ROW()+1,COLUMN(), 4)),Dex!$A$2:$C473,3,false),"")</f>
        <v/>
      </c>
      <c r="H115" s="23" t="str">
        <f t="array" ref="H115">iferror(VLOOKUP("TRAINER_PIC_Expert_M",Sprites!$A$1:$B473,2,false),"")</f>
        <v/>
      </c>
      <c r="I115" s="24"/>
    </row>
    <row r="116">
      <c r="A116" s="25"/>
      <c r="B116" s="26" t="s">
        <v>2143</v>
      </c>
      <c r="C116" s="26" t="s">
        <v>1071</v>
      </c>
      <c r="D116" s="26" t="s">
        <v>1417</v>
      </c>
      <c r="E116" s="26" t="s">
        <v>2277</v>
      </c>
      <c r="F116" s="26" t="s">
        <v>499</v>
      </c>
      <c r="G116" s="26" t="s">
        <v>1205</v>
      </c>
      <c r="H116" s="27"/>
    </row>
    <row r="117">
      <c r="A117" s="10" t="s">
        <v>199</v>
      </c>
      <c r="B117" s="22">
        <v>89.0</v>
      </c>
      <c r="C117" s="22">
        <v>89.0</v>
      </c>
      <c r="D117" s="22">
        <v>89.0</v>
      </c>
      <c r="E117" s="22">
        <v>88.0</v>
      </c>
      <c r="F117" s="22">
        <v>92.0</v>
      </c>
      <c r="G117" s="22">
        <v>89.0</v>
      </c>
      <c r="H117" s="27"/>
    </row>
    <row r="118">
      <c r="A118" s="10" t="s">
        <v>201</v>
      </c>
      <c r="B118" s="29" t="s">
        <v>1546</v>
      </c>
      <c r="C118" s="29" t="s">
        <v>206</v>
      </c>
      <c r="D118" s="29" t="s">
        <v>3073</v>
      </c>
      <c r="E118" s="29" t="s">
        <v>3074</v>
      </c>
      <c r="F118" s="29" t="s">
        <v>408</v>
      </c>
      <c r="G118" s="29" t="s">
        <v>3075</v>
      </c>
      <c r="H118" s="27"/>
    </row>
    <row r="119">
      <c r="A119" s="10" t="s">
        <v>209</v>
      </c>
      <c r="B119" s="22" t="s">
        <v>2314</v>
      </c>
      <c r="C119" s="22" t="s">
        <v>2377</v>
      </c>
      <c r="D119" s="22" t="s">
        <v>2593</v>
      </c>
      <c r="E119" s="22" t="s">
        <v>901</v>
      </c>
      <c r="F119" s="22" t="s">
        <v>2369</v>
      </c>
      <c r="G119" s="22" t="s">
        <v>1216</v>
      </c>
      <c r="H119" s="27"/>
    </row>
    <row r="120">
      <c r="A120" s="10" t="s">
        <v>215</v>
      </c>
      <c r="B120" s="29" t="s">
        <v>222</v>
      </c>
      <c r="C120" s="29" t="s">
        <v>231</v>
      </c>
      <c r="D120" s="29" t="s">
        <v>419</v>
      </c>
      <c r="E120" s="29" t="s">
        <v>231</v>
      </c>
      <c r="F120" s="29" t="s">
        <v>419</v>
      </c>
      <c r="G120" s="29" t="s">
        <v>231</v>
      </c>
      <c r="H120" s="27"/>
    </row>
    <row r="121">
      <c r="A121" s="15" t="s">
        <v>224</v>
      </c>
      <c r="B121" s="22" t="s">
        <v>2320</v>
      </c>
      <c r="C121" s="22" t="s">
        <v>477</v>
      </c>
      <c r="D121" s="22" t="s">
        <v>814</v>
      </c>
      <c r="E121" s="22" t="s">
        <v>1457</v>
      </c>
      <c r="F121" s="22" t="s">
        <v>246</v>
      </c>
      <c r="G121" s="22" t="s">
        <v>3055</v>
      </c>
      <c r="H121" s="27"/>
    </row>
    <row r="122">
      <c r="A122" s="30"/>
      <c r="B122" s="22" t="s">
        <v>940</v>
      </c>
      <c r="C122" s="22" t="s">
        <v>2111</v>
      </c>
      <c r="D122" s="22" t="s">
        <v>582</v>
      </c>
      <c r="E122" s="22" t="s">
        <v>2751</v>
      </c>
      <c r="F122" s="22" t="s">
        <v>3077</v>
      </c>
      <c r="G122" s="22" t="s">
        <v>567</v>
      </c>
      <c r="H122" s="27"/>
    </row>
    <row r="123">
      <c r="A123" s="30"/>
      <c r="B123" s="22" t="s">
        <v>361</v>
      </c>
      <c r="C123" s="22" t="s">
        <v>951</v>
      </c>
      <c r="D123" s="22" t="s">
        <v>234</v>
      </c>
      <c r="E123" s="22" t="s">
        <v>477</v>
      </c>
      <c r="F123" s="22" t="s">
        <v>582</v>
      </c>
      <c r="G123" s="22" t="s">
        <v>555</v>
      </c>
      <c r="H123" s="27"/>
    </row>
    <row r="124">
      <c r="A124" s="25"/>
      <c r="B124" s="22" t="s">
        <v>952</v>
      </c>
      <c r="C124" s="22" t="s">
        <v>1844</v>
      </c>
      <c r="D124" s="22" t="s">
        <v>1442</v>
      </c>
      <c r="E124" s="22" t="s">
        <v>473</v>
      </c>
      <c r="F124" s="22" t="s">
        <v>1442</v>
      </c>
      <c r="G124" s="22" t="s">
        <v>465</v>
      </c>
      <c r="H124" s="31"/>
      <c r="I124" s="32"/>
    </row>
    <row r="125">
      <c r="A125" s="10" t="s">
        <v>5</v>
      </c>
      <c r="B125" s="11" t="s">
        <v>3079</v>
      </c>
      <c r="C125" s="12"/>
      <c r="D125" s="12"/>
      <c r="E125" s="12"/>
      <c r="F125" s="12"/>
      <c r="G125" s="12"/>
      <c r="H125" s="12"/>
      <c r="I125" s="13"/>
    </row>
    <row r="126" ht="60.0" customHeight="1">
      <c r="A126" s="15" t="s">
        <v>16</v>
      </c>
      <c r="B126" s="22" t="str">
        <f t="array" ref="B126">iferror(VLOOKUP(INDIRECT(ADDRESS(ROW()+1,COLUMN(), 4)),Dex!$A$2:$C473,3,false),"")</f>
        <v/>
      </c>
      <c r="C126" s="22" t="str">
        <f t="array" ref="C126">iferror(VLOOKUP(INDIRECT(ADDRESS(ROW()+1,COLUMN(), 4)),Dex!$A$2:$C473,3,false),"")</f>
        <v/>
      </c>
      <c r="D126" s="22" t="str">
        <f t="array" ref="D126">iferror(VLOOKUP(INDIRECT(ADDRESS(ROW()+1,COLUMN(), 4)),Dex!$A$2:$C473,3,false),"")</f>
        <v/>
      </c>
      <c r="E126" s="22" t="str">
        <f t="array" ref="E126">iferror(VLOOKUP(INDIRECT(ADDRESS(ROW()+1,COLUMN(), 4)),Dex!$A$2:$C473,3,false),"")</f>
        <v/>
      </c>
      <c r="F126" s="22" t="str">
        <f t="array" ref="F126">iferror(VLOOKUP(INDIRECT(ADDRESS(ROW()+1,COLUMN(), 4)),Dex!$A$2:$C473,3,false),"")</f>
        <v/>
      </c>
      <c r="G126" s="22" t="str">
        <f t="array" ref="G126">iferror(VLOOKUP(INDIRECT(ADDRESS(ROW()+1,COLUMN(), 4)),Dex!$A$2:$C473,3,false),"")</f>
        <v/>
      </c>
      <c r="H126" s="23" t="str">
        <f t="array" ref="H126">iferror(VLOOKUP("TRAINER_PIC_Sis_And_Bro",Sprites!$A$1:$B473,2,false),"")</f>
        <v/>
      </c>
      <c r="I126" s="24"/>
    </row>
    <row r="127">
      <c r="A127" s="25"/>
      <c r="B127" s="26" t="s">
        <v>2158</v>
      </c>
      <c r="C127" s="26" t="s">
        <v>2164</v>
      </c>
      <c r="D127" s="26" t="s">
        <v>2151</v>
      </c>
      <c r="E127" s="26" t="s">
        <v>3087</v>
      </c>
      <c r="F127" s="26" t="s">
        <v>966</v>
      </c>
      <c r="G127" s="26" t="s">
        <v>1218</v>
      </c>
      <c r="H127" s="27"/>
    </row>
    <row r="128">
      <c r="A128" s="10" t="s">
        <v>199</v>
      </c>
      <c r="B128" s="22">
        <v>90.0</v>
      </c>
      <c r="C128" s="22" t="s">
        <v>3088</v>
      </c>
      <c r="D128" s="22">
        <v>90.0</v>
      </c>
      <c r="E128" s="22">
        <v>89.0</v>
      </c>
      <c r="F128" s="22">
        <v>89.0</v>
      </c>
      <c r="G128" s="22">
        <v>89.0</v>
      </c>
      <c r="H128" s="27"/>
    </row>
    <row r="129">
      <c r="A129" s="10" t="s">
        <v>201</v>
      </c>
      <c r="B129" s="29" t="s">
        <v>2032</v>
      </c>
      <c r="C129" s="29" t="s">
        <v>452</v>
      </c>
      <c r="D129" s="29" t="s">
        <v>1147</v>
      </c>
      <c r="E129" s="29" t="s">
        <v>2366</v>
      </c>
      <c r="F129" s="29" t="s">
        <v>408</v>
      </c>
      <c r="G129" s="29" t="s">
        <v>1456</v>
      </c>
      <c r="H129" s="27"/>
    </row>
    <row r="130">
      <c r="A130" s="10" t="s">
        <v>209</v>
      </c>
      <c r="B130" s="22" t="s">
        <v>2423</v>
      </c>
      <c r="C130" s="22" t="s">
        <v>2422</v>
      </c>
      <c r="D130" s="22" t="s">
        <v>2542</v>
      </c>
      <c r="E130" s="22" t="s">
        <v>2368</v>
      </c>
      <c r="F130" s="22" t="s">
        <v>541</v>
      </c>
      <c r="G130" s="22" t="s">
        <v>901</v>
      </c>
      <c r="H130" s="27"/>
    </row>
    <row r="131">
      <c r="A131" s="10" t="s">
        <v>215</v>
      </c>
      <c r="B131" s="29" t="s">
        <v>220</v>
      </c>
      <c r="C131" s="29" t="s">
        <v>222</v>
      </c>
      <c r="D131" s="29" t="s">
        <v>231</v>
      </c>
      <c r="E131" s="29" t="s">
        <v>231</v>
      </c>
      <c r="F131" s="29" t="s">
        <v>220</v>
      </c>
      <c r="G131" s="29" t="s">
        <v>231</v>
      </c>
      <c r="H131" s="27"/>
    </row>
    <row r="132">
      <c r="A132" s="15" t="s">
        <v>224</v>
      </c>
      <c r="B132" s="22" t="s">
        <v>2425</v>
      </c>
      <c r="C132" s="22" t="s">
        <v>3091</v>
      </c>
      <c r="D132" s="22" t="s">
        <v>1352</v>
      </c>
      <c r="E132" s="22" t="s">
        <v>938</v>
      </c>
      <c r="F132" s="22" t="s">
        <v>1793</v>
      </c>
      <c r="G132" s="22" t="s">
        <v>2469</v>
      </c>
      <c r="H132" s="27"/>
    </row>
    <row r="133">
      <c r="A133" s="30"/>
      <c r="B133" s="22" t="s">
        <v>587</v>
      </c>
      <c r="C133" s="22" t="s">
        <v>2896</v>
      </c>
      <c r="D133" s="22" t="s">
        <v>1069</v>
      </c>
      <c r="E133" s="22" t="s">
        <v>795</v>
      </c>
      <c r="F133" s="22" t="s">
        <v>1716</v>
      </c>
      <c r="G133" s="22" t="s">
        <v>587</v>
      </c>
      <c r="H133" s="27"/>
    </row>
    <row r="134">
      <c r="A134" s="30"/>
      <c r="B134" s="22" t="s">
        <v>565</v>
      </c>
      <c r="C134" s="22" t="s">
        <v>3092</v>
      </c>
      <c r="D134" s="22" t="s">
        <v>587</v>
      </c>
      <c r="E134" s="22" t="s">
        <v>2582</v>
      </c>
      <c r="F134" s="22" t="s">
        <v>254</v>
      </c>
      <c r="G134" s="22" t="s">
        <v>2660</v>
      </c>
      <c r="H134" s="27"/>
    </row>
    <row r="135">
      <c r="A135" s="25"/>
      <c r="B135" s="22" t="s">
        <v>465</v>
      </c>
      <c r="C135" s="22" t="s">
        <v>2041</v>
      </c>
      <c r="D135" s="22" t="s">
        <v>255</v>
      </c>
      <c r="E135" s="22" t="s">
        <v>568</v>
      </c>
      <c r="F135" s="22" t="s">
        <v>698</v>
      </c>
      <c r="G135" s="22" t="s">
        <v>1158</v>
      </c>
      <c r="H135" s="31"/>
      <c r="I135" s="32"/>
    </row>
    <row r="136">
      <c r="A136" s="8" t="s">
        <v>3094</v>
      </c>
      <c r="B136" s="9"/>
      <c r="C136" s="9"/>
      <c r="D136" s="9"/>
      <c r="E136" s="9"/>
      <c r="F136" s="9"/>
      <c r="G136" s="9"/>
      <c r="H136" s="9"/>
      <c r="I136" s="34"/>
    </row>
    <row r="137">
      <c r="A137" s="10" t="s">
        <v>5</v>
      </c>
      <c r="B137" s="11" t="s">
        <v>3095</v>
      </c>
      <c r="C137" s="12"/>
      <c r="D137" s="12"/>
      <c r="E137" s="12"/>
      <c r="F137" s="12"/>
      <c r="G137" s="12"/>
      <c r="H137" s="12"/>
      <c r="I137" s="14"/>
    </row>
    <row r="138" ht="60.0" customHeight="1">
      <c r="A138" s="15" t="s">
        <v>16</v>
      </c>
      <c r="B138" s="22" t="str">
        <f t="array" ref="B138">iferror(VLOOKUP(INDIRECT(ADDRESS(ROW()+1,COLUMN(), 4)),Dex!$A$2:$C473,3,false),"")</f>
        <v/>
      </c>
      <c r="C138" s="22" t="str">
        <f t="array" ref="C138">iferror(VLOOKUP(INDIRECT(ADDRESS(ROW()+1,COLUMN(), 4)),Dex!$A$2:$C473,3,false),"")</f>
        <v/>
      </c>
      <c r="D138" s="22" t="str">
        <f t="array" ref="D138">iferror(VLOOKUP(INDIRECT(ADDRESS(ROW()+1,COLUMN(), 4)),Dex!$A$2:$C473,3,false),"")</f>
        <v/>
      </c>
      <c r="E138" s="22" t="str">
        <f t="array" ref="E138">iferror(VLOOKUP(INDIRECT(ADDRESS(ROW()+1,COLUMN(), 4)),Dex!$A$2:$C473,3,false),"")</f>
        <v/>
      </c>
      <c r="F138" s="22" t="str">
        <f t="array" ref="F138">iferror(VLOOKUP(INDIRECT(ADDRESS(ROW()+1,COLUMN(), 4)),Dex!$A$2:$C473,3,false),"")</f>
        <v/>
      </c>
      <c r="G138" s="22" t="str">
        <f t="array" ref="G138">iferror(VLOOKUP(INDIRECT(ADDRESS(ROW()+1,COLUMN(), 4)),Dex!$A$2:$C473,3,false),"")</f>
        <v/>
      </c>
      <c r="H138" s="23" t="str">
        <f t="array" ref="H138">iferror(VLOOKUP("TRAINER_PIC_Aqua_Grunt_M",Sprites!$A$1:$B473,2,false),"")</f>
        <v/>
      </c>
      <c r="I138" s="24"/>
    </row>
    <row r="139">
      <c r="A139" s="25"/>
      <c r="B139" s="26" t="s">
        <v>829</v>
      </c>
      <c r="C139" s="26" t="s">
        <v>609</v>
      </c>
      <c r="D139" s="26" t="s">
        <v>633</v>
      </c>
      <c r="E139" s="26" t="s">
        <v>1847</v>
      </c>
      <c r="F139" s="26" t="s">
        <v>1750</v>
      </c>
      <c r="G139" s="26" t="s">
        <v>1806</v>
      </c>
      <c r="H139" s="27"/>
    </row>
    <row r="140">
      <c r="A140" s="10" t="s">
        <v>199</v>
      </c>
      <c r="B140" s="22">
        <v>91.0</v>
      </c>
      <c r="C140" s="22">
        <v>90.0</v>
      </c>
      <c r="D140" s="22">
        <v>90.0</v>
      </c>
      <c r="E140" s="22">
        <v>90.0</v>
      </c>
      <c r="F140" s="22">
        <v>91.0</v>
      </c>
      <c r="G140" s="22">
        <v>90.0</v>
      </c>
      <c r="H140" s="27"/>
    </row>
    <row r="141">
      <c r="A141" s="10" t="s">
        <v>201</v>
      </c>
      <c r="B141" s="29" t="s">
        <v>777</v>
      </c>
      <c r="C141" s="29" t="s">
        <v>1122</v>
      </c>
      <c r="D141" s="29" t="s">
        <v>2493</v>
      </c>
      <c r="E141" s="29" t="s">
        <v>546</v>
      </c>
      <c r="F141" s="29" t="s">
        <v>2882</v>
      </c>
      <c r="G141" s="29" t="s">
        <v>1332</v>
      </c>
      <c r="H141" s="27"/>
    </row>
    <row r="142">
      <c r="A142" s="10" t="s">
        <v>209</v>
      </c>
      <c r="B142" s="22" t="s">
        <v>2423</v>
      </c>
      <c r="C142" s="22" t="s">
        <v>415</v>
      </c>
      <c r="D142" s="22" t="s">
        <v>1339</v>
      </c>
      <c r="E142" s="22" t="s">
        <v>1152</v>
      </c>
      <c r="F142" s="22" t="s">
        <v>2035</v>
      </c>
      <c r="G142" s="22" t="s">
        <v>1339</v>
      </c>
      <c r="H142" s="27"/>
    </row>
    <row r="143">
      <c r="A143" s="10" t="s">
        <v>215</v>
      </c>
      <c r="B143" s="29" t="s">
        <v>419</v>
      </c>
      <c r="C143" s="29" t="s">
        <v>220</v>
      </c>
      <c r="D143" s="29" t="s">
        <v>218</v>
      </c>
      <c r="E143" s="29" t="s">
        <v>231</v>
      </c>
      <c r="F143" s="29" t="s">
        <v>231</v>
      </c>
      <c r="G143" s="29" t="s">
        <v>419</v>
      </c>
      <c r="H143" s="27"/>
    </row>
    <row r="144">
      <c r="A144" s="15" t="s">
        <v>224</v>
      </c>
      <c r="B144" s="22" t="s">
        <v>3099</v>
      </c>
      <c r="C144" s="22" t="s">
        <v>1162</v>
      </c>
      <c r="D144" s="22" t="s">
        <v>946</v>
      </c>
      <c r="E144" s="22" t="s">
        <v>946</v>
      </c>
      <c r="F144" s="22" t="s">
        <v>549</v>
      </c>
      <c r="G144" s="22" t="s">
        <v>935</v>
      </c>
      <c r="H144" s="27"/>
    </row>
    <row r="145">
      <c r="A145" s="30"/>
      <c r="B145" s="22" t="s">
        <v>362</v>
      </c>
      <c r="C145" s="22" t="s">
        <v>652</v>
      </c>
      <c r="D145" s="22" t="s">
        <v>2578</v>
      </c>
      <c r="E145" s="22" t="s">
        <v>587</v>
      </c>
      <c r="F145" s="22" t="s">
        <v>1791</v>
      </c>
      <c r="G145" s="22" t="s">
        <v>234</v>
      </c>
      <c r="H145" s="27"/>
    </row>
    <row r="146">
      <c r="A146" s="30"/>
      <c r="B146" s="22" t="s">
        <v>357</v>
      </c>
      <c r="C146" s="22" t="s">
        <v>1352</v>
      </c>
      <c r="D146" s="22" t="s">
        <v>652</v>
      </c>
      <c r="E146" s="22" t="s">
        <v>1352</v>
      </c>
      <c r="F146" s="22" t="s">
        <v>2216</v>
      </c>
      <c r="G146" s="22" t="s">
        <v>585</v>
      </c>
      <c r="H146" s="27"/>
    </row>
    <row r="147">
      <c r="A147" s="25"/>
      <c r="B147" s="22" t="s">
        <v>1363</v>
      </c>
      <c r="C147" s="22" t="s">
        <v>1169</v>
      </c>
      <c r="D147" s="22" t="s">
        <v>2579</v>
      </c>
      <c r="E147" s="22" t="s">
        <v>1068</v>
      </c>
      <c r="F147" s="22" t="s">
        <v>421</v>
      </c>
      <c r="G147" s="22" t="s">
        <v>945</v>
      </c>
      <c r="H147" s="31"/>
      <c r="I147" s="32"/>
    </row>
    <row r="148">
      <c r="A148" s="10" t="s">
        <v>5</v>
      </c>
      <c r="B148" s="11" t="s">
        <v>3100</v>
      </c>
      <c r="C148" s="12"/>
      <c r="D148" s="12"/>
      <c r="E148" s="12"/>
      <c r="F148" s="12"/>
      <c r="G148" s="12"/>
      <c r="H148" s="12"/>
      <c r="I148" s="14"/>
    </row>
    <row r="149" ht="60.0" customHeight="1">
      <c r="A149" s="15" t="s">
        <v>16</v>
      </c>
      <c r="B149" s="22" t="str">
        <f t="array" ref="B149">iferror(VLOOKUP(INDIRECT(ADDRESS(ROW()+1,COLUMN(), 4)),Dex!$A$2:$C473,3,false),"")</f>
        <v/>
      </c>
      <c r="C149" s="22" t="str">
        <f t="array" ref="C149">iferror(VLOOKUP(INDIRECT(ADDRESS(ROW()+1,COLUMN(), 4)),Dex!$A$2:$C473,3,false),"")</f>
        <v/>
      </c>
      <c r="D149" s="22" t="str">
        <f t="array" ref="D149">iferror(VLOOKUP(INDIRECT(ADDRESS(ROW()+1,COLUMN(), 4)),Dex!$A$2:$C473,3,false),"")</f>
        <v/>
      </c>
      <c r="E149" s="22" t="str">
        <f t="array" ref="E149">iferror(VLOOKUP(INDIRECT(ADDRESS(ROW()+1,COLUMN(), 4)),Dex!$A$2:$C473,3,false),"")</f>
        <v/>
      </c>
      <c r="F149" s="22" t="str">
        <f t="array" ref="F149">iferror(VLOOKUP(INDIRECT(ADDRESS(ROW()+1,COLUMN(), 4)),Dex!$A$2:$C473,3,false),"")</f>
        <v/>
      </c>
      <c r="G149" s="22" t="str">
        <f t="array" ref="G149">iferror(VLOOKUP(INDIRECT(ADDRESS(ROW()+1,COLUMN(), 4)),Dex!$A$2:$C473,3,false),"")</f>
        <v/>
      </c>
      <c r="H149" s="23" t="str">
        <f t="array" ref="H149">iferror(VLOOKUP("TRAINER_PIC_Aqua_Grunt_F",Sprites!$A$1:$B473,2,false),"")</f>
        <v/>
      </c>
      <c r="I149" s="24"/>
    </row>
    <row r="150">
      <c r="A150" s="25"/>
      <c r="B150" s="26" t="s">
        <v>1276</v>
      </c>
      <c r="C150" s="26" t="s">
        <v>384</v>
      </c>
      <c r="D150" s="26" t="s">
        <v>3110</v>
      </c>
      <c r="E150" s="26" t="s">
        <v>1502</v>
      </c>
      <c r="F150" s="26" t="s">
        <v>1916</v>
      </c>
      <c r="G150" s="26" t="s">
        <v>865</v>
      </c>
      <c r="H150" s="27"/>
    </row>
    <row r="151">
      <c r="A151" s="10" t="s">
        <v>199</v>
      </c>
      <c r="B151" s="22">
        <v>90.0</v>
      </c>
      <c r="C151" s="22">
        <v>90.0</v>
      </c>
      <c r="D151" s="22">
        <v>91.0</v>
      </c>
      <c r="E151" s="22">
        <v>91.0</v>
      </c>
      <c r="F151" s="22">
        <v>91.0</v>
      </c>
      <c r="G151" s="22">
        <v>91.0</v>
      </c>
      <c r="H151" s="27"/>
    </row>
    <row r="152">
      <c r="A152" s="10" t="s">
        <v>201</v>
      </c>
      <c r="B152" s="29" t="s">
        <v>1054</v>
      </c>
      <c r="C152" s="29" t="s">
        <v>206</v>
      </c>
      <c r="D152" s="29" t="s">
        <v>1635</v>
      </c>
      <c r="E152" s="29" t="s">
        <v>777</v>
      </c>
      <c r="F152" s="29" t="s">
        <v>407</v>
      </c>
      <c r="G152" s="29" t="s">
        <v>2351</v>
      </c>
      <c r="H152" s="27"/>
    </row>
    <row r="153">
      <c r="A153" s="10" t="s">
        <v>209</v>
      </c>
      <c r="B153" s="22" t="s">
        <v>538</v>
      </c>
      <c r="C153" s="22" t="s">
        <v>459</v>
      </c>
      <c r="D153" s="22" t="s">
        <v>3111</v>
      </c>
      <c r="E153" s="22" t="s">
        <v>2017</v>
      </c>
      <c r="F153" s="22" t="s">
        <v>1216</v>
      </c>
      <c r="G153" s="22" t="s">
        <v>1152</v>
      </c>
      <c r="H153" s="27"/>
    </row>
    <row r="154">
      <c r="A154" s="10" t="s">
        <v>215</v>
      </c>
      <c r="B154" s="29" t="s">
        <v>220</v>
      </c>
      <c r="C154" s="29" t="s">
        <v>419</v>
      </c>
      <c r="D154" s="29" t="s">
        <v>231</v>
      </c>
      <c r="E154" s="29" t="s">
        <v>220</v>
      </c>
      <c r="F154" s="29" t="s">
        <v>231</v>
      </c>
      <c r="G154" s="29" t="s">
        <v>419</v>
      </c>
      <c r="H154" s="27"/>
    </row>
    <row r="155">
      <c r="A155" s="15" t="s">
        <v>224</v>
      </c>
      <c r="B155" s="22" t="s">
        <v>361</v>
      </c>
      <c r="C155" s="22" t="s">
        <v>814</v>
      </c>
      <c r="D155" s="22" t="s">
        <v>1549</v>
      </c>
      <c r="E155" s="22" t="s">
        <v>473</v>
      </c>
      <c r="F155" s="22" t="s">
        <v>3112</v>
      </c>
      <c r="G155" s="22" t="s">
        <v>1562</v>
      </c>
      <c r="H155" s="27"/>
    </row>
    <row r="156">
      <c r="A156" s="30"/>
      <c r="B156" s="22" t="s">
        <v>363</v>
      </c>
      <c r="C156" s="22" t="s">
        <v>2793</v>
      </c>
      <c r="D156" s="22" t="s">
        <v>477</v>
      </c>
      <c r="E156" s="22" t="s">
        <v>796</v>
      </c>
      <c r="F156" s="22" t="s">
        <v>2393</v>
      </c>
      <c r="G156" s="22" t="s">
        <v>1557</v>
      </c>
      <c r="H156" s="27"/>
    </row>
    <row r="157">
      <c r="A157" s="30"/>
      <c r="B157" s="22" t="s">
        <v>587</v>
      </c>
      <c r="C157" s="22" t="s">
        <v>1363</v>
      </c>
      <c r="D157" s="22" t="s">
        <v>2450</v>
      </c>
      <c r="E157" s="22" t="s">
        <v>477</v>
      </c>
      <c r="F157" s="22" t="s">
        <v>1716</v>
      </c>
      <c r="G157" s="22" t="s">
        <v>1799</v>
      </c>
      <c r="H157" s="27"/>
    </row>
    <row r="158">
      <c r="A158" s="25"/>
      <c r="B158" s="22" t="s">
        <v>940</v>
      </c>
      <c r="C158" s="22" t="s">
        <v>1891</v>
      </c>
      <c r="D158" s="22" t="s">
        <v>1542</v>
      </c>
      <c r="E158" s="22" t="s">
        <v>1541</v>
      </c>
      <c r="F158" s="22" t="s">
        <v>924</v>
      </c>
      <c r="G158" s="22" t="s">
        <v>362</v>
      </c>
      <c r="H158" s="31"/>
      <c r="I158" s="32"/>
    </row>
    <row r="159">
      <c r="A159" s="10" t="s">
        <v>5</v>
      </c>
      <c r="B159" s="11" t="s">
        <v>3113</v>
      </c>
      <c r="C159" s="12"/>
      <c r="D159" s="12"/>
      <c r="E159" s="12"/>
      <c r="F159" s="12"/>
      <c r="G159" s="12"/>
      <c r="H159" s="12"/>
      <c r="I159" s="13"/>
    </row>
    <row r="160" ht="60.0" customHeight="1">
      <c r="A160" s="15" t="s">
        <v>16</v>
      </c>
      <c r="B160" s="22" t="str">
        <f t="array" ref="B160">iferror(VLOOKUP(INDIRECT(ADDRESS(ROW()+1,COLUMN(), 4)),Dex!$A$2:$C473,3,false),"")</f>
        <v/>
      </c>
      <c r="C160" s="22" t="str">
        <f t="array" ref="C160">iferror(VLOOKUP(INDIRECT(ADDRESS(ROW()+1,COLUMN(), 4)),Dex!$A$2:$C473,3,false),"")</f>
        <v/>
      </c>
      <c r="D160" s="22" t="str">
        <f t="array" ref="D160">iferror(VLOOKUP(INDIRECT(ADDRESS(ROW()+1,COLUMN(), 4)),Dex!$A$2:$C473,3,false),"")</f>
        <v/>
      </c>
      <c r="E160" s="22" t="str">
        <f t="array" ref="E160">iferror(VLOOKUP(INDIRECT(ADDRESS(ROW()+1,COLUMN(), 4)),Dex!$A$2:$C473,3,false),"")</f>
        <v/>
      </c>
      <c r="F160" s="22" t="str">
        <f t="array" ref="F160">iferror(VLOOKUP(INDIRECT(ADDRESS(ROW()+1,COLUMN(), 4)),Dex!$A$2:$C473,3,false),"")</f>
        <v/>
      </c>
      <c r="G160" s="22" t="str">
        <f t="array" ref="G160">iferror(VLOOKUP(INDIRECT(ADDRESS(ROW()+1,COLUMN(), 4)),Dex!$A$2:$C473,3,false),"")</f>
        <v/>
      </c>
      <c r="H160" s="23" t="str">
        <f t="array" ref="H160">iferror(VLOOKUP("TRAINER_PIC_Aqua_Grunt_M",Sprites!$A$1:$B473,2,false),"")</f>
        <v/>
      </c>
      <c r="I160" s="24"/>
    </row>
    <row r="161">
      <c r="A161" s="25"/>
      <c r="B161" s="26" t="s">
        <v>530</v>
      </c>
      <c r="C161" s="26" t="s">
        <v>301</v>
      </c>
      <c r="D161" s="26" t="s">
        <v>374</v>
      </c>
      <c r="E161" s="26" t="s">
        <v>257</v>
      </c>
      <c r="F161" s="26" t="s">
        <v>739</v>
      </c>
      <c r="G161" s="26" t="s">
        <v>285</v>
      </c>
      <c r="H161" s="27"/>
    </row>
    <row r="162">
      <c r="A162" s="10" t="s">
        <v>199</v>
      </c>
      <c r="B162" s="22">
        <v>91.0</v>
      </c>
      <c r="C162" s="22">
        <v>91.0</v>
      </c>
      <c r="D162" s="22">
        <v>90.0</v>
      </c>
      <c r="E162" s="22">
        <v>91.0</v>
      </c>
      <c r="F162" s="22">
        <v>91.0</v>
      </c>
      <c r="G162" s="22">
        <v>91.0</v>
      </c>
      <c r="H162" s="27"/>
    </row>
    <row r="163">
      <c r="A163" s="10" t="s">
        <v>201</v>
      </c>
      <c r="B163" s="29" t="s">
        <v>544</v>
      </c>
      <c r="C163" s="29" t="s">
        <v>777</v>
      </c>
      <c r="D163" s="29" t="s">
        <v>451</v>
      </c>
      <c r="E163" s="29" t="s">
        <v>546</v>
      </c>
      <c r="F163" s="29" t="s">
        <v>1213</v>
      </c>
      <c r="G163" s="29" t="s">
        <v>1616</v>
      </c>
      <c r="H163" s="27"/>
    </row>
    <row r="164">
      <c r="A164" s="10" t="s">
        <v>209</v>
      </c>
      <c r="B164" s="22" t="s">
        <v>2404</v>
      </c>
      <c r="C164" s="22" t="s">
        <v>786</v>
      </c>
      <c r="D164" s="22" t="s">
        <v>900</v>
      </c>
      <c r="E164" s="22" t="s">
        <v>3120</v>
      </c>
      <c r="F164" s="22" t="s">
        <v>458</v>
      </c>
      <c r="G164" s="22" t="s">
        <v>1216</v>
      </c>
      <c r="H164" s="27"/>
    </row>
    <row r="165">
      <c r="A165" s="10" t="s">
        <v>215</v>
      </c>
      <c r="B165" s="29" t="s">
        <v>220</v>
      </c>
      <c r="C165" s="29" t="s">
        <v>904</v>
      </c>
      <c r="D165" s="29" t="s">
        <v>906</v>
      </c>
      <c r="E165" s="29" t="s">
        <v>1346</v>
      </c>
      <c r="F165" s="29" t="s">
        <v>220</v>
      </c>
      <c r="G165" s="29" t="s">
        <v>419</v>
      </c>
      <c r="H165" s="27"/>
    </row>
    <row r="166">
      <c r="A166" s="15" t="s">
        <v>224</v>
      </c>
      <c r="B166" s="22" t="s">
        <v>799</v>
      </c>
      <c r="C166" s="22" t="s">
        <v>796</v>
      </c>
      <c r="D166" s="22" t="s">
        <v>2175</v>
      </c>
      <c r="E166" s="22" t="s">
        <v>946</v>
      </c>
      <c r="F166" s="22" t="s">
        <v>1352</v>
      </c>
      <c r="G166" s="22" t="s">
        <v>814</v>
      </c>
      <c r="H166" s="27"/>
    </row>
    <row r="167">
      <c r="A167" s="30"/>
      <c r="B167" s="22" t="s">
        <v>587</v>
      </c>
      <c r="C167" s="22" t="s">
        <v>2875</v>
      </c>
      <c r="D167" s="22" t="s">
        <v>2380</v>
      </c>
      <c r="E167" s="22" t="s">
        <v>234</v>
      </c>
      <c r="F167" s="22" t="s">
        <v>477</v>
      </c>
      <c r="G167" s="22" t="s">
        <v>2040</v>
      </c>
      <c r="H167" s="27"/>
    </row>
    <row r="168">
      <c r="A168" s="30"/>
      <c r="B168" s="22" t="s">
        <v>473</v>
      </c>
      <c r="C168" s="22" t="s">
        <v>1562</v>
      </c>
      <c r="D168" s="22" t="s">
        <v>424</v>
      </c>
      <c r="E168" s="22" t="s">
        <v>552</v>
      </c>
      <c r="F168" s="22" t="s">
        <v>240</v>
      </c>
      <c r="G168" s="22" t="s">
        <v>2047</v>
      </c>
      <c r="H168" s="27"/>
    </row>
    <row r="169">
      <c r="A169" s="25"/>
      <c r="B169" s="22" t="s">
        <v>1616</v>
      </c>
      <c r="C169" s="22" t="s">
        <v>1616</v>
      </c>
      <c r="D169" s="22" t="s">
        <v>1616</v>
      </c>
      <c r="E169" s="22" t="s">
        <v>1616</v>
      </c>
      <c r="F169" s="22" t="s">
        <v>1616</v>
      </c>
      <c r="G169" s="22" t="s">
        <v>2116</v>
      </c>
      <c r="H169" s="31"/>
      <c r="I169" s="32"/>
    </row>
    <row r="170">
      <c r="A170" s="10" t="s">
        <v>5</v>
      </c>
      <c r="B170" s="11" t="s">
        <v>3121</v>
      </c>
      <c r="C170" s="12"/>
      <c r="D170" s="12"/>
      <c r="E170" s="12"/>
      <c r="F170" s="12"/>
      <c r="G170" s="12"/>
      <c r="H170" s="12"/>
      <c r="I170" s="14"/>
    </row>
    <row r="171" ht="60.0" customHeight="1">
      <c r="A171" s="15" t="s">
        <v>16</v>
      </c>
      <c r="B171" s="22" t="str">
        <f t="array" ref="B171">iferror(VLOOKUP(INDIRECT(ADDRESS(ROW()+1,COLUMN(), 4)),Dex!$A$2:$C473,3,false),"")</f>
        <v/>
      </c>
      <c r="C171" s="22" t="str">
        <f t="array" ref="C171">iferror(VLOOKUP(INDIRECT(ADDRESS(ROW()+1,COLUMN(), 4)),Dex!$A$2:$C473,3,false),"")</f>
        <v/>
      </c>
      <c r="D171" s="22" t="str">
        <f t="array" ref="D171">iferror(VLOOKUP(INDIRECT(ADDRESS(ROW()+1,COLUMN(), 4)),Dex!$A$2:$C473,3,false),"")</f>
        <v/>
      </c>
      <c r="E171" s="22" t="str">
        <f t="array" ref="E171">iferror(VLOOKUP(INDIRECT(ADDRESS(ROW()+1,COLUMN(), 4)),Dex!$A$2:$C473,3,false),"")</f>
        <v/>
      </c>
      <c r="F171" s="22" t="str">
        <f t="array" ref="F171">iferror(VLOOKUP(INDIRECT(ADDRESS(ROW()+1,COLUMN(), 4)),Dex!$A$2:$C473,3,false),"")</f>
        <v/>
      </c>
      <c r="G171" s="22" t="str">
        <f t="array" ref="G171">iferror(VLOOKUP(INDIRECT(ADDRESS(ROW()+1,COLUMN(), 4)),Dex!$A$2:$C473,3,false),"")</f>
        <v/>
      </c>
      <c r="H171" s="23" t="str">
        <f t="array" ref="H171">iferror(VLOOKUP("TRAINER_PIC_Aqua_Grunt_F",Sprites!$A$1:$B473,2,false),"")</f>
        <v/>
      </c>
      <c r="I171" s="24"/>
    </row>
    <row r="172">
      <c r="A172" s="25"/>
      <c r="B172" s="26" t="s">
        <v>1698</v>
      </c>
      <c r="C172" s="26" t="s">
        <v>668</v>
      </c>
      <c r="D172" s="26" t="s">
        <v>856</v>
      </c>
      <c r="E172" s="26" t="s">
        <v>1321</v>
      </c>
      <c r="F172" s="26" t="s">
        <v>1606</v>
      </c>
      <c r="G172" s="26" t="s">
        <v>2010</v>
      </c>
      <c r="H172" s="27"/>
    </row>
    <row r="173">
      <c r="A173" s="10" t="s">
        <v>199</v>
      </c>
      <c r="B173" s="22">
        <v>91.0</v>
      </c>
      <c r="C173" s="22">
        <v>91.0</v>
      </c>
      <c r="D173" s="22">
        <v>90.0</v>
      </c>
      <c r="E173" s="22">
        <v>91.0</v>
      </c>
      <c r="F173" s="22">
        <v>91.0</v>
      </c>
      <c r="G173" s="22">
        <v>91.0</v>
      </c>
      <c r="H173" s="27"/>
    </row>
    <row r="174">
      <c r="A174" s="10" t="s">
        <v>201</v>
      </c>
      <c r="B174" s="29" t="s">
        <v>2667</v>
      </c>
      <c r="C174" s="29" t="s">
        <v>2474</v>
      </c>
      <c r="D174" s="29" t="s">
        <v>645</v>
      </c>
      <c r="E174" s="29" t="s">
        <v>777</v>
      </c>
      <c r="F174" s="29" t="s">
        <v>2902</v>
      </c>
      <c r="G174" s="29" t="s">
        <v>2372</v>
      </c>
      <c r="H174" s="27"/>
    </row>
    <row r="175">
      <c r="A175" s="10" t="s">
        <v>209</v>
      </c>
      <c r="B175" s="22" t="s">
        <v>2669</v>
      </c>
      <c r="C175" s="22" t="s">
        <v>679</v>
      </c>
      <c r="D175" s="22" t="s">
        <v>2360</v>
      </c>
      <c r="E175" s="22" t="s">
        <v>1765</v>
      </c>
      <c r="F175" s="22" t="s">
        <v>217</v>
      </c>
      <c r="G175" s="22" t="s">
        <v>1284</v>
      </c>
      <c r="H175" s="27"/>
    </row>
    <row r="176">
      <c r="A176" s="10" t="s">
        <v>215</v>
      </c>
      <c r="B176" s="29" t="s">
        <v>231</v>
      </c>
      <c r="C176" s="29" t="s">
        <v>222</v>
      </c>
      <c r="D176" s="29" t="s">
        <v>222</v>
      </c>
      <c r="E176" s="29" t="s">
        <v>417</v>
      </c>
      <c r="F176" s="29" t="s">
        <v>906</v>
      </c>
      <c r="G176" s="29" t="s">
        <v>231</v>
      </c>
      <c r="H176" s="27"/>
    </row>
    <row r="177">
      <c r="A177" s="15" t="s">
        <v>224</v>
      </c>
      <c r="B177" s="22" t="s">
        <v>2670</v>
      </c>
      <c r="C177" s="22" t="s">
        <v>2370</v>
      </c>
      <c r="D177" s="22" t="s">
        <v>570</v>
      </c>
      <c r="E177" s="22" t="s">
        <v>1848</v>
      </c>
      <c r="F177" s="22" t="s">
        <v>697</v>
      </c>
      <c r="G177" s="22" t="s">
        <v>3033</v>
      </c>
      <c r="H177" s="27"/>
    </row>
    <row r="178">
      <c r="A178" s="30"/>
      <c r="B178" s="22" t="s">
        <v>431</v>
      </c>
      <c r="C178" s="22"/>
      <c r="D178" s="22" t="s">
        <v>1348</v>
      </c>
      <c r="E178" s="22" t="s">
        <v>2500</v>
      </c>
      <c r="F178" s="22" t="s">
        <v>362</v>
      </c>
      <c r="G178" s="22" t="s">
        <v>1352</v>
      </c>
      <c r="H178" s="27"/>
    </row>
    <row r="179">
      <c r="A179" s="30"/>
      <c r="B179" s="22" t="s">
        <v>1227</v>
      </c>
      <c r="C179" s="22"/>
      <c r="D179" s="22" t="s">
        <v>1366</v>
      </c>
      <c r="E179" s="22" t="s">
        <v>356</v>
      </c>
      <c r="F179" s="22" t="s">
        <v>920</v>
      </c>
      <c r="G179" s="22" t="s">
        <v>477</v>
      </c>
      <c r="H179" s="27"/>
    </row>
    <row r="180">
      <c r="A180" s="25"/>
      <c r="B180" s="22" t="s">
        <v>1366</v>
      </c>
      <c r="C180" s="22"/>
      <c r="D180" s="22" t="s">
        <v>465</v>
      </c>
      <c r="E180" s="22" t="s">
        <v>1366</v>
      </c>
      <c r="F180" s="22" t="s">
        <v>2370</v>
      </c>
      <c r="G180" s="22" t="s">
        <v>2221</v>
      </c>
      <c r="H180" s="31"/>
      <c r="I180" s="32"/>
    </row>
    <row r="181">
      <c r="A181" s="10" t="s">
        <v>5</v>
      </c>
      <c r="B181" s="11" t="s">
        <v>3126</v>
      </c>
      <c r="C181" s="12"/>
      <c r="D181" s="12"/>
      <c r="E181" s="12"/>
      <c r="F181" s="12"/>
      <c r="G181" s="12"/>
      <c r="H181" s="12"/>
      <c r="I181" s="14"/>
    </row>
    <row r="182" ht="60.0" customHeight="1">
      <c r="A182" s="15" t="s">
        <v>16</v>
      </c>
      <c r="B182" s="22" t="str">
        <f t="array" ref="B182">iferror(VLOOKUP(INDIRECT(ADDRESS(ROW()+1,COLUMN(), 4)),Dex!$A$2:$C473,3,false),"")</f>
        <v/>
      </c>
      <c r="C182" s="22" t="str">
        <f t="array" ref="C182">iferror(VLOOKUP(INDIRECT(ADDRESS(ROW()+1,COLUMN(), 4)),Dex!$A$2:$C473,3,false),"")</f>
        <v/>
      </c>
      <c r="D182" s="22" t="str">
        <f t="array" ref="D182">iferror(VLOOKUP(INDIRECT(ADDRESS(ROW()+1,COLUMN(), 4)),Dex!$A$2:$C473,3,false),"")</f>
        <v/>
      </c>
      <c r="E182" s="22" t="str">
        <f t="array" ref="E182">iferror(VLOOKUP(INDIRECT(ADDRESS(ROW()+1,COLUMN(), 4)),Dex!$A$2:$C473,3,false),"")</f>
        <v/>
      </c>
      <c r="F182" s="22" t="str">
        <f t="array" ref="F182">iferror(VLOOKUP(INDIRECT(ADDRESS(ROW()+1,COLUMN(), 4)),Dex!$A$2:$C473,3,false),"")</f>
        <v/>
      </c>
      <c r="G182" s="22" t="str">
        <f t="array" ref="G182">iferror(VLOOKUP(INDIRECT(ADDRESS(ROW()+1,COLUMN(), 4)),Dex!$A$2:$C473,3,false),"")</f>
        <v/>
      </c>
      <c r="H182" s="23" t="str">
        <f t="array" ref="H182">iferror(VLOOKUP("TRAINER_PIC_Aqua_Grunt_M",Sprites!$A$1:$B473,2,false),"")</f>
        <v/>
      </c>
      <c r="I182" s="24"/>
    </row>
    <row r="183">
      <c r="A183" s="25"/>
      <c r="B183" s="26" t="s">
        <v>1103</v>
      </c>
      <c r="C183" s="26" t="s">
        <v>1009</v>
      </c>
      <c r="D183" s="26" t="s">
        <v>1842</v>
      </c>
      <c r="E183" s="26" t="s">
        <v>1571</v>
      </c>
      <c r="F183" s="26" t="s">
        <v>606</v>
      </c>
      <c r="G183" s="26" t="s">
        <v>63</v>
      </c>
      <c r="H183" s="27"/>
    </row>
    <row r="184">
      <c r="A184" s="10" t="s">
        <v>199</v>
      </c>
      <c r="B184" s="22">
        <v>91.0</v>
      </c>
      <c r="C184" s="22">
        <v>92.0</v>
      </c>
      <c r="D184" s="22">
        <v>91.0</v>
      </c>
      <c r="E184" s="22">
        <v>91.0</v>
      </c>
      <c r="F184" s="22">
        <v>91.0</v>
      </c>
      <c r="G184" s="22">
        <v>91.0</v>
      </c>
      <c r="H184" s="27"/>
    </row>
    <row r="185">
      <c r="A185" s="10" t="s">
        <v>201</v>
      </c>
      <c r="B185" s="29" t="s">
        <v>408</v>
      </c>
      <c r="C185" s="29" t="s">
        <v>779</v>
      </c>
      <c r="D185" s="29" t="s">
        <v>2351</v>
      </c>
      <c r="E185" s="29" t="s">
        <v>645</v>
      </c>
      <c r="F185" s="29" t="s">
        <v>777</v>
      </c>
      <c r="G185" s="29" t="s">
        <v>3134</v>
      </c>
      <c r="H185" s="27"/>
    </row>
    <row r="186">
      <c r="A186" s="10" t="s">
        <v>209</v>
      </c>
      <c r="B186" s="22" t="s">
        <v>413</v>
      </c>
      <c r="C186" s="22" t="s">
        <v>217</v>
      </c>
      <c r="D186" s="22" t="s">
        <v>2800</v>
      </c>
      <c r="E186" s="22" t="s">
        <v>2960</v>
      </c>
      <c r="F186" s="22" t="s">
        <v>219</v>
      </c>
      <c r="G186" s="22" t="s">
        <v>1527</v>
      </c>
      <c r="H186" s="27"/>
    </row>
    <row r="187">
      <c r="A187" s="10" t="s">
        <v>215</v>
      </c>
      <c r="B187" s="29" t="s">
        <v>218</v>
      </c>
      <c r="C187" s="29" t="s">
        <v>419</v>
      </c>
      <c r="D187" s="29" t="s">
        <v>419</v>
      </c>
      <c r="E187" s="29" t="s">
        <v>222</v>
      </c>
      <c r="F187" s="29" t="s">
        <v>220</v>
      </c>
      <c r="G187" s="29" t="s">
        <v>906</v>
      </c>
      <c r="H187" s="27"/>
    </row>
    <row r="188">
      <c r="A188" s="15" t="s">
        <v>224</v>
      </c>
      <c r="B188" s="22" t="s">
        <v>361</v>
      </c>
      <c r="C188" s="22" t="s">
        <v>2512</v>
      </c>
      <c r="D188" s="22" t="s">
        <v>584</v>
      </c>
      <c r="E188" s="22" t="s">
        <v>469</v>
      </c>
      <c r="F188" s="22" t="s">
        <v>799</v>
      </c>
      <c r="G188" s="22" t="s">
        <v>926</v>
      </c>
      <c r="H188" s="27"/>
    </row>
    <row r="189">
      <c r="A189" s="30"/>
      <c r="B189" s="22" t="s">
        <v>1366</v>
      </c>
      <c r="C189" s="22" t="s">
        <v>585</v>
      </c>
      <c r="D189" s="22" t="s">
        <v>2115</v>
      </c>
      <c r="E189" s="22" t="s">
        <v>2397</v>
      </c>
      <c r="F189" s="22" t="s">
        <v>917</v>
      </c>
      <c r="G189" s="22" t="s">
        <v>355</v>
      </c>
      <c r="H189" s="27"/>
    </row>
    <row r="190">
      <c r="A190" s="30"/>
      <c r="B190" s="22" t="s">
        <v>2555</v>
      </c>
      <c r="C190" s="22" t="s">
        <v>570</v>
      </c>
      <c r="D190" s="22" t="s">
        <v>234</v>
      </c>
      <c r="E190" s="22" t="s">
        <v>2964</v>
      </c>
      <c r="F190" s="22" t="s">
        <v>1352</v>
      </c>
      <c r="G190" s="22" t="s">
        <v>1251</v>
      </c>
      <c r="H190" s="27"/>
    </row>
    <row r="191">
      <c r="A191" s="25"/>
      <c r="B191" s="22" t="s">
        <v>3034</v>
      </c>
      <c r="C191" s="22" t="s">
        <v>576</v>
      </c>
      <c r="D191" s="22" t="s">
        <v>2965</v>
      </c>
      <c r="E191" s="22" t="s">
        <v>246</v>
      </c>
      <c r="F191" s="22" t="s">
        <v>1538</v>
      </c>
      <c r="G191" s="22" t="s">
        <v>1031</v>
      </c>
      <c r="H191" s="31"/>
      <c r="I191" s="32"/>
    </row>
    <row r="192">
      <c r="A192" s="10" t="s">
        <v>5</v>
      </c>
      <c r="B192" s="11" t="s">
        <v>3136</v>
      </c>
      <c r="C192" s="12"/>
      <c r="D192" s="12"/>
      <c r="E192" s="12"/>
      <c r="F192" s="12"/>
      <c r="G192" s="12"/>
      <c r="H192" s="12"/>
      <c r="I192" s="14"/>
    </row>
    <row r="193" ht="60.0" customHeight="1">
      <c r="A193" s="15" t="s">
        <v>16</v>
      </c>
      <c r="B193" s="22" t="str">
        <f t="array" ref="B193">iferror(VLOOKUP(INDIRECT(ADDRESS(ROW()+1,COLUMN(), 4)),Dex!$A$2:$C473,3,false),"")</f>
        <v/>
      </c>
      <c r="C193" s="22" t="str">
        <f t="array" ref="C193">iferror(VLOOKUP(INDIRECT(ADDRESS(ROW()+1,COLUMN(), 4)),Dex!$A$2:$C473,3,false),"")</f>
        <v/>
      </c>
      <c r="D193" s="22" t="str">
        <f t="array" ref="D193">iferror(VLOOKUP(INDIRECT(ADDRESS(ROW()+1,COLUMN(), 4)),Dex!$A$2:$C473,3,false),"")</f>
        <v/>
      </c>
      <c r="E193" s="22" t="str">
        <f t="array" ref="E193">iferror(VLOOKUP(INDIRECT(ADDRESS(ROW()+1,COLUMN(), 4)),Dex!$A$2:$C473,3,false),"")</f>
        <v/>
      </c>
      <c r="F193" s="22" t="str">
        <f t="array" ref="F193">iferror(VLOOKUP(INDIRECT(ADDRESS(ROW()+1,COLUMN(), 4)),Dex!$A$2:$C473,3,false),"")</f>
        <v/>
      </c>
      <c r="G193" s="22" t="str">
        <f t="array" ref="G193">iferror(VLOOKUP(INDIRECT(ADDRESS(ROW()+1,COLUMN(), 4)),Dex!$A$2:$C473,3,false),"")</f>
        <v/>
      </c>
      <c r="H193" s="23" t="str">
        <f t="array" ref="H193">iferror(VLOOKUP("TRAINER_PIC_Aqua_Admin_F",Sprites!$A$1:$B473,2,false),"")</f>
        <v/>
      </c>
      <c r="I193" s="24"/>
    </row>
    <row r="194">
      <c r="A194" s="25"/>
      <c r="B194" s="26" t="s">
        <v>880</v>
      </c>
      <c r="C194" s="26" t="s">
        <v>1966</v>
      </c>
      <c r="D194" s="26" t="s">
        <v>2056</v>
      </c>
      <c r="E194" s="26" t="s">
        <v>1917</v>
      </c>
      <c r="F194" s="26" t="s">
        <v>1531</v>
      </c>
      <c r="G194" s="26" t="s">
        <v>1746</v>
      </c>
      <c r="H194" s="27"/>
    </row>
    <row r="195">
      <c r="A195" s="10" t="s">
        <v>199</v>
      </c>
      <c r="B195" s="22">
        <v>91.0</v>
      </c>
      <c r="C195" s="22">
        <v>91.0</v>
      </c>
      <c r="D195" s="22">
        <v>91.0</v>
      </c>
      <c r="E195" s="22">
        <v>92.0</v>
      </c>
      <c r="F195" s="22">
        <v>91.0</v>
      </c>
      <c r="G195" s="22">
        <v>92.0</v>
      </c>
      <c r="H195" s="27"/>
    </row>
    <row r="196">
      <c r="A196" s="10" t="s">
        <v>201</v>
      </c>
      <c r="B196" s="29" t="s">
        <v>3145</v>
      </c>
      <c r="C196" s="29" t="s">
        <v>537</v>
      </c>
      <c r="D196" s="29" t="s">
        <v>1926</v>
      </c>
      <c r="E196" s="29" t="s">
        <v>1242</v>
      </c>
      <c r="F196" s="29" t="s">
        <v>1635</v>
      </c>
      <c r="G196" s="29" t="s">
        <v>2351</v>
      </c>
      <c r="H196" s="27"/>
    </row>
    <row r="197">
      <c r="A197" s="10" t="s">
        <v>209</v>
      </c>
      <c r="B197" s="22" t="s">
        <v>413</v>
      </c>
      <c r="C197" s="22" t="s">
        <v>2593</v>
      </c>
      <c r="D197" s="22" t="s">
        <v>1060</v>
      </c>
      <c r="E197" s="22" t="s">
        <v>3041</v>
      </c>
      <c r="F197" s="22" t="s">
        <v>1643</v>
      </c>
      <c r="G197" s="22" t="s">
        <v>2992</v>
      </c>
      <c r="H197" s="27"/>
    </row>
    <row r="198">
      <c r="A198" s="10" t="s">
        <v>215</v>
      </c>
      <c r="B198" s="29" t="s">
        <v>1346</v>
      </c>
      <c r="C198" s="29" t="s">
        <v>222</v>
      </c>
      <c r="D198" s="29" t="s">
        <v>231</v>
      </c>
      <c r="E198" s="29" t="s">
        <v>231</v>
      </c>
      <c r="F198" s="29" t="s">
        <v>906</v>
      </c>
      <c r="G198" s="29" t="s">
        <v>1346</v>
      </c>
      <c r="H198" s="27"/>
    </row>
    <row r="199">
      <c r="A199" s="15" t="s">
        <v>224</v>
      </c>
      <c r="B199" s="22" t="s">
        <v>2578</v>
      </c>
      <c r="C199" s="22" t="s">
        <v>814</v>
      </c>
      <c r="D199" s="22" t="s">
        <v>2327</v>
      </c>
      <c r="E199" s="22" t="s">
        <v>549</v>
      </c>
      <c r="F199" s="22" t="s">
        <v>1873</v>
      </c>
      <c r="G199" s="22" t="s">
        <v>2634</v>
      </c>
      <c r="H199" s="27"/>
    </row>
    <row r="200">
      <c r="A200" s="30"/>
      <c r="B200" s="22" t="s">
        <v>1458</v>
      </c>
      <c r="C200" s="22" t="s">
        <v>1363</v>
      </c>
      <c r="D200" s="22" t="s">
        <v>2907</v>
      </c>
      <c r="E200" s="22" t="s">
        <v>799</v>
      </c>
      <c r="F200" s="22" t="s">
        <v>817</v>
      </c>
      <c r="G200" s="22" t="s">
        <v>1162</v>
      </c>
      <c r="H200" s="27"/>
    </row>
    <row r="201">
      <c r="A201" s="30"/>
      <c r="B201" s="22" t="s">
        <v>584</v>
      </c>
      <c r="C201" s="22" t="s">
        <v>815</v>
      </c>
      <c r="D201" s="22" t="s">
        <v>249</v>
      </c>
      <c r="E201" s="22" t="s">
        <v>1352</v>
      </c>
      <c r="F201" s="22" t="s">
        <v>424</v>
      </c>
      <c r="G201" s="22" t="s">
        <v>477</v>
      </c>
      <c r="H201" s="27"/>
    </row>
    <row r="202">
      <c r="A202" s="25"/>
      <c r="B202" s="22" t="s">
        <v>946</v>
      </c>
      <c r="C202" s="22" t="s">
        <v>1048</v>
      </c>
      <c r="D202" s="22" t="s">
        <v>549</v>
      </c>
      <c r="E202" s="22" t="s">
        <v>1035</v>
      </c>
      <c r="F202" s="22" t="s">
        <v>361</v>
      </c>
      <c r="G202" s="22" t="s">
        <v>2560</v>
      </c>
      <c r="H202" s="31"/>
      <c r="I202" s="32"/>
    </row>
    <row r="203">
      <c r="A203" s="10" t="s">
        <v>5</v>
      </c>
      <c r="B203" s="11" t="s">
        <v>3146</v>
      </c>
      <c r="C203" s="12"/>
      <c r="D203" s="12"/>
      <c r="E203" s="12"/>
      <c r="F203" s="12"/>
      <c r="G203" s="12"/>
      <c r="H203" s="12"/>
      <c r="I203" s="13"/>
    </row>
    <row r="204" ht="60.0" customHeight="1">
      <c r="A204" s="15" t="s">
        <v>16</v>
      </c>
      <c r="B204" s="22" t="str">
        <f t="array" ref="B204">iferror(VLOOKUP(INDIRECT(ADDRESS(ROW()+1,COLUMN(), 4)),Dex!$A$2:$C473,3,false),"")</f>
        <v/>
      </c>
      <c r="C204" s="22" t="str">
        <f t="array" ref="C204">iferror(VLOOKUP(INDIRECT(ADDRESS(ROW()+1,COLUMN(), 4)),Dex!$A$2:$C473,3,false),"")</f>
        <v/>
      </c>
      <c r="D204" s="22" t="str">
        <f t="array" ref="D204">iferror(VLOOKUP(INDIRECT(ADDRESS(ROW()+1,COLUMN(), 4)),Dex!$A$2:$C473,3,false),"")</f>
        <v/>
      </c>
      <c r="E204" s="22" t="str">
        <f t="array" ref="E204">iferror(VLOOKUP(INDIRECT(ADDRESS(ROW()+1,COLUMN(), 4)),Dex!$A$2:$C473,3,false),"")</f>
        <v/>
      </c>
      <c r="F204" s="22" t="str">
        <f t="array" ref="F204">iferror(VLOOKUP(INDIRECT(ADDRESS(ROW()+1,COLUMN(), 4)),Dex!$A$2:$C473,3,false),"")</f>
        <v/>
      </c>
      <c r="G204" s="22" t="str">
        <f t="array" ref="G204">iferror(VLOOKUP(INDIRECT(ADDRESS(ROW()+1,COLUMN(), 4)),Dex!$A$2:$C473,3,false),"")</f>
        <v/>
      </c>
      <c r="H204" s="23" t="str">
        <f t="array" ref="H204">iferror(VLOOKUP("TRAINER_PIC_Aqua_Grunt_Steve",Sprites!$A$1:$B473,2,false),"")</f>
        <v/>
      </c>
      <c r="I204" s="24"/>
    </row>
    <row r="205">
      <c r="A205" s="25"/>
      <c r="B205" s="26" t="s">
        <v>661</v>
      </c>
      <c r="C205" s="26" t="s">
        <v>1970</v>
      </c>
      <c r="D205" s="26" t="s">
        <v>604</v>
      </c>
      <c r="E205" s="26" t="s">
        <v>403</v>
      </c>
      <c r="F205" s="26" t="s">
        <v>1010</v>
      </c>
      <c r="G205" s="26" t="s">
        <v>2149</v>
      </c>
      <c r="H205" s="27"/>
    </row>
    <row r="206">
      <c r="A206" s="10" t="s">
        <v>199</v>
      </c>
      <c r="B206" s="22">
        <v>93.0</v>
      </c>
      <c r="C206" s="22">
        <v>92.0</v>
      </c>
      <c r="D206" s="22" t="s">
        <v>3157</v>
      </c>
      <c r="E206" s="22">
        <v>92.0</v>
      </c>
      <c r="F206" s="22">
        <v>92.0</v>
      </c>
      <c r="G206" s="22">
        <v>93.0</v>
      </c>
      <c r="H206" s="27"/>
    </row>
    <row r="207">
      <c r="A207" s="10" t="s">
        <v>201</v>
      </c>
      <c r="B207" s="29" t="s">
        <v>406</v>
      </c>
      <c r="C207" s="29" t="s">
        <v>1635</v>
      </c>
      <c r="D207" s="29" t="s">
        <v>2980</v>
      </c>
      <c r="E207" s="29" t="s">
        <v>779</v>
      </c>
      <c r="F207" s="29" t="s">
        <v>1279</v>
      </c>
      <c r="G207" s="29" t="s">
        <v>1242</v>
      </c>
      <c r="H207" s="27"/>
    </row>
    <row r="208">
      <c r="A208" s="10" t="s">
        <v>209</v>
      </c>
      <c r="B208" s="22" t="s">
        <v>680</v>
      </c>
      <c r="C208" s="22" t="s">
        <v>788</v>
      </c>
      <c r="D208" s="22" t="s">
        <v>2463</v>
      </c>
      <c r="E208" s="22" t="s">
        <v>2462</v>
      </c>
      <c r="F208" s="22" t="s">
        <v>2463</v>
      </c>
      <c r="G208" s="22" t="s">
        <v>540</v>
      </c>
      <c r="H208" s="27"/>
    </row>
    <row r="209">
      <c r="A209" s="10" t="s">
        <v>215</v>
      </c>
      <c r="B209" s="29" t="s">
        <v>220</v>
      </c>
      <c r="C209" s="29" t="s">
        <v>222</v>
      </c>
      <c r="D209" s="29" t="s">
        <v>417</v>
      </c>
      <c r="E209" s="29" t="s">
        <v>231</v>
      </c>
      <c r="F209" s="29" t="s">
        <v>231</v>
      </c>
      <c r="G209" s="29" t="s">
        <v>231</v>
      </c>
      <c r="H209" s="27"/>
    </row>
    <row r="210">
      <c r="A210" s="15" t="s">
        <v>224</v>
      </c>
      <c r="B210" s="22" t="s">
        <v>361</v>
      </c>
      <c r="C210" s="22" t="s">
        <v>2836</v>
      </c>
      <c r="D210" s="22" t="s">
        <v>917</v>
      </c>
      <c r="E210" s="22" t="s">
        <v>2823</v>
      </c>
      <c r="F210" s="22" t="s">
        <v>356</v>
      </c>
      <c r="G210" s="22" t="s">
        <v>2215</v>
      </c>
      <c r="H210" s="27"/>
    </row>
    <row r="211">
      <c r="A211" s="30"/>
      <c r="B211" s="22" t="s">
        <v>363</v>
      </c>
      <c r="C211" s="22" t="s">
        <v>701</v>
      </c>
      <c r="D211" s="22" t="s">
        <v>2500</v>
      </c>
      <c r="E211" s="22" t="s">
        <v>428</v>
      </c>
      <c r="F211" s="22" t="s">
        <v>2513</v>
      </c>
      <c r="G211" s="22" t="s">
        <v>565</v>
      </c>
      <c r="H211" s="27"/>
    </row>
    <row r="212">
      <c r="A212" s="30"/>
      <c r="B212" s="22" t="s">
        <v>477</v>
      </c>
      <c r="C212" s="22" t="s">
        <v>357</v>
      </c>
      <c r="D212" s="22" t="s">
        <v>356</v>
      </c>
      <c r="E212" s="22" t="s">
        <v>1562</v>
      </c>
      <c r="F212" s="22" t="s">
        <v>363</v>
      </c>
      <c r="G212" s="22" t="s">
        <v>799</v>
      </c>
      <c r="H212" s="27"/>
    </row>
    <row r="213">
      <c r="A213" s="25"/>
      <c r="B213" s="22" t="s">
        <v>2387</v>
      </c>
      <c r="C213" s="22" t="s">
        <v>2370</v>
      </c>
      <c r="D213" s="22" t="s">
        <v>555</v>
      </c>
      <c r="E213" s="22" t="s">
        <v>2490</v>
      </c>
      <c r="F213" s="22" t="s">
        <v>809</v>
      </c>
      <c r="G213" s="22" t="s">
        <v>476</v>
      </c>
      <c r="H213" s="31"/>
      <c r="I213" s="32"/>
    </row>
    <row r="214">
      <c r="A214" s="10" t="s">
        <v>5</v>
      </c>
      <c r="B214" s="11" t="s">
        <v>3159</v>
      </c>
      <c r="C214" s="12"/>
      <c r="D214" s="12"/>
      <c r="E214" s="12"/>
      <c r="F214" s="12"/>
      <c r="G214" s="12"/>
      <c r="H214" s="12"/>
      <c r="I214" s="13"/>
    </row>
    <row r="215" ht="60.0" customHeight="1">
      <c r="A215" s="15" t="s">
        <v>16</v>
      </c>
      <c r="B215" s="22" t="str">
        <f t="array" ref="B215">iferror(VLOOKUP(INDIRECT(ADDRESS(ROW()+1,COLUMN(), 4)),Dex!$A$2:$C473,3,false),"")</f>
        <v/>
      </c>
      <c r="C215" s="22" t="str">
        <f t="array" ref="C215">iferror(VLOOKUP(INDIRECT(ADDRESS(ROW()+1,COLUMN(), 4)),Dex!$A$2:$C473,3,false),"")</f>
        <v/>
      </c>
      <c r="D215" s="22" t="str">
        <f t="array" ref="D215">iferror(VLOOKUP(INDIRECT(ADDRESS(ROW()+1,COLUMN(), 4)),Dex!$A$2:$C473,3,false),"")</f>
        <v/>
      </c>
      <c r="E215" s="22" t="str">
        <f t="array" ref="E215">iferror(VLOOKUP(INDIRECT(ADDRESS(ROW()+1,COLUMN(), 4)),Dex!$A$2:$C473,3,false),"")</f>
        <v/>
      </c>
      <c r="F215" s="22" t="str">
        <f t="array" ref="F215">iferror(VLOOKUP(INDIRECT(ADDRESS(ROW()+1,COLUMN(), 4)),Dex!$A$2:$C473,3,false),"")</f>
        <v/>
      </c>
      <c r="G215" s="22" t="str">
        <f t="array" ref="G215">iferror(VLOOKUP(INDIRECT(ADDRESS(ROW()+1,COLUMN(), 4)),Dex!$A$2:$C473,3,false),"")</f>
        <v/>
      </c>
      <c r="H215" s="23" t="str">
        <f t="array" ref="H215">iferror(VLOOKUP("TRAINER_PIC_Aqua_Leader_Archie",Sprites!$A$1:$B473,2,false),"")</f>
        <v/>
      </c>
      <c r="I215" s="24"/>
    </row>
    <row r="216">
      <c r="A216" s="25"/>
      <c r="B216" s="26" t="s">
        <v>881</v>
      </c>
      <c r="C216" s="26" t="s">
        <v>982</v>
      </c>
      <c r="D216" s="26" t="s">
        <v>2252</v>
      </c>
      <c r="E216" s="26" t="s">
        <v>3161</v>
      </c>
      <c r="F216" s="26" t="s">
        <v>1672</v>
      </c>
      <c r="G216" s="26" t="s">
        <v>770</v>
      </c>
      <c r="H216" s="27"/>
    </row>
    <row r="217">
      <c r="A217" s="10" t="s">
        <v>199</v>
      </c>
      <c r="B217" s="22">
        <v>95.0</v>
      </c>
      <c r="C217" s="22">
        <v>92.0</v>
      </c>
      <c r="D217" s="22">
        <v>92.0</v>
      </c>
      <c r="E217" s="22">
        <v>93.0</v>
      </c>
      <c r="F217" s="22">
        <v>92.0</v>
      </c>
      <c r="G217" s="22">
        <v>96.0</v>
      </c>
      <c r="H217" s="27"/>
    </row>
    <row r="218">
      <c r="A218" s="10" t="s">
        <v>201</v>
      </c>
      <c r="B218" s="29" t="s">
        <v>1281</v>
      </c>
      <c r="C218" s="29" t="s">
        <v>206</v>
      </c>
      <c r="D218" s="29" t="s">
        <v>2408</v>
      </c>
      <c r="E218" s="29" t="s">
        <v>2493</v>
      </c>
      <c r="F218" s="29" t="s">
        <v>645</v>
      </c>
      <c r="G218" s="29" t="s">
        <v>2835</v>
      </c>
      <c r="H218" s="27"/>
    </row>
    <row r="219">
      <c r="A219" s="10" t="s">
        <v>209</v>
      </c>
      <c r="B219" s="22" t="s">
        <v>2101</v>
      </c>
      <c r="C219" s="22" t="s">
        <v>1152</v>
      </c>
      <c r="D219" s="22" t="s">
        <v>2919</v>
      </c>
      <c r="E219" s="22" t="s">
        <v>2361</v>
      </c>
      <c r="F219" s="22" t="s">
        <v>2724</v>
      </c>
      <c r="G219" s="22" t="s">
        <v>2205</v>
      </c>
      <c r="H219" s="27"/>
    </row>
    <row r="220">
      <c r="A220" s="10" t="s">
        <v>215</v>
      </c>
      <c r="B220" s="29" t="s">
        <v>906</v>
      </c>
      <c r="C220" s="29" t="s">
        <v>231</v>
      </c>
      <c r="D220" s="29" t="s">
        <v>419</v>
      </c>
      <c r="E220" s="29" t="s">
        <v>419</v>
      </c>
      <c r="F220" s="29" t="s">
        <v>906</v>
      </c>
      <c r="G220" s="29" t="s">
        <v>231</v>
      </c>
      <c r="H220" s="27"/>
    </row>
    <row r="221">
      <c r="A221" s="15" t="s">
        <v>224</v>
      </c>
      <c r="B221" s="22" t="s">
        <v>2703</v>
      </c>
      <c r="C221" s="22" t="s">
        <v>2823</v>
      </c>
      <c r="D221" s="22" t="s">
        <v>2920</v>
      </c>
      <c r="E221" s="22" t="s">
        <v>2115</v>
      </c>
      <c r="F221" s="22" t="s">
        <v>697</v>
      </c>
      <c r="G221" s="22" t="s">
        <v>587</v>
      </c>
      <c r="H221" s="27"/>
    </row>
    <row r="222">
      <c r="A222" s="30"/>
      <c r="B222" s="22" t="s">
        <v>3163</v>
      </c>
      <c r="C222" s="22" t="s">
        <v>951</v>
      </c>
      <c r="D222" s="22" t="s">
        <v>2397</v>
      </c>
      <c r="E222" s="22" t="s">
        <v>814</v>
      </c>
      <c r="F222" s="22" t="s">
        <v>926</v>
      </c>
      <c r="G222" s="22" t="s">
        <v>2582</v>
      </c>
      <c r="H222" s="27"/>
    </row>
    <row r="223">
      <c r="A223" s="30"/>
      <c r="B223" s="22" t="s">
        <v>1891</v>
      </c>
      <c r="C223" s="22" t="s">
        <v>476</v>
      </c>
      <c r="D223" s="22" t="s">
        <v>1955</v>
      </c>
      <c r="E223" s="22" t="s">
        <v>585</v>
      </c>
      <c r="F223" s="22" t="s">
        <v>426</v>
      </c>
      <c r="G223" s="22" t="s">
        <v>1352</v>
      </c>
      <c r="H223" s="27"/>
    </row>
    <row r="224">
      <c r="A224" s="25"/>
      <c r="B224" s="22" t="s">
        <v>234</v>
      </c>
      <c r="C224" s="22" t="s">
        <v>2111</v>
      </c>
      <c r="D224" s="22" t="s">
        <v>805</v>
      </c>
      <c r="E224" s="22" t="s">
        <v>694</v>
      </c>
      <c r="F224" s="22" t="s">
        <v>572</v>
      </c>
      <c r="G224" s="22" t="s">
        <v>1541</v>
      </c>
      <c r="H224" s="31"/>
      <c r="I224" s="32"/>
    </row>
    <row r="225">
      <c r="A225" s="8" t="s">
        <v>3165</v>
      </c>
      <c r="B225" s="9"/>
      <c r="C225" s="9"/>
      <c r="D225" s="9"/>
      <c r="E225" s="9"/>
      <c r="F225" s="9"/>
      <c r="G225" s="9"/>
      <c r="H225" s="9"/>
      <c r="I225" s="34"/>
    </row>
    <row r="226">
      <c r="A226" s="10" t="s">
        <v>5</v>
      </c>
      <c r="B226" s="11" t="s">
        <v>3167</v>
      </c>
      <c r="C226" s="12"/>
      <c r="D226" s="12"/>
      <c r="E226" s="12"/>
      <c r="F226" s="12"/>
      <c r="G226" s="12"/>
      <c r="H226" s="12"/>
      <c r="I226" s="13"/>
    </row>
    <row r="227" ht="60.0" customHeight="1">
      <c r="A227" s="15" t="s">
        <v>16</v>
      </c>
      <c r="B227" s="22" t="str">
        <f t="array" ref="B227">iferror(VLOOKUP(INDIRECT(ADDRESS(ROW()+1,COLUMN(), 4)),Dex!$A$2:$C473,3,false),"")</f>
        <v/>
      </c>
      <c r="C227" s="22" t="str">
        <f t="array" ref="C227">iferror(VLOOKUP(INDIRECT(ADDRESS(ROW()+1,COLUMN(), 4)),Dex!$A$2:$C473,3,false),"")</f>
        <v/>
      </c>
      <c r="D227" s="22" t="str">
        <f t="array" ref="D227">iferror(VLOOKUP(INDIRECT(ADDRESS(ROW()+1,COLUMN(), 4)),Dex!$A$2:$C473,3,false),"")</f>
        <v/>
      </c>
      <c r="E227" s="22" t="str">
        <f t="array" ref="E227">iferror(VLOOKUP(INDIRECT(ADDRESS(ROW()+1,COLUMN(), 4)),Dex!$A$2:$C473,3,false),"")</f>
        <v/>
      </c>
      <c r="F227" s="22" t="str">
        <f t="array" ref="F227">iferror(VLOOKUP(INDIRECT(ADDRESS(ROW()+1,COLUMN(), 4)),Dex!$A$2:$C473,3,false),"")</f>
        <v/>
      </c>
      <c r="G227" s="22" t="str">
        <f t="array" ref="G227">iferror(VLOOKUP(INDIRECT(ADDRESS(ROW()+1,COLUMN(), 4)),Dex!$A$2:$C473,3,false),"")</f>
        <v/>
      </c>
      <c r="H227" s="23" t="str">
        <f t="array" ref="H227">iferror(VLOOKUP("TRAINER_PIC_Swimmer_M",Sprites!$A$1:$B473,2,false),"")</f>
        <v/>
      </c>
      <c r="I227" s="24"/>
    </row>
    <row r="228">
      <c r="A228" s="25"/>
      <c r="B228" s="26" t="s">
        <v>1831</v>
      </c>
      <c r="C228" s="26" t="s">
        <v>626</v>
      </c>
      <c r="D228" s="26" t="s">
        <v>1322</v>
      </c>
      <c r="E228" s="26" t="s">
        <v>651</v>
      </c>
      <c r="F228" s="26" t="s">
        <v>483</v>
      </c>
      <c r="G228" s="26" t="s">
        <v>863</v>
      </c>
      <c r="H228" s="27"/>
    </row>
    <row r="229">
      <c r="A229" s="10" t="s">
        <v>199</v>
      </c>
      <c r="B229" s="22">
        <v>92.0</v>
      </c>
      <c r="C229" s="22">
        <v>94.0</v>
      </c>
      <c r="D229" s="22">
        <v>92.0</v>
      </c>
      <c r="E229" s="22">
        <v>93.0</v>
      </c>
      <c r="F229" s="22">
        <v>93.0</v>
      </c>
      <c r="G229" s="22">
        <v>93.0</v>
      </c>
      <c r="H229" s="27"/>
    </row>
    <row r="230">
      <c r="A230" s="10" t="s">
        <v>201</v>
      </c>
      <c r="B230" s="29" t="s">
        <v>408</v>
      </c>
      <c r="C230" s="29" t="s">
        <v>1147</v>
      </c>
      <c r="D230" s="29" t="s">
        <v>455</v>
      </c>
      <c r="E230" s="29" t="s">
        <v>2313</v>
      </c>
      <c r="F230" s="29" t="s">
        <v>3171</v>
      </c>
      <c r="G230" s="29" t="s">
        <v>2410</v>
      </c>
      <c r="H230" s="27"/>
    </row>
    <row r="231">
      <c r="A231" s="10" t="s">
        <v>209</v>
      </c>
      <c r="B231" s="22" t="s">
        <v>3172</v>
      </c>
      <c r="C231" s="22" t="s">
        <v>1152</v>
      </c>
      <c r="D231" s="22" t="s">
        <v>1337</v>
      </c>
      <c r="E231" s="22" t="s">
        <v>911</v>
      </c>
      <c r="F231" s="22" t="s">
        <v>683</v>
      </c>
      <c r="G231" s="22" t="s">
        <v>1152</v>
      </c>
      <c r="H231" s="27"/>
    </row>
    <row r="232">
      <c r="A232" s="10" t="s">
        <v>215</v>
      </c>
      <c r="B232" s="29" t="s">
        <v>231</v>
      </c>
      <c r="C232" s="29" t="s">
        <v>419</v>
      </c>
      <c r="D232" s="29" t="s">
        <v>542</v>
      </c>
      <c r="E232" s="29" t="s">
        <v>419</v>
      </c>
      <c r="F232" s="29" t="s">
        <v>1346</v>
      </c>
      <c r="G232" s="29" t="s">
        <v>222</v>
      </c>
      <c r="H232" s="27"/>
    </row>
    <row r="233">
      <c r="A233" s="15" t="s">
        <v>224</v>
      </c>
      <c r="B233" s="22" t="s">
        <v>361</v>
      </c>
      <c r="C233" s="22" t="s">
        <v>2115</v>
      </c>
      <c r="D233" s="22" t="s">
        <v>2386</v>
      </c>
      <c r="E233" s="22" t="s">
        <v>1891</v>
      </c>
      <c r="F233" s="22" t="s">
        <v>795</v>
      </c>
      <c r="G233" s="22" t="s">
        <v>3174</v>
      </c>
      <c r="H233" s="27"/>
    </row>
    <row r="234">
      <c r="A234" s="30"/>
      <c r="B234" s="22" t="s">
        <v>1366</v>
      </c>
      <c r="C234" s="22" t="s">
        <v>814</v>
      </c>
      <c r="D234" s="22" t="s">
        <v>2387</v>
      </c>
      <c r="E234" s="22" t="s">
        <v>362</v>
      </c>
      <c r="F234" s="22" t="s">
        <v>2115</v>
      </c>
      <c r="G234" s="22" t="s">
        <v>2781</v>
      </c>
      <c r="H234" s="27"/>
    </row>
    <row r="235">
      <c r="A235" s="30"/>
      <c r="B235" s="22" t="s">
        <v>565</v>
      </c>
      <c r="C235" s="22" t="s">
        <v>1354</v>
      </c>
      <c r="D235" s="22" t="s">
        <v>565</v>
      </c>
      <c r="E235" s="22" t="s">
        <v>1442</v>
      </c>
      <c r="F235" s="22" t="s">
        <v>1891</v>
      </c>
      <c r="G235" s="22" t="s">
        <v>1551</v>
      </c>
      <c r="H235" s="27"/>
    </row>
    <row r="236">
      <c r="A236" s="25"/>
      <c r="B236" s="22" t="s">
        <v>363</v>
      </c>
      <c r="C236" s="22" t="s">
        <v>2809</v>
      </c>
      <c r="D236" s="22" t="s">
        <v>657</v>
      </c>
      <c r="E236" s="22" t="s">
        <v>2419</v>
      </c>
      <c r="F236" s="22" t="s">
        <v>1354</v>
      </c>
      <c r="G236" s="22" t="s">
        <v>2020</v>
      </c>
      <c r="H236" s="31"/>
      <c r="I236" s="32"/>
    </row>
    <row r="237">
      <c r="A237" s="10" t="s">
        <v>5</v>
      </c>
      <c r="B237" s="11" t="s">
        <v>3179</v>
      </c>
      <c r="C237" s="12"/>
      <c r="D237" s="12"/>
      <c r="E237" s="12"/>
      <c r="F237" s="12"/>
      <c r="G237" s="12"/>
      <c r="H237" s="12"/>
      <c r="I237" s="13"/>
    </row>
    <row r="238" ht="60.0" customHeight="1">
      <c r="A238" s="15" t="s">
        <v>16</v>
      </c>
      <c r="B238" s="22" t="str">
        <f t="array" ref="B238">iferror(VLOOKUP(INDIRECT(ADDRESS(ROW()+1,COLUMN(), 4)),Dex!$A$2:$C473,3,false),"")</f>
        <v/>
      </c>
      <c r="C238" s="22" t="str">
        <f t="array" ref="C238">iferror(VLOOKUP(INDIRECT(ADDRESS(ROW()+1,COLUMN(), 4)),Dex!$A$2:$C473,3,false),"")</f>
        <v/>
      </c>
      <c r="D238" s="22" t="str">
        <f t="array" ref="D238">iferror(VLOOKUP(INDIRECT(ADDRESS(ROW()+1,COLUMN(), 4)),Dex!$A$2:$C473,3,false),"")</f>
        <v/>
      </c>
      <c r="E238" s="22" t="str">
        <f t="array" ref="E238">iferror(VLOOKUP(INDIRECT(ADDRESS(ROW()+1,COLUMN(), 4)),Dex!$A$2:$C473,3,false),"")</f>
        <v/>
      </c>
      <c r="F238" s="22" t="str">
        <f t="array" ref="F238">iferror(VLOOKUP(INDIRECT(ADDRESS(ROW()+1,COLUMN(), 4)),Dex!$A$2:$C473,3,false),"")</f>
        <v/>
      </c>
      <c r="G238" s="22" t="str">
        <f t="array" ref="G238">iferror(VLOOKUP(INDIRECT(ADDRESS(ROW()+1,COLUMN(), 4)),Dex!$A$2:$C473,3,false),"")</f>
        <v/>
      </c>
      <c r="H238" s="23" t="str">
        <f t="array" ref="H238">iferror(VLOOKUP("TRAINER_PIC_Swimming_Triathlete_F",Sprites!$A$1:$B473,2,false),"")</f>
        <v/>
      </c>
      <c r="I238" s="24"/>
    </row>
    <row r="239">
      <c r="A239" s="25"/>
      <c r="B239" s="26" t="s">
        <v>864</v>
      </c>
      <c r="C239" s="26" t="s">
        <v>653</v>
      </c>
      <c r="D239" s="26" t="s">
        <v>335</v>
      </c>
      <c r="E239" s="26" t="s">
        <v>1021</v>
      </c>
      <c r="F239" s="26" t="s">
        <v>423</v>
      </c>
      <c r="G239" s="26" t="s">
        <v>80</v>
      </c>
      <c r="H239" s="27"/>
    </row>
    <row r="240">
      <c r="A240" s="10" t="s">
        <v>199</v>
      </c>
      <c r="B240" s="22">
        <v>92.0</v>
      </c>
      <c r="C240" s="22">
        <v>93.0</v>
      </c>
      <c r="D240" s="22">
        <v>92.0</v>
      </c>
      <c r="E240" s="22">
        <v>93.0</v>
      </c>
      <c r="F240" s="22">
        <v>93.0</v>
      </c>
      <c r="G240" s="22">
        <v>94.0</v>
      </c>
      <c r="H240" s="27"/>
    </row>
    <row r="241">
      <c r="A241" s="10" t="s">
        <v>201</v>
      </c>
      <c r="B241" s="29" t="s">
        <v>2032</v>
      </c>
      <c r="C241" s="29" t="s">
        <v>1635</v>
      </c>
      <c r="D241" s="29" t="s">
        <v>408</v>
      </c>
      <c r="E241" s="29" t="s">
        <v>1334</v>
      </c>
      <c r="F241" s="29" t="s">
        <v>1242</v>
      </c>
      <c r="G241" s="29" t="s">
        <v>2825</v>
      </c>
      <c r="H241" s="27"/>
    </row>
    <row r="242">
      <c r="A242" s="10" t="s">
        <v>209</v>
      </c>
      <c r="B242" s="22" t="s">
        <v>538</v>
      </c>
      <c r="C242" s="22" t="s">
        <v>2377</v>
      </c>
      <c r="D242" s="22" t="s">
        <v>1950</v>
      </c>
      <c r="E242" s="22" t="s">
        <v>1244</v>
      </c>
      <c r="F242" s="22" t="s">
        <v>219</v>
      </c>
      <c r="G242" s="22" t="s">
        <v>2342</v>
      </c>
      <c r="H242" s="27"/>
    </row>
    <row r="243">
      <c r="A243" s="10" t="s">
        <v>215</v>
      </c>
      <c r="B243" s="29" t="s">
        <v>220</v>
      </c>
      <c r="C243" s="29" t="s">
        <v>231</v>
      </c>
      <c r="D243" s="29" t="s">
        <v>419</v>
      </c>
      <c r="E243" s="29" t="s">
        <v>222</v>
      </c>
      <c r="F243" s="29" t="s">
        <v>231</v>
      </c>
      <c r="G243" s="29" t="s">
        <v>231</v>
      </c>
      <c r="H243" s="27"/>
    </row>
    <row r="244">
      <c r="A244" s="15" t="s">
        <v>224</v>
      </c>
      <c r="B244" s="22" t="s">
        <v>2268</v>
      </c>
      <c r="C244" s="22" t="s">
        <v>2962</v>
      </c>
      <c r="D244" s="22" t="s">
        <v>1958</v>
      </c>
      <c r="E244" s="22" t="s">
        <v>1953</v>
      </c>
      <c r="F244" s="22" t="s">
        <v>2583</v>
      </c>
      <c r="G244" s="22" t="s">
        <v>1460</v>
      </c>
      <c r="H244" s="27"/>
    </row>
    <row r="245">
      <c r="A245" s="30"/>
      <c r="B245" s="22" t="s">
        <v>356</v>
      </c>
      <c r="C245" s="22" t="s">
        <v>233</v>
      </c>
      <c r="D245" s="22" t="s">
        <v>920</v>
      </c>
      <c r="E245" s="22" t="s">
        <v>1250</v>
      </c>
      <c r="F245" s="22" t="s">
        <v>2987</v>
      </c>
      <c r="G245" s="22" t="s">
        <v>2513</v>
      </c>
      <c r="H245" s="27"/>
    </row>
    <row r="246">
      <c r="A246" s="30"/>
      <c r="B246" s="22" t="s">
        <v>361</v>
      </c>
      <c r="C246" s="22" t="s">
        <v>249</v>
      </c>
      <c r="D246" s="22" t="s">
        <v>951</v>
      </c>
      <c r="E246" s="22" t="s">
        <v>926</v>
      </c>
      <c r="F246" s="22" t="s">
        <v>356</v>
      </c>
      <c r="G246" s="22" t="s">
        <v>2327</v>
      </c>
      <c r="H246" s="27"/>
    </row>
    <row r="247">
      <c r="A247" s="25"/>
      <c r="B247" s="22" t="s">
        <v>950</v>
      </c>
      <c r="C247" s="22" t="s">
        <v>363</v>
      </c>
      <c r="D247" s="22" t="s">
        <v>1953</v>
      </c>
      <c r="E247" s="22" t="s">
        <v>357</v>
      </c>
      <c r="F247" s="22" t="s">
        <v>1460</v>
      </c>
      <c r="G247" s="22" t="s">
        <v>1354</v>
      </c>
      <c r="H247" s="31"/>
      <c r="I247" s="32"/>
    </row>
    <row r="248">
      <c r="A248" s="10" t="s">
        <v>5</v>
      </c>
      <c r="B248" s="11" t="s">
        <v>3190</v>
      </c>
      <c r="C248" s="12"/>
      <c r="D248" s="12"/>
      <c r="E248" s="12"/>
      <c r="F248" s="12"/>
      <c r="G248" s="12"/>
      <c r="H248" s="12"/>
      <c r="I248" s="13"/>
    </row>
    <row r="249" ht="60.0" customHeight="1">
      <c r="A249" s="15" t="s">
        <v>16</v>
      </c>
      <c r="B249" s="22" t="str">
        <f t="array" ref="B249">iferror(VLOOKUP(INDIRECT(ADDRESS(ROW()+1,COLUMN(), 4)),Dex!$A$2:$C473,3,false),"")</f>
        <v/>
      </c>
      <c r="C249" s="22" t="str">
        <f t="array" ref="C249">iferror(VLOOKUP(INDIRECT(ADDRESS(ROW()+1,COLUMN(), 4)),Dex!$A$2:$C473,3,false),"")</f>
        <v/>
      </c>
      <c r="D249" s="22" t="str">
        <f t="array" ref="D249">iferror(VLOOKUP(INDIRECT(ADDRESS(ROW()+1,COLUMN(), 4)),Dex!$A$2:$C473,3,false),"")</f>
        <v/>
      </c>
      <c r="E249" s="22" t="str">
        <f t="array" ref="E249">iferror(VLOOKUP(INDIRECT(ADDRESS(ROW()+1,COLUMN(), 4)),Dex!$A$2:$C473,3,false),"")</f>
        <v/>
      </c>
      <c r="F249" s="22" t="str">
        <f t="array" ref="F249">iferror(VLOOKUP(INDIRECT(ADDRESS(ROW()+1,COLUMN(), 4)),Dex!$A$2:$C473,3,false),"")</f>
        <v/>
      </c>
      <c r="G249" s="22" t="str">
        <f t="array" ref="G249">iferror(VLOOKUP(INDIRECT(ADDRESS(ROW()+1,COLUMN(), 4)),Dex!$A$2:$C473,3,false),"")</f>
        <v/>
      </c>
      <c r="H249" s="23" t="str">
        <f t="array" ref="H249">iferror(VLOOKUP("TRAINER_PIC_Swimming_Triathlete_M",Sprites!$A$1:$B473,2,false),"")</f>
        <v/>
      </c>
      <c r="I249" s="24"/>
    </row>
    <row r="250">
      <c r="A250" s="25"/>
      <c r="B250" s="26" t="s">
        <v>2280</v>
      </c>
      <c r="C250" s="26" t="s">
        <v>267</v>
      </c>
      <c r="D250" s="26" t="s">
        <v>141</v>
      </c>
      <c r="E250" s="26" t="s">
        <v>984</v>
      </c>
      <c r="F250" s="26" t="s">
        <v>1474</v>
      </c>
      <c r="G250" s="26" t="s">
        <v>750</v>
      </c>
      <c r="H250" s="27"/>
    </row>
    <row r="251">
      <c r="A251" s="10" t="s">
        <v>199</v>
      </c>
      <c r="B251" s="22">
        <v>94.0</v>
      </c>
      <c r="C251" s="22">
        <v>94.0</v>
      </c>
      <c r="D251" s="22">
        <v>94.0</v>
      </c>
      <c r="E251" s="22">
        <v>93.0</v>
      </c>
      <c r="F251" s="22">
        <v>94.0</v>
      </c>
      <c r="G251" s="22">
        <v>94.0</v>
      </c>
      <c r="H251" s="27"/>
    </row>
    <row r="252">
      <c r="A252" s="10" t="s">
        <v>201</v>
      </c>
      <c r="B252" s="29" t="s">
        <v>3178</v>
      </c>
      <c r="C252" s="29" t="s">
        <v>206</v>
      </c>
      <c r="D252" s="29" t="s">
        <v>408</v>
      </c>
      <c r="E252" s="29" t="s">
        <v>2032</v>
      </c>
      <c r="F252" s="29" t="s">
        <v>408</v>
      </c>
      <c r="G252" s="29" t="s">
        <v>1022</v>
      </c>
      <c r="H252" s="27"/>
    </row>
    <row r="253">
      <c r="A253" s="10" t="s">
        <v>209</v>
      </c>
      <c r="B253" s="22" t="s">
        <v>2840</v>
      </c>
      <c r="C253" s="22" t="s">
        <v>219</v>
      </c>
      <c r="D253" s="22" t="s">
        <v>219</v>
      </c>
      <c r="E253" s="22" t="s">
        <v>3061</v>
      </c>
      <c r="F253" s="22" t="s">
        <v>1430</v>
      </c>
      <c r="G253" s="22" t="s">
        <v>538</v>
      </c>
      <c r="H253" s="27"/>
    </row>
    <row r="254">
      <c r="A254" s="10" t="s">
        <v>215</v>
      </c>
      <c r="B254" s="29" t="s">
        <v>231</v>
      </c>
      <c r="C254" s="29" t="s">
        <v>231</v>
      </c>
      <c r="D254" s="29" t="s">
        <v>231</v>
      </c>
      <c r="E254" s="29" t="s">
        <v>906</v>
      </c>
      <c r="F254" s="29" t="s">
        <v>419</v>
      </c>
      <c r="G254" s="29" t="s">
        <v>220</v>
      </c>
      <c r="H254" s="27"/>
    </row>
    <row r="255">
      <c r="A255" s="15" t="s">
        <v>224</v>
      </c>
      <c r="B255" s="22" t="s">
        <v>2751</v>
      </c>
      <c r="C255" s="22" t="s">
        <v>2327</v>
      </c>
      <c r="D255" s="22" t="s">
        <v>2220</v>
      </c>
      <c r="E255" s="22" t="s">
        <v>1039</v>
      </c>
      <c r="F255" s="22" t="s">
        <v>1718</v>
      </c>
      <c r="G255" s="22" t="s">
        <v>424</v>
      </c>
      <c r="H255" s="27"/>
    </row>
    <row r="256">
      <c r="A256" s="30"/>
      <c r="B256" s="22" t="s">
        <v>1954</v>
      </c>
      <c r="C256" s="22" t="s">
        <v>2268</v>
      </c>
      <c r="D256" s="22" t="s">
        <v>808</v>
      </c>
      <c r="E256" s="22" t="s">
        <v>465</v>
      </c>
      <c r="F256" s="22" t="s">
        <v>365</v>
      </c>
      <c r="G256" s="22" t="s">
        <v>2549</v>
      </c>
      <c r="H256" s="27"/>
    </row>
    <row r="257">
      <c r="A257" s="30"/>
      <c r="B257" s="22" t="s">
        <v>951</v>
      </c>
      <c r="C257" s="22" t="s">
        <v>800</v>
      </c>
      <c r="D257" s="22" t="s">
        <v>2214</v>
      </c>
      <c r="E257" s="22" t="s">
        <v>2041</v>
      </c>
      <c r="F257" s="22" t="s">
        <v>2659</v>
      </c>
      <c r="G257" s="22" t="s">
        <v>2387</v>
      </c>
      <c r="H257" s="27"/>
    </row>
    <row r="258">
      <c r="A258" s="25"/>
      <c r="B258" s="22" t="s">
        <v>1953</v>
      </c>
      <c r="C258" s="22" t="s">
        <v>233</v>
      </c>
      <c r="D258" s="22" t="s">
        <v>477</v>
      </c>
      <c r="E258" s="22" t="s">
        <v>1043</v>
      </c>
      <c r="F258" s="22" t="s">
        <v>3197</v>
      </c>
      <c r="G258" s="22" t="s">
        <v>2608</v>
      </c>
      <c r="H258" s="31"/>
      <c r="I258" s="32"/>
    </row>
    <row r="259">
      <c r="A259" s="8" t="s">
        <v>3198</v>
      </c>
      <c r="B259" s="9"/>
      <c r="C259" s="9"/>
      <c r="D259" s="9"/>
      <c r="E259" s="9"/>
      <c r="F259" s="9"/>
      <c r="G259" s="9"/>
      <c r="H259" s="9"/>
      <c r="I259" s="34"/>
    </row>
    <row r="260">
      <c r="A260" s="10" t="s">
        <v>5</v>
      </c>
      <c r="B260" s="11" t="s">
        <v>3199</v>
      </c>
      <c r="C260" s="12"/>
      <c r="D260" s="12"/>
      <c r="E260" s="12"/>
      <c r="F260" s="12"/>
      <c r="G260" s="12"/>
      <c r="H260" s="12"/>
      <c r="I260" s="13"/>
    </row>
    <row r="261" ht="60.0" customHeight="1">
      <c r="A261" s="15" t="s">
        <v>16</v>
      </c>
      <c r="B261" s="22" t="str">
        <f t="array" ref="B261">iferror(VLOOKUP(INDIRECT(ADDRESS(ROW()+1,COLUMN(), 4)),Dex!$A$2:$C473,3,false),"")</f>
        <v/>
      </c>
      <c r="C261" s="22" t="str">
        <f t="array" ref="C261">iferror(VLOOKUP(INDIRECT(ADDRESS(ROW()+1,COLUMN(), 4)),Dex!$A$2:$C473,3,false),"")</f>
        <v/>
      </c>
      <c r="D261" s="22" t="str">
        <f t="array" ref="D261">iferror(VLOOKUP(INDIRECT(ADDRESS(ROW()+1,COLUMN(), 4)),Dex!$A$2:$C473,3,false),"")</f>
        <v/>
      </c>
      <c r="E261" s="22" t="str">
        <f t="array" ref="E261">iferror(VLOOKUP(INDIRECT(ADDRESS(ROW()+1,COLUMN(), 4)),Dex!$A$2:$C473,3,false),"")</f>
        <v/>
      </c>
      <c r="F261" s="22" t="str">
        <f t="array" ref="F261">iferror(VLOOKUP(INDIRECT(ADDRESS(ROW()+1,COLUMN(), 4)),Dex!$A$2:$C473,3,false),"")</f>
        <v/>
      </c>
      <c r="G261" s="22" t="str">
        <f t="array" ref="G261">iferror(VLOOKUP(INDIRECT(ADDRESS(ROW()+1,COLUMN(), 4)),Dex!$A$2:$C473,3,false),"")</f>
        <v/>
      </c>
      <c r="H261" s="23" t="str">
        <f t="array" ref="H261">iferror(VLOOKUP("TRAINER_PIC_Swimmer_M",Sprites!$A$1:$B473,2,false),"")</f>
        <v/>
      </c>
      <c r="I261" s="24"/>
    </row>
    <row r="262">
      <c r="A262" s="25"/>
      <c r="B262" s="26" t="s">
        <v>1321</v>
      </c>
      <c r="C262" s="26" t="s">
        <v>382</v>
      </c>
      <c r="D262" s="26" t="s">
        <v>1899</v>
      </c>
      <c r="E262" s="26" t="s">
        <v>2984</v>
      </c>
      <c r="F262" s="26" t="s">
        <v>1058</v>
      </c>
      <c r="G262" s="26" t="s">
        <v>94</v>
      </c>
      <c r="H262" s="27"/>
    </row>
    <row r="263">
      <c r="A263" s="10" t="s">
        <v>199</v>
      </c>
      <c r="B263" s="22">
        <v>93.0</v>
      </c>
      <c r="C263" s="22">
        <v>95.0</v>
      </c>
      <c r="D263" s="22">
        <v>94.0</v>
      </c>
      <c r="E263" s="22">
        <v>94.0</v>
      </c>
      <c r="F263" s="22">
        <v>93.0</v>
      </c>
      <c r="G263" s="22">
        <v>94.0</v>
      </c>
      <c r="H263" s="27"/>
    </row>
    <row r="264">
      <c r="A264" s="10" t="s">
        <v>201</v>
      </c>
      <c r="B264" s="29" t="s">
        <v>645</v>
      </c>
      <c r="C264" s="29" t="s">
        <v>546</v>
      </c>
      <c r="D264" s="29" t="s">
        <v>2714</v>
      </c>
      <c r="E264" s="29" t="s">
        <v>2366</v>
      </c>
      <c r="F264" s="29" t="s">
        <v>206</v>
      </c>
      <c r="G264" s="29" t="s">
        <v>2677</v>
      </c>
      <c r="H264" s="27"/>
    </row>
    <row r="265">
      <c r="A265" s="10" t="s">
        <v>209</v>
      </c>
      <c r="B265" s="22" t="s">
        <v>1765</v>
      </c>
      <c r="C265" s="22" t="s">
        <v>1152</v>
      </c>
      <c r="D265" s="22" t="s">
        <v>2594</v>
      </c>
      <c r="E265" s="22" t="s">
        <v>2368</v>
      </c>
      <c r="F265" s="22" t="s">
        <v>1245</v>
      </c>
      <c r="G265" s="22" t="s">
        <v>556</v>
      </c>
      <c r="H265" s="27"/>
    </row>
    <row r="266">
      <c r="A266" s="10" t="s">
        <v>215</v>
      </c>
      <c r="B266" s="29" t="s">
        <v>417</v>
      </c>
      <c r="C266" s="29" t="s">
        <v>218</v>
      </c>
      <c r="D266" s="29" t="s">
        <v>419</v>
      </c>
      <c r="E266" s="29" t="s">
        <v>222</v>
      </c>
      <c r="F266" s="29" t="s">
        <v>231</v>
      </c>
      <c r="G266" s="29" t="s">
        <v>419</v>
      </c>
      <c r="H266" s="27"/>
    </row>
    <row r="267">
      <c r="A267" s="15" t="s">
        <v>224</v>
      </c>
      <c r="B267" s="22" t="s">
        <v>361</v>
      </c>
      <c r="C267" s="22" t="s">
        <v>2847</v>
      </c>
      <c r="D267" s="22" t="s">
        <v>371</v>
      </c>
      <c r="E267" s="22" t="s">
        <v>1891</v>
      </c>
      <c r="F267" s="22" t="s">
        <v>549</v>
      </c>
      <c r="G267" s="22" t="s">
        <v>2020</v>
      </c>
      <c r="H267" s="27"/>
    </row>
    <row r="268">
      <c r="A268" s="30"/>
      <c r="B268" s="22" t="s">
        <v>570</v>
      </c>
      <c r="C268" s="22" t="s">
        <v>1125</v>
      </c>
      <c r="D268" s="22" t="s">
        <v>1363</v>
      </c>
      <c r="E268" s="22" t="s">
        <v>2578</v>
      </c>
      <c r="F268" s="22" t="s">
        <v>2220</v>
      </c>
      <c r="G268" s="22" t="s">
        <v>3163</v>
      </c>
      <c r="H268" s="27"/>
    </row>
    <row r="269">
      <c r="A269" s="30"/>
      <c r="B269" s="22" t="s">
        <v>1848</v>
      </c>
      <c r="C269" s="22" t="s">
        <v>2470</v>
      </c>
      <c r="D269" s="22" t="s">
        <v>360</v>
      </c>
      <c r="E269" s="22" t="s">
        <v>1955</v>
      </c>
      <c r="F269" s="22" t="s">
        <v>1352</v>
      </c>
      <c r="G269" s="22" t="s">
        <v>589</v>
      </c>
      <c r="H269" s="27"/>
    </row>
    <row r="270">
      <c r="A270" s="25"/>
      <c r="B270" s="22" t="s">
        <v>2500</v>
      </c>
      <c r="C270" s="22" t="s">
        <v>234</v>
      </c>
      <c r="D270" s="22" t="s">
        <v>1955</v>
      </c>
      <c r="E270" s="22" t="s">
        <v>424</v>
      </c>
      <c r="F270" s="22" t="s">
        <v>477</v>
      </c>
      <c r="G270" s="22" t="s">
        <v>585</v>
      </c>
      <c r="H270" s="31"/>
      <c r="I270" s="32"/>
    </row>
    <row r="271">
      <c r="A271" s="10" t="s">
        <v>5</v>
      </c>
      <c r="B271" s="11" t="s">
        <v>3211</v>
      </c>
      <c r="C271" s="12"/>
      <c r="D271" s="12"/>
      <c r="E271" s="12"/>
      <c r="F271" s="12"/>
      <c r="G271" s="12"/>
      <c r="H271" s="12"/>
      <c r="I271" s="13"/>
    </row>
    <row r="272" ht="60.0" customHeight="1">
      <c r="A272" s="15" t="s">
        <v>16</v>
      </c>
      <c r="B272" s="22" t="str">
        <f t="array" ref="B272">iferror(VLOOKUP(INDIRECT(ADDRESS(ROW()+1,COLUMN(), 4)),Dex!$A$2:$C473,3,false),"")</f>
        <v/>
      </c>
      <c r="C272" s="22" t="str">
        <f t="array" ref="C272">iferror(VLOOKUP(INDIRECT(ADDRESS(ROW()+1,COLUMN(), 4)),Dex!$A$2:$C473,3,false),"")</f>
        <v/>
      </c>
      <c r="D272" s="22" t="str">
        <f t="array" ref="D272">iferror(VLOOKUP(INDIRECT(ADDRESS(ROW()+1,COLUMN(), 4)),Dex!$A$2:$C473,3,false),"")</f>
        <v/>
      </c>
      <c r="E272" s="22" t="str">
        <f t="array" ref="E272">iferror(VLOOKUP(INDIRECT(ADDRESS(ROW()+1,COLUMN(), 4)),Dex!$A$2:$C473,3,false),"")</f>
        <v/>
      </c>
      <c r="F272" s="22" t="str">
        <f t="array" ref="F272">iferror(VLOOKUP(INDIRECT(ADDRESS(ROW()+1,COLUMN(), 4)),Dex!$A$2:$C473,3,false),"")</f>
        <v/>
      </c>
      <c r="G272" s="22" t="str">
        <f t="array" ref="G272">iferror(VLOOKUP(INDIRECT(ADDRESS(ROW()+1,COLUMN(), 4)),Dex!$A$2:$C473,3,false),"")</f>
        <v/>
      </c>
      <c r="H272" s="23" t="str">
        <f t="array" ref="H272">iferror(VLOOKUP("TRAINER_PIC_Swimmer_F",Sprites!$A$1:$B473,2,false),"")</f>
        <v/>
      </c>
      <c r="I272" s="24"/>
    </row>
    <row r="273">
      <c r="A273" s="25"/>
      <c r="B273" s="26" t="s">
        <v>1737</v>
      </c>
      <c r="C273" s="26" t="s">
        <v>1583</v>
      </c>
      <c r="D273" s="26" t="s">
        <v>2878</v>
      </c>
      <c r="E273" s="26" t="s">
        <v>1968</v>
      </c>
      <c r="F273" s="26" t="s">
        <v>1825</v>
      </c>
      <c r="G273" s="26" t="s">
        <v>688</v>
      </c>
      <c r="H273" s="27"/>
    </row>
    <row r="274">
      <c r="A274" s="10" t="s">
        <v>199</v>
      </c>
      <c r="B274" s="22">
        <v>93.0</v>
      </c>
      <c r="C274" s="22">
        <v>94.0</v>
      </c>
      <c r="D274" s="22">
        <v>94.0</v>
      </c>
      <c r="E274" s="22">
        <v>93.0</v>
      </c>
      <c r="F274" s="22">
        <v>94.0</v>
      </c>
      <c r="G274" s="22">
        <v>94.0</v>
      </c>
      <c r="H274" s="27"/>
    </row>
    <row r="275">
      <c r="A275" s="10" t="s">
        <v>201</v>
      </c>
      <c r="B275" s="29" t="s">
        <v>2338</v>
      </c>
      <c r="C275" s="29" t="s">
        <v>206</v>
      </c>
      <c r="D275" s="29" t="s">
        <v>2366</v>
      </c>
      <c r="E275" s="29" t="s">
        <v>2032</v>
      </c>
      <c r="F275" s="29" t="s">
        <v>1122</v>
      </c>
      <c r="G275" s="29" t="s">
        <v>3106</v>
      </c>
      <c r="H275" s="27"/>
    </row>
    <row r="276">
      <c r="A276" s="10" t="s">
        <v>209</v>
      </c>
      <c r="B276" s="22" t="s">
        <v>2569</v>
      </c>
      <c r="C276" s="22" t="s">
        <v>2569</v>
      </c>
      <c r="D276" s="22" t="s">
        <v>2361</v>
      </c>
      <c r="E276" s="22" t="s">
        <v>1152</v>
      </c>
      <c r="F276" s="22" t="s">
        <v>1152</v>
      </c>
      <c r="G276" s="22" t="s">
        <v>1152</v>
      </c>
      <c r="H276" s="27"/>
    </row>
    <row r="277">
      <c r="A277" s="10" t="s">
        <v>215</v>
      </c>
      <c r="B277" s="29" t="s">
        <v>906</v>
      </c>
      <c r="C277" s="29" t="s">
        <v>419</v>
      </c>
      <c r="D277" s="29" t="s">
        <v>419</v>
      </c>
      <c r="E277" s="29" t="s">
        <v>220</v>
      </c>
      <c r="F277" s="29" t="s">
        <v>231</v>
      </c>
      <c r="G277" s="29" t="s">
        <v>231</v>
      </c>
      <c r="H277" s="27"/>
    </row>
    <row r="278">
      <c r="A278" s="15" t="s">
        <v>224</v>
      </c>
      <c r="B278" s="22" t="s">
        <v>1250</v>
      </c>
      <c r="C278" s="22" t="s">
        <v>2115</v>
      </c>
      <c r="D278" s="22" t="s">
        <v>2773</v>
      </c>
      <c r="E278" s="22" t="s">
        <v>2047</v>
      </c>
      <c r="F278" s="22" t="s">
        <v>2268</v>
      </c>
      <c r="G278" s="22" t="s">
        <v>567</v>
      </c>
      <c r="H278" s="27"/>
    </row>
    <row r="279">
      <c r="A279" s="30"/>
      <c r="B279" s="22" t="s">
        <v>935</v>
      </c>
      <c r="C279" s="22" t="s">
        <v>582</v>
      </c>
      <c r="D279" s="22" t="s">
        <v>577</v>
      </c>
      <c r="E279" s="22" t="s">
        <v>2220</v>
      </c>
      <c r="F279" s="22" t="s">
        <v>587</v>
      </c>
      <c r="G279" s="22" t="s">
        <v>2819</v>
      </c>
      <c r="H279" s="27"/>
    </row>
    <row r="280">
      <c r="A280" s="30"/>
      <c r="B280" s="22" t="s">
        <v>229</v>
      </c>
      <c r="C280" s="22" t="s">
        <v>2578</v>
      </c>
      <c r="D280" s="22" t="s">
        <v>237</v>
      </c>
      <c r="E280" s="22" t="s">
        <v>468</v>
      </c>
      <c r="F280" s="22"/>
      <c r="G280" s="22" t="s">
        <v>2560</v>
      </c>
      <c r="H280" s="27"/>
    </row>
    <row r="281">
      <c r="A281" s="25"/>
      <c r="B281" s="22" t="s">
        <v>1442</v>
      </c>
      <c r="C281" s="22" t="s">
        <v>2884</v>
      </c>
      <c r="D281" s="22" t="s">
        <v>3218</v>
      </c>
      <c r="E281" s="22" t="s">
        <v>1366</v>
      </c>
      <c r="F281" s="22"/>
      <c r="G281" s="22" t="s">
        <v>700</v>
      </c>
      <c r="H281" s="31"/>
      <c r="I281" s="32"/>
    </row>
    <row r="282">
      <c r="A282" s="10" t="s">
        <v>5</v>
      </c>
      <c r="B282" s="11" t="s">
        <v>3219</v>
      </c>
      <c r="C282" s="12"/>
      <c r="D282" s="12"/>
      <c r="E282" s="12"/>
      <c r="F282" s="12"/>
      <c r="G282" s="12"/>
      <c r="H282" s="12"/>
      <c r="I282" s="13"/>
    </row>
    <row r="283" ht="60.0" customHeight="1">
      <c r="A283" s="15" t="s">
        <v>16</v>
      </c>
      <c r="B283" s="22" t="str">
        <f t="array" ref="B283">iferror(VLOOKUP(INDIRECT(ADDRESS(ROW()+1,COLUMN(), 4)),Dex!$A$2:$C473,3,false),"")</f>
        <v/>
      </c>
      <c r="C283" s="22" t="str">
        <f t="array" ref="C283">iferror(VLOOKUP(INDIRECT(ADDRESS(ROW()+1,COLUMN(), 4)),Dex!$A$2:$C473,3,false),"")</f>
        <v/>
      </c>
      <c r="D283" s="22" t="str">
        <f t="array" ref="D283">iferror(VLOOKUP(INDIRECT(ADDRESS(ROW()+1,COLUMN(), 4)),Dex!$A$2:$C473,3,false),"")</f>
        <v/>
      </c>
      <c r="E283" s="22" t="str">
        <f t="array" ref="E283">iferror(VLOOKUP(INDIRECT(ADDRESS(ROW()+1,COLUMN(), 4)),Dex!$A$2:$C473,3,false),"")</f>
        <v/>
      </c>
      <c r="F283" s="22" t="str">
        <f t="array" ref="F283">iferror(VLOOKUP(INDIRECT(ADDRESS(ROW()+1,COLUMN(), 4)),Dex!$A$2:$C473,3,false),"")</f>
        <v/>
      </c>
      <c r="G283" s="22" t="str">
        <f t="array" ref="G283">iferror(VLOOKUP(INDIRECT(ADDRESS(ROW()+1,COLUMN(), 4)),Dex!$A$2:$C473,3,false),"")</f>
        <v/>
      </c>
      <c r="H283" s="23" t="str">
        <f t="array" ref="H283">iferror(VLOOKUP("TRAINER_PIC_Swimming_Triathlete_M",Sprites!$A$1:$B473,2,false),"")</f>
        <v/>
      </c>
      <c r="I283" s="24"/>
    </row>
    <row r="284">
      <c r="A284" s="25"/>
      <c r="B284" s="26" t="s">
        <v>531</v>
      </c>
      <c r="C284" s="26" t="s">
        <v>2288</v>
      </c>
      <c r="D284" s="26" t="s">
        <v>1246</v>
      </c>
      <c r="E284" s="26" t="s">
        <v>427</v>
      </c>
      <c r="F284" s="26" t="s">
        <v>300</v>
      </c>
      <c r="G284" s="26" t="s">
        <v>678</v>
      </c>
      <c r="H284" s="27"/>
    </row>
    <row r="285">
      <c r="A285" s="10" t="s">
        <v>199</v>
      </c>
      <c r="B285" s="22">
        <v>93.0</v>
      </c>
      <c r="C285" s="22">
        <v>94.0</v>
      </c>
      <c r="D285" s="22">
        <v>95.0</v>
      </c>
      <c r="E285" s="22">
        <v>94.0</v>
      </c>
      <c r="F285" s="22">
        <v>94.0</v>
      </c>
      <c r="G285" s="22">
        <v>95.0</v>
      </c>
      <c r="H285" s="27"/>
    </row>
    <row r="286">
      <c r="A286" s="10" t="s">
        <v>201</v>
      </c>
      <c r="B286" s="29" t="s">
        <v>1122</v>
      </c>
      <c r="C286" s="29" t="s">
        <v>1635</v>
      </c>
      <c r="D286" s="29" t="s">
        <v>1213</v>
      </c>
      <c r="E286" s="29" t="s">
        <v>1521</v>
      </c>
      <c r="F286" s="29" t="s">
        <v>645</v>
      </c>
      <c r="G286" s="29" t="s">
        <v>3222</v>
      </c>
      <c r="H286" s="27"/>
    </row>
    <row r="287">
      <c r="A287" s="10" t="s">
        <v>209</v>
      </c>
      <c r="B287" s="22" t="s">
        <v>2262</v>
      </c>
      <c r="C287" s="22" t="s">
        <v>2368</v>
      </c>
      <c r="D287" s="22" t="s">
        <v>1950</v>
      </c>
      <c r="E287" s="22" t="s">
        <v>901</v>
      </c>
      <c r="F287" s="22" t="s">
        <v>2423</v>
      </c>
      <c r="G287" s="22" t="s">
        <v>2325</v>
      </c>
      <c r="H287" s="27"/>
    </row>
    <row r="288">
      <c r="A288" s="10" t="s">
        <v>215</v>
      </c>
      <c r="B288" s="29" t="s">
        <v>220</v>
      </c>
      <c r="C288" s="29" t="s">
        <v>904</v>
      </c>
      <c r="D288" s="29" t="s">
        <v>220</v>
      </c>
      <c r="E288" s="29" t="s">
        <v>222</v>
      </c>
      <c r="F288" s="29" t="s">
        <v>564</v>
      </c>
      <c r="G288" s="29" t="s">
        <v>231</v>
      </c>
      <c r="H288" s="27"/>
    </row>
    <row r="289">
      <c r="A289" s="15" t="s">
        <v>224</v>
      </c>
      <c r="B289" s="22" t="s">
        <v>2268</v>
      </c>
      <c r="C289" s="22" t="s">
        <v>2608</v>
      </c>
      <c r="D289" s="22" t="s">
        <v>1954</v>
      </c>
      <c r="E289" s="22" t="s">
        <v>1955</v>
      </c>
      <c r="F289" s="22" t="s">
        <v>2555</v>
      </c>
      <c r="G289" s="22" t="s">
        <v>476</v>
      </c>
      <c r="H289" s="27"/>
    </row>
    <row r="290">
      <c r="A290" s="30"/>
      <c r="B290" s="22" t="s">
        <v>1457</v>
      </c>
      <c r="C290" s="22" t="s">
        <v>1460</v>
      </c>
      <c r="D290" s="22" t="s">
        <v>1352</v>
      </c>
      <c r="E290" s="22" t="s">
        <v>1958</v>
      </c>
      <c r="F290" s="22" t="s">
        <v>253</v>
      </c>
      <c r="G290" s="22" t="s">
        <v>2327</v>
      </c>
      <c r="H290" s="27"/>
    </row>
    <row r="291">
      <c r="A291" s="30"/>
      <c r="B291" s="22" t="s">
        <v>356</v>
      </c>
      <c r="C291" s="22" t="s">
        <v>2464</v>
      </c>
      <c r="D291" s="22" t="s">
        <v>2111</v>
      </c>
      <c r="E291" s="22" t="s">
        <v>3090</v>
      </c>
      <c r="F291" s="22" t="s">
        <v>920</v>
      </c>
      <c r="G291" s="22" t="s">
        <v>951</v>
      </c>
      <c r="H291" s="27"/>
    </row>
    <row r="292">
      <c r="A292" s="25"/>
      <c r="B292" s="22" t="s">
        <v>811</v>
      </c>
      <c r="C292" s="22" t="s">
        <v>2486</v>
      </c>
      <c r="D292" s="22" t="s">
        <v>365</v>
      </c>
      <c r="E292" s="22" t="s">
        <v>1664</v>
      </c>
      <c r="F292" s="22" t="s">
        <v>1442</v>
      </c>
      <c r="G292" s="22" t="s">
        <v>702</v>
      </c>
      <c r="H292" s="31"/>
      <c r="I292" s="32"/>
    </row>
    <row r="293">
      <c r="A293" s="8" t="s">
        <v>3228</v>
      </c>
      <c r="B293" s="9"/>
      <c r="C293" s="9"/>
      <c r="D293" s="9"/>
      <c r="E293" s="9"/>
      <c r="F293" s="9"/>
      <c r="G293" s="9"/>
      <c r="H293" s="9"/>
      <c r="I293" s="34"/>
    </row>
    <row r="294">
      <c r="A294" s="10" t="s">
        <v>5</v>
      </c>
      <c r="B294" s="11" t="s">
        <v>3229</v>
      </c>
      <c r="C294" s="12"/>
      <c r="D294" s="12"/>
      <c r="E294" s="12"/>
      <c r="F294" s="12"/>
      <c r="G294" s="12"/>
      <c r="H294" s="12"/>
      <c r="I294" s="13"/>
    </row>
    <row r="295" ht="60.0" customHeight="1">
      <c r="A295" s="15" t="s">
        <v>16</v>
      </c>
      <c r="B295" s="22" t="str">
        <f t="array" ref="B295">iferror(VLOOKUP(INDIRECT(ADDRESS(ROW()+1,COLUMN(), 4)),Dex!$A$2:$C473,3,false),"")</f>
        <v/>
      </c>
      <c r="C295" s="22" t="str">
        <f t="array" ref="C295">iferror(VLOOKUP(INDIRECT(ADDRESS(ROW()+1,COLUMN(), 4)),Dex!$A$2:$C473,3,false),"")</f>
        <v/>
      </c>
      <c r="D295" s="22" t="str">
        <f t="array" ref="D295">iferror(VLOOKUP(INDIRECT(ADDRESS(ROW()+1,COLUMN(), 4)),Dex!$A$2:$C473,3,false),"")</f>
        <v/>
      </c>
      <c r="E295" s="22" t="str">
        <f t="array" ref="E295">iferror(VLOOKUP(INDIRECT(ADDRESS(ROW()+1,COLUMN(), 4)),Dex!$A$2:$C473,3,false),"")</f>
        <v/>
      </c>
      <c r="F295" s="22" t="str">
        <f t="array" ref="F295">iferror(VLOOKUP(INDIRECT(ADDRESS(ROW()+1,COLUMN(), 4)),Dex!$A$2:$C473,3,false),"")</f>
        <v/>
      </c>
      <c r="G295" s="22" t="str">
        <f t="array" ref="G295">iferror(VLOOKUP(INDIRECT(ADDRESS(ROW()+1,COLUMN(), 4)),Dex!$A$2:$C473,3,false),"")</f>
        <v/>
      </c>
      <c r="H295" s="23" t="str">
        <f t="array" ref="H295">iferror(VLOOKUP("TRAINER_PIC_Swimming_Triathlete_F",Sprites!$A$1:$B473,2,false),"")</f>
        <v/>
      </c>
      <c r="I295" s="24"/>
    </row>
    <row r="296">
      <c r="A296" s="25"/>
      <c r="B296" s="26" t="s">
        <v>1944</v>
      </c>
      <c r="C296" s="26" t="s">
        <v>1574</v>
      </c>
      <c r="D296" s="26" t="s">
        <v>1253</v>
      </c>
      <c r="E296" s="26" t="s">
        <v>439</v>
      </c>
      <c r="F296" s="26" t="s">
        <v>402</v>
      </c>
      <c r="G296" s="26" t="s">
        <v>503</v>
      </c>
      <c r="H296" s="27"/>
    </row>
    <row r="297">
      <c r="A297" s="10" t="s">
        <v>199</v>
      </c>
      <c r="B297" s="22">
        <v>94.0</v>
      </c>
      <c r="C297" s="22">
        <v>94.0</v>
      </c>
      <c r="D297" s="22">
        <v>94.0</v>
      </c>
      <c r="E297" s="22" t="s">
        <v>3236</v>
      </c>
      <c r="F297" s="22">
        <v>95.0</v>
      </c>
      <c r="G297" s="22">
        <v>95.0</v>
      </c>
      <c r="H297" s="27"/>
    </row>
    <row r="298">
      <c r="A298" s="10" t="s">
        <v>201</v>
      </c>
      <c r="B298" s="29" t="s">
        <v>903</v>
      </c>
      <c r="C298" s="29" t="s">
        <v>1518</v>
      </c>
      <c r="D298" s="29" t="s">
        <v>408</v>
      </c>
      <c r="E298" s="29" t="s">
        <v>1122</v>
      </c>
      <c r="F298" s="29" t="s">
        <v>1635</v>
      </c>
      <c r="G298" s="29" t="s">
        <v>2421</v>
      </c>
      <c r="H298" s="27"/>
    </row>
    <row r="299">
      <c r="A299" s="10" t="s">
        <v>209</v>
      </c>
      <c r="B299" s="22" t="s">
        <v>3237</v>
      </c>
      <c r="C299" s="22" t="s">
        <v>1528</v>
      </c>
      <c r="D299" s="22" t="s">
        <v>456</v>
      </c>
      <c r="E299" s="22" t="s">
        <v>458</v>
      </c>
      <c r="F299" s="22" t="s">
        <v>348</v>
      </c>
      <c r="G299" s="22" t="s">
        <v>2424</v>
      </c>
      <c r="H299" s="27"/>
    </row>
    <row r="300">
      <c r="A300" s="10" t="s">
        <v>215</v>
      </c>
      <c r="B300" s="29" t="s">
        <v>419</v>
      </c>
      <c r="C300" s="29" t="s">
        <v>231</v>
      </c>
      <c r="D300" s="29" t="s">
        <v>220</v>
      </c>
      <c r="E300" s="29" t="s">
        <v>231</v>
      </c>
      <c r="F300" s="29" t="s">
        <v>419</v>
      </c>
      <c r="G300" s="29" t="s">
        <v>220</v>
      </c>
      <c r="H300" s="27"/>
    </row>
    <row r="301">
      <c r="A301" s="15" t="s">
        <v>224</v>
      </c>
      <c r="B301" s="22" t="s">
        <v>2414</v>
      </c>
      <c r="C301" s="22" t="s">
        <v>1457</v>
      </c>
      <c r="D301" s="22" t="s">
        <v>567</v>
      </c>
      <c r="E301" s="22" t="s">
        <v>2327</v>
      </c>
      <c r="F301" s="22" t="s">
        <v>2115</v>
      </c>
      <c r="G301" s="22" t="s">
        <v>2426</v>
      </c>
      <c r="H301" s="27"/>
    </row>
    <row r="302">
      <c r="A302" s="30"/>
      <c r="B302" s="22" t="s">
        <v>1256</v>
      </c>
      <c r="C302" s="22" t="s">
        <v>2393</v>
      </c>
      <c r="D302" s="22" t="s">
        <v>477</v>
      </c>
      <c r="E302" s="22" t="s">
        <v>1352</v>
      </c>
      <c r="F302" s="22" t="s">
        <v>360</v>
      </c>
      <c r="G302" s="22" t="s">
        <v>1125</v>
      </c>
      <c r="H302" s="27"/>
    </row>
    <row r="303">
      <c r="A303" s="30"/>
      <c r="B303" s="22" t="s">
        <v>1664</v>
      </c>
      <c r="C303" s="22" t="s">
        <v>2697</v>
      </c>
      <c r="D303" s="22" t="s">
        <v>363</v>
      </c>
      <c r="E303" s="22"/>
      <c r="F303" s="22" t="s">
        <v>572</v>
      </c>
      <c r="G303" s="22" t="s">
        <v>2220</v>
      </c>
      <c r="H303" s="27"/>
    </row>
    <row r="304">
      <c r="A304" s="25"/>
      <c r="B304" s="22" t="s">
        <v>478</v>
      </c>
      <c r="C304" s="22" t="s">
        <v>924</v>
      </c>
      <c r="D304" s="22" t="s">
        <v>927</v>
      </c>
      <c r="E304" s="22"/>
      <c r="F304" s="22" t="s">
        <v>2848</v>
      </c>
      <c r="G304" s="22" t="s">
        <v>549</v>
      </c>
      <c r="H304" s="31"/>
      <c r="I304" s="32"/>
    </row>
    <row r="305">
      <c r="A305" s="10" t="s">
        <v>5</v>
      </c>
      <c r="B305" s="11" t="s">
        <v>3238</v>
      </c>
      <c r="C305" s="12"/>
      <c r="D305" s="12"/>
      <c r="E305" s="12"/>
      <c r="F305" s="12"/>
      <c r="G305" s="12"/>
      <c r="H305" s="12"/>
      <c r="I305" s="14"/>
    </row>
    <row r="306" ht="60.0" customHeight="1">
      <c r="A306" s="15" t="s">
        <v>16</v>
      </c>
      <c r="B306" s="22" t="str">
        <f t="array" ref="B306">iferror(VLOOKUP(INDIRECT(ADDRESS(ROW()+1,COLUMN(), 4)),Dex!$A$2:$C473,3,false),"")</f>
        <v/>
      </c>
      <c r="C306" s="22" t="str">
        <f t="array" ref="C306">iferror(VLOOKUP(INDIRECT(ADDRESS(ROW()+1,COLUMN(), 4)),Dex!$A$2:$C473,3,false),"")</f>
        <v/>
      </c>
      <c r="D306" s="22" t="str">
        <f t="array" ref="D306">iferror(VLOOKUP(INDIRECT(ADDRESS(ROW()+1,COLUMN(), 4)),Dex!$A$2:$C473,3,false),"")</f>
        <v/>
      </c>
      <c r="E306" s="22" t="str">
        <f t="array" ref="E306">iferror(VLOOKUP(INDIRECT(ADDRESS(ROW()+1,COLUMN(), 4)),Dex!$A$2:$C473,3,false),"")</f>
        <v/>
      </c>
      <c r="F306" s="22" t="str">
        <f t="array" ref="F306">iferror(VLOOKUP(INDIRECT(ADDRESS(ROW()+1,COLUMN(), 4)),Dex!$A$2:$C473,3,false),"")</f>
        <v/>
      </c>
      <c r="G306" s="22" t="str">
        <f t="array" ref="G306">iferror(VLOOKUP(INDIRECT(ADDRESS(ROW()+1,COLUMN(), 4)),Dex!$A$2:$C473,3,false),"")</f>
        <v/>
      </c>
      <c r="H306" s="23" t="str">
        <f t="array" ref="H306">iferror(VLOOKUP("TRAINER_PIC_Swimmer_F",Sprites!$A$1:$B473,2,false),"")</f>
        <v/>
      </c>
      <c r="I306" s="24"/>
    </row>
    <row r="307">
      <c r="A307" s="25"/>
      <c r="B307" s="26" t="s">
        <v>1500</v>
      </c>
      <c r="C307" s="26" t="s">
        <v>973</v>
      </c>
      <c r="D307" s="26" t="s">
        <v>1665</v>
      </c>
      <c r="E307" s="26" t="s">
        <v>2075</v>
      </c>
      <c r="F307" s="26" t="s">
        <v>1947</v>
      </c>
      <c r="G307" s="26" t="s">
        <v>1174</v>
      </c>
      <c r="H307" s="27"/>
    </row>
    <row r="308">
      <c r="A308" s="10" t="s">
        <v>199</v>
      </c>
      <c r="B308" s="22">
        <v>94.0</v>
      </c>
      <c r="C308" s="22">
        <v>95.0</v>
      </c>
      <c r="D308" s="22">
        <v>94.0</v>
      </c>
      <c r="E308" s="22">
        <v>94.0</v>
      </c>
      <c r="F308" s="22">
        <v>94.0</v>
      </c>
      <c r="G308" s="22">
        <v>95.0</v>
      </c>
      <c r="H308" s="27"/>
    </row>
    <row r="309">
      <c r="A309" s="10" t="s">
        <v>201</v>
      </c>
      <c r="B309" s="29" t="s">
        <v>1014</v>
      </c>
      <c r="C309" s="29" t="s">
        <v>346</v>
      </c>
      <c r="D309" s="29" t="s">
        <v>645</v>
      </c>
      <c r="E309" s="29" t="s">
        <v>1242</v>
      </c>
      <c r="F309" s="29" t="s">
        <v>1456</v>
      </c>
      <c r="G309" s="29" t="s">
        <v>2766</v>
      </c>
      <c r="H309" s="27"/>
    </row>
    <row r="310">
      <c r="A310" s="10" t="s">
        <v>209</v>
      </c>
      <c r="B310" s="22" t="s">
        <v>3243</v>
      </c>
      <c r="C310" s="22" t="s">
        <v>2840</v>
      </c>
      <c r="D310" s="22" t="s">
        <v>2016</v>
      </c>
      <c r="E310" s="22" t="s">
        <v>2554</v>
      </c>
      <c r="F310" s="22" t="s">
        <v>3244</v>
      </c>
      <c r="G310" s="22" t="s">
        <v>2527</v>
      </c>
      <c r="H310" s="27"/>
    </row>
    <row r="311">
      <c r="A311" s="10" t="s">
        <v>215</v>
      </c>
      <c r="B311" s="29" t="s">
        <v>222</v>
      </c>
      <c r="C311" s="29" t="s">
        <v>231</v>
      </c>
      <c r="D311" s="29" t="s">
        <v>220</v>
      </c>
      <c r="E311" s="29" t="s">
        <v>220</v>
      </c>
      <c r="F311" s="29" t="s">
        <v>231</v>
      </c>
      <c r="G311" s="29" t="s">
        <v>220</v>
      </c>
      <c r="H311" s="27"/>
    </row>
    <row r="312">
      <c r="A312" s="15" t="s">
        <v>224</v>
      </c>
      <c r="B312" s="22" t="s">
        <v>697</v>
      </c>
      <c r="C312" s="22" t="s">
        <v>2268</v>
      </c>
      <c r="D312" s="22" t="s">
        <v>587</v>
      </c>
      <c r="E312" s="22" t="s">
        <v>1848</v>
      </c>
      <c r="F312" s="22" t="s">
        <v>1549</v>
      </c>
      <c r="G312" s="22" t="s">
        <v>1352</v>
      </c>
      <c r="H312" s="27"/>
    </row>
    <row r="313">
      <c r="A313" s="30"/>
      <c r="B313" s="22" t="s">
        <v>246</v>
      </c>
      <c r="C313" s="22" t="s">
        <v>356</v>
      </c>
      <c r="D313" s="22" t="s">
        <v>1163</v>
      </c>
      <c r="E313" s="22" t="s">
        <v>1752</v>
      </c>
      <c r="F313" s="22" t="s">
        <v>565</v>
      </c>
      <c r="G313" s="22" t="s">
        <v>2327</v>
      </c>
      <c r="H313" s="27"/>
    </row>
    <row r="314">
      <c r="A314" s="30"/>
      <c r="B314" s="22" t="s">
        <v>805</v>
      </c>
      <c r="C314" s="22" t="s">
        <v>467</v>
      </c>
      <c r="D314" s="22" t="s">
        <v>1716</v>
      </c>
      <c r="E314" s="22" t="s">
        <v>2318</v>
      </c>
      <c r="F314" s="22" t="s">
        <v>467</v>
      </c>
      <c r="G314" s="22" t="s">
        <v>477</v>
      </c>
      <c r="H314" s="27"/>
    </row>
    <row r="315">
      <c r="A315" s="25"/>
      <c r="B315" s="22" t="s">
        <v>1442</v>
      </c>
      <c r="C315" s="22" t="s">
        <v>549</v>
      </c>
      <c r="D315" s="22" t="s">
        <v>2319</v>
      </c>
      <c r="E315" s="22" t="s">
        <v>1999</v>
      </c>
      <c r="F315" s="22" t="s">
        <v>477</v>
      </c>
      <c r="G315" s="22" t="s">
        <v>476</v>
      </c>
      <c r="H315" s="31"/>
      <c r="I315" s="32"/>
    </row>
    <row r="316">
      <c r="A316" s="10" t="s">
        <v>5</v>
      </c>
      <c r="B316" s="11" t="s">
        <v>3245</v>
      </c>
      <c r="C316" s="12"/>
      <c r="D316" s="12"/>
      <c r="E316" s="12"/>
      <c r="F316" s="12"/>
      <c r="G316" s="12"/>
      <c r="H316" s="12"/>
      <c r="I316" s="14"/>
    </row>
    <row r="317" ht="60.0" customHeight="1">
      <c r="A317" s="15" t="s">
        <v>16</v>
      </c>
      <c r="B317" s="22" t="str">
        <f t="array" ref="B317">iferror(VLOOKUP(INDIRECT(ADDRESS(ROW()+1,COLUMN(), 4)),Dex!$A$2:$C473,3,false),"")</f>
        <v/>
      </c>
      <c r="C317" s="22" t="str">
        <f t="array" ref="C317">iferror(VLOOKUP(INDIRECT(ADDRESS(ROW()+1,COLUMN(), 4)),Dex!$A$2:$C473,3,false),"")</f>
        <v/>
      </c>
      <c r="D317" s="22" t="str">
        <f t="array" ref="D317">iferror(VLOOKUP(INDIRECT(ADDRESS(ROW()+1,COLUMN(), 4)),Dex!$A$2:$C473,3,false),"")</f>
        <v/>
      </c>
      <c r="E317" s="22" t="str">
        <f t="array" ref="E317">iferror(VLOOKUP(INDIRECT(ADDRESS(ROW()+1,COLUMN(), 4)),Dex!$A$2:$C473,3,false),"")</f>
        <v/>
      </c>
      <c r="F317" s="22" t="str">
        <f t="array" ref="F317">iferror(VLOOKUP(INDIRECT(ADDRESS(ROW()+1,COLUMN(), 4)),Dex!$A$2:$C473,3,false),"")</f>
        <v/>
      </c>
      <c r="G317" s="22" t="str">
        <f t="array" ref="G317">iferror(VLOOKUP(INDIRECT(ADDRESS(ROW()+1,COLUMN(), 4)),Dex!$A$2:$C473,3,false),"")</f>
        <v/>
      </c>
      <c r="H317" s="23" t="str">
        <f t="array" ref="H317">iferror(VLOOKUP("TRAINER_PIC_Swimmer_F",Sprites!$A$1:$B473,2,false),"")</f>
        <v/>
      </c>
      <c r="I317" s="24"/>
    </row>
    <row r="318">
      <c r="A318" s="25"/>
      <c r="B318" s="26" t="s">
        <v>2182</v>
      </c>
      <c r="C318" s="26" t="s">
        <v>2441</v>
      </c>
      <c r="D318" s="26" t="s">
        <v>624</v>
      </c>
      <c r="E318" s="26" t="s">
        <v>933</v>
      </c>
      <c r="F318" s="26" t="s">
        <v>1596</v>
      </c>
      <c r="G318" s="26" t="s">
        <v>2086</v>
      </c>
      <c r="H318" s="27"/>
    </row>
    <row r="319">
      <c r="A319" s="10" t="s">
        <v>199</v>
      </c>
      <c r="B319" s="22">
        <v>95.0</v>
      </c>
      <c r="C319" s="22">
        <v>94.0</v>
      </c>
      <c r="D319" s="22">
        <v>94.0</v>
      </c>
      <c r="E319" s="22">
        <v>94.0</v>
      </c>
      <c r="F319" s="22">
        <v>94.0</v>
      </c>
      <c r="G319" s="22">
        <v>95.0</v>
      </c>
      <c r="H319" s="27"/>
    </row>
    <row r="320">
      <c r="A320" s="10" t="s">
        <v>201</v>
      </c>
      <c r="B320" s="29" t="s">
        <v>1242</v>
      </c>
      <c r="C320" s="29" t="s">
        <v>2366</v>
      </c>
      <c r="D320" s="29" t="s">
        <v>546</v>
      </c>
      <c r="E320" s="29" t="s">
        <v>206</v>
      </c>
      <c r="F320" s="29" t="s">
        <v>645</v>
      </c>
      <c r="G320" s="29" t="s">
        <v>3030</v>
      </c>
      <c r="H320" s="27"/>
    </row>
    <row r="321">
      <c r="A321" s="10" t="s">
        <v>209</v>
      </c>
      <c r="B321" s="22" t="s">
        <v>900</v>
      </c>
      <c r="C321" s="22" t="s">
        <v>2361</v>
      </c>
      <c r="D321" s="22" t="s">
        <v>1339</v>
      </c>
      <c r="E321" s="22" t="s">
        <v>553</v>
      </c>
      <c r="F321" s="22" t="s">
        <v>1449</v>
      </c>
      <c r="G321" s="22" t="s">
        <v>2017</v>
      </c>
      <c r="H321" s="27"/>
    </row>
    <row r="322">
      <c r="A322" s="10" t="s">
        <v>215</v>
      </c>
      <c r="B322" s="29" t="s">
        <v>231</v>
      </c>
      <c r="C322" s="29" t="s">
        <v>231</v>
      </c>
      <c r="D322" s="29" t="s">
        <v>419</v>
      </c>
      <c r="E322" s="29" t="s">
        <v>231</v>
      </c>
      <c r="F322" s="29" t="s">
        <v>1346</v>
      </c>
      <c r="G322" s="29" t="s">
        <v>419</v>
      </c>
      <c r="H322" s="27"/>
    </row>
    <row r="323">
      <c r="A323" s="15" t="s">
        <v>224</v>
      </c>
      <c r="B323" s="22" t="s">
        <v>810</v>
      </c>
      <c r="C323" s="22" t="s">
        <v>570</v>
      </c>
      <c r="D323" s="22" t="s">
        <v>2703</v>
      </c>
      <c r="E323" s="22" t="s">
        <v>1457</v>
      </c>
      <c r="F323" s="22" t="s">
        <v>3253</v>
      </c>
      <c r="G323" s="22" t="s">
        <v>2332</v>
      </c>
      <c r="H323" s="27"/>
    </row>
    <row r="324">
      <c r="A324" s="30"/>
      <c r="B324" s="22" t="s">
        <v>555</v>
      </c>
      <c r="C324" s="22" t="s">
        <v>2976</v>
      </c>
      <c r="D324" s="22" t="s">
        <v>2937</v>
      </c>
      <c r="E324" s="22" t="s">
        <v>2469</v>
      </c>
      <c r="F324" s="22" t="s">
        <v>2887</v>
      </c>
      <c r="G324" s="22" t="s">
        <v>577</v>
      </c>
      <c r="H324" s="27"/>
    </row>
    <row r="325">
      <c r="A325" s="30"/>
      <c r="B325" s="22" t="s">
        <v>796</v>
      </c>
      <c r="C325" s="22" t="s">
        <v>2549</v>
      </c>
      <c r="D325" s="22" t="s">
        <v>805</v>
      </c>
      <c r="E325" s="22" t="s">
        <v>363</v>
      </c>
      <c r="F325" s="22" t="s">
        <v>1653</v>
      </c>
      <c r="G325" s="22" t="s">
        <v>2419</v>
      </c>
      <c r="H325" s="27"/>
    </row>
    <row r="326">
      <c r="A326" s="25"/>
      <c r="B326" s="22" t="s">
        <v>361</v>
      </c>
      <c r="C326" s="22" t="s">
        <v>700</v>
      </c>
      <c r="D326" s="22" t="s">
        <v>357</v>
      </c>
      <c r="E326" s="22" t="s">
        <v>2020</v>
      </c>
      <c r="F326" s="22" t="s">
        <v>467</v>
      </c>
      <c r="G326" s="22" t="s">
        <v>357</v>
      </c>
      <c r="H326" s="31"/>
      <c r="I326" s="32"/>
    </row>
    <row r="327">
      <c r="A327" s="8" t="s">
        <v>3254</v>
      </c>
      <c r="B327" s="9"/>
      <c r="C327" s="9"/>
      <c r="D327" s="9"/>
      <c r="E327" s="9"/>
      <c r="F327" s="9"/>
      <c r="G327" s="9"/>
      <c r="H327" s="9"/>
      <c r="I327" s="34"/>
    </row>
    <row r="328">
      <c r="A328" s="10" t="s">
        <v>5</v>
      </c>
      <c r="B328" s="11" t="s">
        <v>3255</v>
      </c>
      <c r="C328" s="12"/>
      <c r="D328" s="12"/>
      <c r="E328" s="12"/>
      <c r="F328" s="12"/>
      <c r="G328" s="12"/>
      <c r="H328" s="12"/>
      <c r="I328" s="13"/>
    </row>
    <row r="329" ht="60.0" customHeight="1">
      <c r="A329" s="15" t="s">
        <v>16</v>
      </c>
      <c r="B329" s="22" t="str">
        <f t="array" ref="B329">iferror(VLOOKUP(INDIRECT(ADDRESS(ROW()+1,COLUMN(), 4)),Dex!$A$2:$C473,3,false),"")</f>
        <v/>
      </c>
      <c r="C329" s="22" t="str">
        <f t="array" ref="C329">iferror(VLOOKUP(INDIRECT(ADDRESS(ROW()+1,COLUMN(), 4)),Dex!$A$2:$C473,3,false),"")</f>
        <v/>
      </c>
      <c r="D329" s="22" t="str">
        <f t="array" ref="D329">iferror(VLOOKUP(INDIRECT(ADDRESS(ROW()+1,COLUMN(), 4)),Dex!$A$2:$C473,3,false),"")</f>
        <v/>
      </c>
      <c r="E329" s="22" t="str">
        <f t="array" ref="E329">iferror(VLOOKUP(INDIRECT(ADDRESS(ROW()+1,COLUMN(), 4)),Dex!$A$2:$C473,3,false),"")</f>
        <v/>
      </c>
      <c r="F329" s="22" t="str">
        <f t="array" ref="F329">iferror(VLOOKUP(INDIRECT(ADDRESS(ROW()+1,COLUMN(), 4)),Dex!$A$2:$C473,3,false),"")</f>
        <v/>
      </c>
      <c r="G329" s="22" t="str">
        <f t="array" ref="G329">iferror(VLOOKUP(INDIRECT(ADDRESS(ROW()+1,COLUMN(), 4)),Dex!$A$2:$C473,3,false),"")</f>
        <v/>
      </c>
      <c r="H329" s="23" t="str">
        <f t="array" ref="H329">iferror(VLOOKUP("TRAINER_PIC_Morty",Sprites!$A$1:$B473,2,false),"")</f>
        <v/>
      </c>
      <c r="I329" s="24"/>
    </row>
    <row r="330">
      <c r="A330" s="25"/>
      <c r="B330" s="26" t="s">
        <v>635</v>
      </c>
      <c r="C330" s="26" t="s">
        <v>2176</v>
      </c>
      <c r="D330" s="26" t="s">
        <v>129</v>
      </c>
      <c r="E330" s="26" t="s">
        <v>425</v>
      </c>
      <c r="F330" s="26" t="s">
        <v>321</v>
      </c>
      <c r="G330" s="26" t="s">
        <v>176</v>
      </c>
      <c r="H330" s="27"/>
    </row>
    <row r="331">
      <c r="A331" s="10" t="s">
        <v>199</v>
      </c>
      <c r="B331" s="22">
        <v>96.0</v>
      </c>
      <c r="C331" s="22">
        <v>94.0</v>
      </c>
      <c r="D331" s="22" t="s">
        <v>3261</v>
      </c>
      <c r="E331" s="22">
        <v>95.0</v>
      </c>
      <c r="F331" s="22">
        <v>95.0</v>
      </c>
      <c r="G331" s="22">
        <v>95.0</v>
      </c>
      <c r="H331" s="27"/>
    </row>
    <row r="332">
      <c r="A332" s="10" t="s">
        <v>201</v>
      </c>
      <c r="B332" s="29" t="s">
        <v>1054</v>
      </c>
      <c r="C332" s="29" t="s">
        <v>3073</v>
      </c>
      <c r="D332" s="29" t="s">
        <v>453</v>
      </c>
      <c r="E332" s="29" t="s">
        <v>3137</v>
      </c>
      <c r="F332" s="29" t="s">
        <v>408</v>
      </c>
      <c r="G332" s="29" t="s">
        <v>206</v>
      </c>
      <c r="H332" s="27"/>
    </row>
    <row r="333">
      <c r="A333" s="10" t="s">
        <v>209</v>
      </c>
      <c r="B333" s="22" t="s">
        <v>538</v>
      </c>
      <c r="C333" s="22" t="s">
        <v>785</v>
      </c>
      <c r="D333" s="22" t="s">
        <v>458</v>
      </c>
      <c r="E333" s="22" t="s">
        <v>2840</v>
      </c>
      <c r="F333" s="22" t="s">
        <v>413</v>
      </c>
      <c r="G333" s="22" t="s">
        <v>352</v>
      </c>
      <c r="H333" s="27"/>
    </row>
    <row r="334">
      <c r="A334" s="10" t="s">
        <v>215</v>
      </c>
      <c r="B334" s="29" t="s">
        <v>904</v>
      </c>
      <c r="C334" s="29" t="s">
        <v>220</v>
      </c>
      <c r="D334" s="29" t="s">
        <v>231</v>
      </c>
      <c r="E334" s="29" t="s">
        <v>231</v>
      </c>
      <c r="F334" s="29" t="s">
        <v>419</v>
      </c>
      <c r="G334" s="29" t="s">
        <v>419</v>
      </c>
      <c r="H334" s="27"/>
    </row>
    <row r="335">
      <c r="A335" s="15" t="s">
        <v>224</v>
      </c>
      <c r="B335" s="22" t="s">
        <v>361</v>
      </c>
      <c r="C335" s="22" t="s">
        <v>463</v>
      </c>
      <c r="D335" s="22" t="s">
        <v>1065</v>
      </c>
      <c r="E335" s="22" t="s">
        <v>1125</v>
      </c>
      <c r="F335" s="22" t="s">
        <v>552</v>
      </c>
      <c r="G335" s="22" t="s">
        <v>356</v>
      </c>
      <c r="H335" s="27"/>
    </row>
    <row r="336">
      <c r="A336" s="30"/>
      <c r="B336" s="22" t="s">
        <v>567</v>
      </c>
      <c r="C336" s="22" t="s">
        <v>471</v>
      </c>
      <c r="D336" s="22" t="s">
        <v>3127</v>
      </c>
      <c r="E336" s="22" t="s">
        <v>431</v>
      </c>
      <c r="F336" s="22" t="s">
        <v>355</v>
      </c>
      <c r="G336" s="22" t="s">
        <v>2040</v>
      </c>
      <c r="H336" s="27"/>
    </row>
    <row r="337">
      <c r="A337" s="30"/>
      <c r="B337" s="22" t="s">
        <v>2331</v>
      </c>
      <c r="C337" s="22" t="s">
        <v>476</v>
      </c>
      <c r="D337" s="22" t="s">
        <v>1035</v>
      </c>
      <c r="E337" s="22" t="s">
        <v>356</v>
      </c>
      <c r="F337" s="22" t="s">
        <v>815</v>
      </c>
      <c r="G337" s="22" t="s">
        <v>1891</v>
      </c>
      <c r="H337" s="27"/>
    </row>
    <row r="338">
      <c r="A338" s="25"/>
      <c r="B338" s="22" t="s">
        <v>1036</v>
      </c>
      <c r="C338" s="22" t="s">
        <v>937</v>
      </c>
      <c r="D338" s="22" t="s">
        <v>2049</v>
      </c>
      <c r="E338" s="22" t="s">
        <v>1460</v>
      </c>
      <c r="F338" s="22" t="s">
        <v>582</v>
      </c>
      <c r="G338" s="22" t="s">
        <v>1935</v>
      </c>
      <c r="H338" s="31"/>
      <c r="I338" s="32"/>
    </row>
    <row r="339">
      <c r="A339" s="10" t="s">
        <v>5</v>
      </c>
      <c r="B339" s="11" t="s">
        <v>3263</v>
      </c>
      <c r="C339" s="12"/>
      <c r="D339" s="12"/>
      <c r="E339" s="12"/>
      <c r="F339" s="12"/>
      <c r="G339" s="12"/>
      <c r="H339" s="12"/>
      <c r="I339" s="14"/>
    </row>
    <row r="340" ht="60.0" customHeight="1">
      <c r="A340" s="15" t="s">
        <v>16</v>
      </c>
      <c r="B340" s="22" t="str">
        <f t="array" ref="B340">iferror(VLOOKUP(INDIRECT(ADDRESS(ROW()+1,COLUMN(), 4)),Dex!$A$2:$C473,3,false),"")</f>
        <v/>
      </c>
      <c r="C340" s="22" t="str">
        <f t="array" ref="C340">iferror(VLOOKUP(INDIRECT(ADDRESS(ROW()+1,COLUMN(), 4)),Dex!$A$2:$C473,3,false),"")</f>
        <v/>
      </c>
      <c r="D340" s="22" t="str">
        <f t="array" ref="D340">iferror(VLOOKUP(INDIRECT(ADDRESS(ROW()+1,COLUMN(), 4)),Dex!$A$2:$C473,3,false),"")</f>
        <v/>
      </c>
      <c r="E340" s="22" t="str">
        <f t="array" ref="E340">iferror(VLOOKUP(INDIRECT(ADDRESS(ROW()+1,COLUMN(), 4)),Dex!$A$2:$C473,3,false),"")</f>
        <v/>
      </c>
      <c r="F340" s="22" t="str">
        <f t="array" ref="F340">iferror(VLOOKUP(INDIRECT(ADDRESS(ROW()+1,COLUMN(), 4)),Dex!$A$2:$C473,3,false),"")</f>
        <v/>
      </c>
      <c r="G340" s="22" t="str">
        <f t="array" ref="G340">iferror(VLOOKUP(INDIRECT(ADDRESS(ROW()+1,COLUMN(), 4)),Dex!$A$2:$C473,3,false),"")</f>
        <v/>
      </c>
      <c r="H340" s="23" t="str">
        <f t="array" ref="H340">iferror(VLOOKUP("TRAINER_PIC_Clair",Sprites!$A$1:$B473,2,false),"")</f>
        <v/>
      </c>
      <c r="I340" s="24"/>
    </row>
    <row r="341">
      <c r="A341" s="25"/>
      <c r="B341" s="26" t="s">
        <v>2180</v>
      </c>
      <c r="C341" s="26" t="s">
        <v>882</v>
      </c>
      <c r="D341" s="26" t="s">
        <v>1916</v>
      </c>
      <c r="E341" s="26" t="s">
        <v>2284</v>
      </c>
      <c r="F341" s="26" t="s">
        <v>1770</v>
      </c>
      <c r="G341" s="26" t="s">
        <v>526</v>
      </c>
      <c r="H341" s="27"/>
    </row>
    <row r="342">
      <c r="A342" s="10" t="s">
        <v>199</v>
      </c>
      <c r="B342" s="22">
        <v>94.0</v>
      </c>
      <c r="C342" s="22">
        <v>95.0</v>
      </c>
      <c r="D342" s="22">
        <v>94.0</v>
      </c>
      <c r="E342" s="22">
        <v>95.0</v>
      </c>
      <c r="F342" s="22">
        <v>96.0</v>
      </c>
      <c r="G342" s="22">
        <v>95.0</v>
      </c>
      <c r="H342" s="27"/>
    </row>
    <row r="343">
      <c r="A343" s="10" t="s">
        <v>201</v>
      </c>
      <c r="B343" s="29" t="s">
        <v>1518</v>
      </c>
      <c r="C343" s="29" t="s">
        <v>408</v>
      </c>
      <c r="D343" s="29" t="s">
        <v>2510</v>
      </c>
      <c r="E343" s="29" t="s">
        <v>1928</v>
      </c>
      <c r="F343" s="29" t="s">
        <v>545</v>
      </c>
      <c r="G343" s="29" t="s">
        <v>2851</v>
      </c>
      <c r="H343" s="27"/>
    </row>
    <row r="344">
      <c r="A344" s="10" t="s">
        <v>209</v>
      </c>
      <c r="B344" s="22" t="s">
        <v>1524</v>
      </c>
      <c r="C344" s="22" t="s">
        <v>896</v>
      </c>
      <c r="D344" s="22" t="s">
        <v>1216</v>
      </c>
      <c r="E344" s="22" t="s">
        <v>538</v>
      </c>
      <c r="F344" s="22" t="s">
        <v>541</v>
      </c>
      <c r="G344" s="22" t="s">
        <v>2840</v>
      </c>
      <c r="H344" s="27"/>
    </row>
    <row r="345">
      <c r="A345" s="10" t="s">
        <v>215</v>
      </c>
      <c r="B345" s="29" t="s">
        <v>906</v>
      </c>
      <c r="C345" s="29" t="s">
        <v>220</v>
      </c>
      <c r="D345" s="29" t="s">
        <v>220</v>
      </c>
      <c r="E345" s="29" t="s">
        <v>222</v>
      </c>
      <c r="F345" s="29" t="s">
        <v>231</v>
      </c>
      <c r="G345" s="29" t="s">
        <v>419</v>
      </c>
      <c r="H345" s="27"/>
    </row>
    <row r="346">
      <c r="A346" s="15" t="s">
        <v>224</v>
      </c>
      <c r="B346" s="22" t="s">
        <v>1873</v>
      </c>
      <c r="C346" s="22" t="s">
        <v>549</v>
      </c>
      <c r="D346" s="22" t="s">
        <v>2513</v>
      </c>
      <c r="E346" s="22" t="s">
        <v>3148</v>
      </c>
      <c r="F346" s="22" t="s">
        <v>1352</v>
      </c>
      <c r="G346" s="22" t="s">
        <v>1891</v>
      </c>
      <c r="H346" s="27"/>
    </row>
    <row r="347">
      <c r="A347" s="30"/>
      <c r="B347" s="22" t="s">
        <v>1871</v>
      </c>
      <c r="C347" s="22" t="s">
        <v>432</v>
      </c>
      <c r="D347" s="22" t="s">
        <v>2393</v>
      </c>
      <c r="E347" s="22" t="s">
        <v>2397</v>
      </c>
      <c r="F347" s="22" t="s">
        <v>3266</v>
      </c>
      <c r="G347" s="22" t="s">
        <v>2578</v>
      </c>
      <c r="H347" s="27"/>
    </row>
    <row r="348">
      <c r="A348" s="30"/>
      <c r="B348" s="22" t="s">
        <v>1169</v>
      </c>
      <c r="C348" s="22" t="s">
        <v>233</v>
      </c>
      <c r="D348" s="22" t="s">
        <v>2888</v>
      </c>
      <c r="E348" s="22" t="s">
        <v>469</v>
      </c>
      <c r="F348" s="22" t="s">
        <v>2907</v>
      </c>
      <c r="G348" s="22" t="s">
        <v>1048</v>
      </c>
      <c r="H348" s="27"/>
    </row>
    <row r="349">
      <c r="A349" s="25"/>
      <c r="B349" s="22" t="s">
        <v>1047</v>
      </c>
      <c r="C349" s="22" t="s">
        <v>587</v>
      </c>
      <c r="D349" s="22" t="s">
        <v>1460</v>
      </c>
      <c r="E349" s="22" t="s">
        <v>589</v>
      </c>
      <c r="F349" s="22" t="s">
        <v>1999</v>
      </c>
      <c r="G349" s="22" t="s">
        <v>582</v>
      </c>
      <c r="H349" s="31"/>
      <c r="I349" s="32"/>
    </row>
    <row r="350">
      <c r="A350" s="8" t="s">
        <v>3267</v>
      </c>
      <c r="B350" s="9"/>
      <c r="C350" s="9"/>
      <c r="D350" s="9"/>
      <c r="E350" s="9"/>
      <c r="F350" s="9"/>
      <c r="G350" s="9"/>
      <c r="H350" s="9"/>
      <c r="I350" s="34"/>
    </row>
    <row r="351">
      <c r="A351" s="10" t="s">
        <v>5</v>
      </c>
      <c r="B351" s="11" t="s">
        <v>3268</v>
      </c>
      <c r="C351" s="12"/>
      <c r="D351" s="12"/>
      <c r="E351" s="12"/>
      <c r="F351" s="12"/>
      <c r="G351" s="12"/>
      <c r="H351" s="12"/>
      <c r="I351" s="14"/>
    </row>
    <row r="352" ht="60.0" customHeight="1">
      <c r="A352" s="15" t="s">
        <v>16</v>
      </c>
      <c r="B352" s="22" t="str">
        <f t="array" ref="B352">iferror(VLOOKUP(INDIRECT(ADDRESS(ROW()+1,COLUMN(), 4)),Dex!$A$2:$C473,3,false),"")</f>
        <v/>
      </c>
      <c r="C352" s="22" t="str">
        <f t="array" ref="C352">iferror(VLOOKUP(INDIRECT(ADDRESS(ROW()+1,COLUMN(), 4)),Dex!$A$2:$C473,3,false),"")</f>
        <v/>
      </c>
      <c r="D352" s="22" t="str">
        <f t="array" ref="D352">iferror(VLOOKUP(INDIRECT(ADDRESS(ROW()+1,COLUMN(), 4)),Dex!$A$2:$C473,3,false),"")</f>
        <v/>
      </c>
      <c r="E352" s="22" t="str">
        <f t="array" ref="E352">iferror(VLOOKUP(INDIRECT(ADDRESS(ROW()+1,COLUMN(), 4)),Dex!$A$2:$C473,3,false),"")</f>
        <v/>
      </c>
      <c r="F352" s="22" t="str">
        <f t="array" ref="F352">iferror(VLOOKUP(INDIRECT(ADDRESS(ROW()+1,COLUMN(), 4)),Dex!$A$2:$C473,3,false),"")</f>
        <v/>
      </c>
      <c r="G352" s="22" t="str">
        <f t="array" ref="G352">iferror(VLOOKUP(INDIRECT(ADDRESS(ROW()+1,COLUMN(), 4)),Dex!$A$2:$C473,3,false),"")</f>
        <v/>
      </c>
      <c r="H352" s="23" t="str">
        <f t="array" ref="H352">iferror(VLOOKUP("TRAINER_PIC_Cooltrainer_M",Sprites!$A$1:$B473,2,false),"")</f>
        <v/>
      </c>
      <c r="I352" s="24"/>
    </row>
    <row r="353">
      <c r="A353" s="25"/>
      <c r="B353" s="26" t="s">
        <v>1071</v>
      </c>
      <c r="C353" s="26" t="s">
        <v>1410</v>
      </c>
      <c r="D353" s="26" t="s">
        <v>1861</v>
      </c>
      <c r="E353" s="26" t="s">
        <v>1882</v>
      </c>
      <c r="F353" s="26" t="s">
        <v>1076</v>
      </c>
      <c r="G353" s="26" t="s">
        <v>1130</v>
      </c>
      <c r="H353" s="28"/>
    </row>
    <row r="354">
      <c r="A354" s="10" t="s">
        <v>199</v>
      </c>
      <c r="B354" s="22">
        <v>94.0</v>
      </c>
      <c r="C354" s="22">
        <v>95.0</v>
      </c>
      <c r="D354" s="22">
        <v>95.0</v>
      </c>
      <c r="E354" s="22">
        <v>94.0</v>
      </c>
      <c r="F354" s="22">
        <v>94.0</v>
      </c>
      <c r="G354" s="22">
        <v>97.0</v>
      </c>
      <c r="H354" s="27"/>
    </row>
    <row r="355">
      <c r="A355" s="10" t="s">
        <v>201</v>
      </c>
      <c r="B355" s="29" t="s">
        <v>1242</v>
      </c>
      <c r="C355" s="29" t="s">
        <v>206</v>
      </c>
      <c r="D355" s="29" t="s">
        <v>536</v>
      </c>
      <c r="E355" s="29" t="s">
        <v>408</v>
      </c>
      <c r="F355" s="29" t="s">
        <v>645</v>
      </c>
      <c r="G355" s="29" t="s">
        <v>406</v>
      </c>
      <c r="H355" s="27"/>
    </row>
    <row r="356">
      <c r="A356" s="10" t="s">
        <v>209</v>
      </c>
      <c r="B356" s="22" t="s">
        <v>2377</v>
      </c>
      <c r="C356" s="22" t="s">
        <v>352</v>
      </c>
      <c r="D356" s="22" t="s">
        <v>541</v>
      </c>
      <c r="E356" s="22" t="s">
        <v>1523</v>
      </c>
      <c r="F356" s="22" t="s">
        <v>2437</v>
      </c>
      <c r="G356" s="22" t="s">
        <v>3187</v>
      </c>
      <c r="H356" s="27"/>
    </row>
    <row r="357">
      <c r="A357" s="10" t="s">
        <v>215</v>
      </c>
      <c r="B357" s="29" t="s">
        <v>231</v>
      </c>
      <c r="C357" s="29" t="s">
        <v>419</v>
      </c>
      <c r="D357" s="29" t="s">
        <v>220</v>
      </c>
      <c r="E357" s="29" t="s">
        <v>222</v>
      </c>
      <c r="F357" s="29" t="s">
        <v>220</v>
      </c>
      <c r="G357" s="29" t="s">
        <v>231</v>
      </c>
      <c r="H357" s="27"/>
    </row>
    <row r="358">
      <c r="A358" s="15" t="s">
        <v>224</v>
      </c>
      <c r="B358" s="22" t="s">
        <v>477</v>
      </c>
      <c r="C358" s="22" t="s">
        <v>2601</v>
      </c>
      <c r="D358" s="22" t="s">
        <v>2823</v>
      </c>
      <c r="E358" s="22" t="s">
        <v>814</v>
      </c>
      <c r="F358" s="22" t="s">
        <v>356</v>
      </c>
      <c r="G358" s="22" t="s">
        <v>233</v>
      </c>
      <c r="H358" s="27"/>
    </row>
    <row r="359">
      <c r="A359" s="30"/>
      <c r="B359" s="22" t="s">
        <v>1549</v>
      </c>
      <c r="C359" s="22" t="s">
        <v>582</v>
      </c>
      <c r="D359" s="22" t="s">
        <v>2845</v>
      </c>
      <c r="E359" s="22" t="s">
        <v>3077</v>
      </c>
      <c r="F359" s="22" t="s">
        <v>361</v>
      </c>
      <c r="G359" s="22" t="s">
        <v>356</v>
      </c>
      <c r="H359" s="27"/>
    </row>
    <row r="360">
      <c r="A360" s="30"/>
      <c r="B360" s="22" t="s">
        <v>241</v>
      </c>
      <c r="C360" s="22" t="s">
        <v>2040</v>
      </c>
      <c r="D360" s="22" t="s">
        <v>2022</v>
      </c>
      <c r="E360" s="22" t="s">
        <v>1048</v>
      </c>
      <c r="F360" s="22" t="s">
        <v>1554</v>
      </c>
      <c r="G360" s="22" t="s">
        <v>477</v>
      </c>
      <c r="H360" s="27"/>
    </row>
    <row r="361">
      <c r="A361" s="25"/>
      <c r="B361" s="22" t="s">
        <v>240</v>
      </c>
      <c r="C361" s="22" t="s">
        <v>920</v>
      </c>
      <c r="D361" s="22" t="s">
        <v>1772</v>
      </c>
      <c r="E361" s="22" t="s">
        <v>2318</v>
      </c>
      <c r="F361" s="22" t="s">
        <v>927</v>
      </c>
      <c r="G361" s="22" t="s">
        <v>549</v>
      </c>
      <c r="H361" s="31"/>
      <c r="I361" s="32"/>
    </row>
    <row r="362">
      <c r="A362" s="8" t="s">
        <v>3271</v>
      </c>
      <c r="B362" s="9"/>
      <c r="C362" s="9"/>
      <c r="D362" s="9"/>
      <c r="E362" s="9"/>
      <c r="F362" s="9"/>
      <c r="G362" s="9"/>
      <c r="H362" s="9"/>
      <c r="I362" s="34"/>
    </row>
    <row r="363">
      <c r="A363" s="10" t="s">
        <v>5</v>
      </c>
      <c r="B363" s="11" t="s">
        <v>3273</v>
      </c>
      <c r="C363" s="12"/>
      <c r="D363" s="12"/>
      <c r="E363" s="12"/>
      <c r="F363" s="12"/>
      <c r="G363" s="12"/>
      <c r="H363" s="12"/>
      <c r="I363" s="13"/>
    </row>
    <row r="364" ht="60.0" customHeight="1">
      <c r="A364" s="15" t="s">
        <v>16</v>
      </c>
      <c r="B364" s="22" t="str">
        <f t="array" ref="B364">iferror(VLOOKUP(INDIRECT(ADDRESS(ROW()+1,COLUMN(), 4)),Dex!$A$2:$C473,3,false),"")</f>
        <v/>
      </c>
      <c r="C364" s="22" t="str">
        <f t="array" ref="C364">iferror(VLOOKUP(INDIRECT(ADDRESS(ROW()+1,COLUMN(), 4)),Dex!$A$2:$C473,3,false),"")</f>
        <v/>
      </c>
      <c r="D364" s="22" t="str">
        <f t="array" ref="D364">iferror(VLOOKUP(INDIRECT(ADDRESS(ROW()+1,COLUMN(), 4)),Dex!$A$2:$C473,3,false),"")</f>
        <v/>
      </c>
      <c r="E364" s="22" t="str">
        <f t="array" ref="E364">iferror(VLOOKUP(INDIRECT(ADDRESS(ROW()+1,COLUMN(), 4)),Dex!$A$2:$C473,3,false),"")</f>
        <v/>
      </c>
      <c r="F364" s="22" t="str">
        <f t="array" ref="F364">iferror(VLOOKUP(INDIRECT(ADDRESS(ROW()+1,COLUMN(), 4)),Dex!$A$2:$C473,3,false),"")</f>
        <v/>
      </c>
      <c r="G364" s="22" t="str">
        <f t="array" ref="G364">iferror(VLOOKUP(INDIRECT(ADDRESS(ROW()+1,COLUMN(), 4)),Dex!$A$2:$C473,3,false),"")</f>
        <v/>
      </c>
      <c r="H364" s="23" t="str">
        <f t="array" ref="H364">iferror(VLOOKUP("TRAINER_PIC_Old_Couple",Sprites!$A$1:$B473,2,false),"")</f>
        <v/>
      </c>
      <c r="I364" s="24"/>
    </row>
    <row r="365">
      <c r="A365" s="25"/>
      <c r="B365" s="26" t="s">
        <v>2878</v>
      </c>
      <c r="C365" s="26" t="s">
        <v>2729</v>
      </c>
      <c r="D365" s="26" t="s">
        <v>2359</v>
      </c>
      <c r="E365" s="26" t="s">
        <v>3161</v>
      </c>
      <c r="F365" s="26" t="s">
        <v>1134</v>
      </c>
      <c r="G365" s="26" t="s">
        <v>1156</v>
      </c>
      <c r="H365" s="28"/>
    </row>
    <row r="366">
      <c r="A366" s="10" t="s">
        <v>199</v>
      </c>
      <c r="B366" s="22">
        <v>95.0</v>
      </c>
      <c r="C366" s="22">
        <v>95.0</v>
      </c>
      <c r="D366" s="22">
        <v>95.0</v>
      </c>
      <c r="E366" s="22">
        <v>95.0</v>
      </c>
      <c r="F366" s="22">
        <v>96.0</v>
      </c>
      <c r="G366" s="22">
        <v>96.0</v>
      </c>
      <c r="H366" s="27"/>
    </row>
    <row r="367">
      <c r="A367" s="10" t="s">
        <v>201</v>
      </c>
      <c r="B367" s="29" t="s">
        <v>2032</v>
      </c>
      <c r="C367" s="29" t="s">
        <v>1546</v>
      </c>
      <c r="D367" s="29" t="s">
        <v>1521</v>
      </c>
      <c r="E367" s="29" t="s">
        <v>408</v>
      </c>
      <c r="F367" s="29" t="s">
        <v>3276</v>
      </c>
      <c r="G367" s="29" t="s">
        <v>3277</v>
      </c>
      <c r="H367" s="27"/>
    </row>
    <row r="368">
      <c r="A368" s="10" t="s">
        <v>209</v>
      </c>
      <c r="B368" s="22" t="s">
        <v>2361</v>
      </c>
      <c r="C368" s="22" t="s">
        <v>2361</v>
      </c>
      <c r="D368" s="22" t="s">
        <v>2361</v>
      </c>
      <c r="E368" s="22" t="s">
        <v>2361</v>
      </c>
      <c r="F368" s="22" t="s">
        <v>3187</v>
      </c>
      <c r="G368" s="22" t="s">
        <v>3187</v>
      </c>
      <c r="H368" s="27"/>
    </row>
    <row r="369">
      <c r="A369" s="10" t="s">
        <v>215</v>
      </c>
      <c r="B369" s="29" t="s">
        <v>419</v>
      </c>
      <c r="C369" s="29" t="s">
        <v>419</v>
      </c>
      <c r="D369" s="29" t="s">
        <v>220</v>
      </c>
      <c r="E369" s="29" t="s">
        <v>419</v>
      </c>
      <c r="F369" s="29" t="s">
        <v>419</v>
      </c>
      <c r="G369" s="29" t="s">
        <v>419</v>
      </c>
      <c r="H369" s="27"/>
    </row>
    <row r="370">
      <c r="A370" s="15" t="s">
        <v>224</v>
      </c>
      <c r="B370" s="22" t="s">
        <v>1848</v>
      </c>
      <c r="C370" s="22" t="s">
        <v>2332</v>
      </c>
      <c r="D370" s="22" t="s">
        <v>241</v>
      </c>
      <c r="E370" s="22" t="s">
        <v>2115</v>
      </c>
      <c r="F370" s="22" t="s">
        <v>2578</v>
      </c>
      <c r="G370" s="22" t="s">
        <v>3278</v>
      </c>
      <c r="H370" s="27"/>
    </row>
    <row r="371">
      <c r="A371" s="30"/>
      <c r="B371" s="22" t="s">
        <v>2879</v>
      </c>
      <c r="C371" s="22" t="s">
        <v>236</v>
      </c>
      <c r="D371" s="22" t="s">
        <v>2679</v>
      </c>
      <c r="E371" s="22" t="s">
        <v>585</v>
      </c>
      <c r="F371" s="22" t="s">
        <v>2332</v>
      </c>
      <c r="G371" s="22" t="s">
        <v>1891</v>
      </c>
      <c r="H371" s="27"/>
    </row>
    <row r="372">
      <c r="A372" s="30"/>
      <c r="B372" s="22" t="s">
        <v>1352</v>
      </c>
      <c r="C372" s="22" t="s">
        <v>355</v>
      </c>
      <c r="D372" s="22" t="s">
        <v>1352</v>
      </c>
      <c r="E372" s="22" t="s">
        <v>580</v>
      </c>
      <c r="F372" s="22" t="s">
        <v>577</v>
      </c>
      <c r="G372" s="22" t="s">
        <v>1039</v>
      </c>
      <c r="H372" s="27"/>
    </row>
    <row r="373">
      <c r="A373" s="25"/>
      <c r="B373" s="22" t="s">
        <v>2929</v>
      </c>
      <c r="C373" s="22" t="s">
        <v>805</v>
      </c>
      <c r="D373" s="22" t="s">
        <v>700</v>
      </c>
      <c r="E373" s="22" t="s">
        <v>2929</v>
      </c>
      <c r="F373" s="22" t="s">
        <v>2550</v>
      </c>
      <c r="G373" s="22" t="s">
        <v>2929</v>
      </c>
      <c r="H373" s="31"/>
      <c r="I373" s="32"/>
    </row>
    <row r="374">
      <c r="A374" s="10" t="s">
        <v>5</v>
      </c>
      <c r="B374" s="11" t="s">
        <v>3279</v>
      </c>
      <c r="C374" s="12"/>
      <c r="D374" s="12"/>
      <c r="E374" s="12"/>
      <c r="F374" s="12"/>
      <c r="G374" s="12"/>
      <c r="H374" s="12"/>
      <c r="I374" s="13"/>
    </row>
    <row r="375" ht="60.0" customHeight="1">
      <c r="A375" s="15" t="s">
        <v>16</v>
      </c>
      <c r="B375" s="22" t="str">
        <f t="array" ref="B375">iferror(VLOOKUP(INDIRECT(ADDRESS(ROW()+1,COLUMN(), 4)),Dex!$A$2:$C473,3,false),"")</f>
        <v/>
      </c>
      <c r="C375" s="22" t="str">
        <f t="array" ref="C375">iferror(VLOOKUP(INDIRECT(ADDRESS(ROW()+1,COLUMN(), 4)),Dex!$A$2:$C473,3,false),"")</f>
        <v/>
      </c>
      <c r="D375" s="22" t="str">
        <f t="array" ref="D375">iferror(VLOOKUP(INDIRECT(ADDRESS(ROW()+1,COLUMN(), 4)),Dex!$A$2:$C473,3,false),"")</f>
        <v/>
      </c>
      <c r="E375" s="22" t="str">
        <f t="array" ref="E375">iferror(VLOOKUP(INDIRECT(ADDRESS(ROW()+1,COLUMN(), 4)),Dex!$A$2:$C473,3,false),"")</f>
        <v/>
      </c>
      <c r="F375" s="22" t="str">
        <f t="array" ref="F375">iferror(VLOOKUP(INDIRECT(ADDRESS(ROW()+1,COLUMN(), 4)),Dex!$A$2:$C473,3,false),"")</f>
        <v/>
      </c>
      <c r="G375" s="22" t="str">
        <f t="array" ref="G375">iferror(VLOOKUP(INDIRECT(ADDRESS(ROW()+1,COLUMN(), 4)),Dex!$A$2:$C473,3,false),"")</f>
        <v/>
      </c>
      <c r="H375" s="23" t="str">
        <f t="array" ref="H375">iferror(VLOOKUP("TRAINER_PIC_Rayquaza",Sprites!$A$1:$B473,2,false),"")</f>
        <v/>
      </c>
      <c r="I375" s="24"/>
    </row>
    <row r="376">
      <c r="A376" s="25"/>
      <c r="B376" s="26" t="s">
        <v>895</v>
      </c>
      <c r="C376" s="26"/>
      <c r="D376" s="26"/>
      <c r="E376" s="26"/>
      <c r="F376" s="26"/>
      <c r="G376" s="26"/>
      <c r="H376" s="28"/>
    </row>
    <row r="377">
      <c r="A377" s="10" t="s">
        <v>199</v>
      </c>
      <c r="B377" s="22">
        <v>95.0</v>
      </c>
      <c r="C377" s="22"/>
      <c r="D377" s="22"/>
      <c r="E377" s="22"/>
      <c r="F377" s="22"/>
      <c r="G377" s="22"/>
      <c r="H377" s="27"/>
    </row>
    <row r="378">
      <c r="A378" s="10" t="s">
        <v>201</v>
      </c>
      <c r="B378" s="29" t="s">
        <v>455</v>
      </c>
      <c r="C378" s="29"/>
      <c r="D378" s="29"/>
      <c r="E378" s="29"/>
      <c r="F378" s="29"/>
      <c r="G378" s="29"/>
      <c r="H378" s="27"/>
    </row>
    <row r="379">
      <c r="A379" s="10" t="s">
        <v>209</v>
      </c>
      <c r="B379" s="22" t="s">
        <v>3280</v>
      </c>
      <c r="C379" s="22"/>
      <c r="D379" s="22"/>
      <c r="E379" s="22"/>
      <c r="F379" s="22"/>
      <c r="G379" s="22"/>
      <c r="H379" s="27"/>
    </row>
    <row r="380">
      <c r="A380" s="10" t="s">
        <v>215</v>
      </c>
      <c r="B380" s="29" t="s">
        <v>220</v>
      </c>
      <c r="C380" s="29"/>
      <c r="D380" s="29"/>
      <c r="E380" s="29"/>
      <c r="F380" s="29"/>
      <c r="G380" s="29"/>
      <c r="H380" s="27"/>
    </row>
    <row r="381">
      <c r="A381" s="15" t="s">
        <v>224</v>
      </c>
      <c r="B381" s="22" t="s">
        <v>2624</v>
      </c>
      <c r="C381" s="22"/>
      <c r="D381" s="22"/>
      <c r="E381" s="22"/>
      <c r="F381" s="22"/>
      <c r="G381" s="22"/>
      <c r="H381" s="27"/>
    </row>
    <row r="382">
      <c r="A382" s="30"/>
      <c r="B382" s="22" t="s">
        <v>2578</v>
      </c>
      <c r="C382" s="22"/>
      <c r="D382" s="22"/>
      <c r="E382" s="22"/>
      <c r="F382" s="22"/>
      <c r="G382" s="22"/>
      <c r="H382" s="27"/>
    </row>
    <row r="383">
      <c r="A383" s="30"/>
      <c r="B383" s="22" t="s">
        <v>2975</v>
      </c>
      <c r="C383" s="22"/>
      <c r="D383" s="22"/>
      <c r="E383" s="22"/>
      <c r="F383" s="22"/>
      <c r="G383" s="22"/>
      <c r="H383" s="27"/>
    </row>
    <row r="384">
      <c r="A384" s="25"/>
      <c r="B384" s="22" t="s">
        <v>938</v>
      </c>
      <c r="C384" s="22"/>
      <c r="D384" s="22"/>
      <c r="E384" s="22"/>
      <c r="F384" s="22"/>
      <c r="G384" s="22"/>
      <c r="H384" s="31"/>
      <c r="I384" s="32"/>
    </row>
    <row r="385">
      <c r="A385" s="53" t="s">
        <v>3281</v>
      </c>
      <c r="B385" s="9"/>
      <c r="C385" s="9"/>
      <c r="D385" s="9"/>
      <c r="E385" s="9"/>
      <c r="F385" s="9"/>
      <c r="G385" s="9"/>
      <c r="H385" s="9"/>
      <c r="I385" s="34"/>
    </row>
    <row r="386">
      <c r="A386" s="10" t="s">
        <v>5</v>
      </c>
      <c r="B386" s="11" t="s">
        <v>3282</v>
      </c>
      <c r="C386" s="9"/>
      <c r="D386" s="9"/>
      <c r="E386" s="9"/>
      <c r="F386" s="9"/>
      <c r="G386" s="9"/>
      <c r="H386" s="9"/>
      <c r="I386" s="13"/>
    </row>
    <row r="387" ht="60.0" customHeight="1">
      <c r="A387" s="15" t="s">
        <v>16</v>
      </c>
      <c r="B387" s="22" t="str">
        <f t="array" ref="B387">iferror(VLOOKUP(INDIRECT(ADDRESS(ROW()+1,COLUMN(), 4)),Dex!$A$2:$C473,3,false),"")</f>
        <v/>
      </c>
      <c r="C387" s="22" t="str">
        <f t="array" ref="C387">iferror(VLOOKUP(INDIRECT(ADDRESS(ROW()+1,COLUMN(), 4)),Dex!$A$2:$C473,3,false),"")</f>
        <v/>
      </c>
      <c r="D387" s="22" t="str">
        <f t="array" ref="D387">iferror(VLOOKUP(INDIRECT(ADDRESS(ROW()+1,COLUMN(), 4)),Dex!$A$2:$C473,3,false),"")</f>
        <v/>
      </c>
      <c r="E387" s="22" t="str">
        <f t="array" ref="E387">iferror(VLOOKUP(INDIRECT(ADDRESS(ROW()+1,COLUMN(), 4)),Dex!$A$2:$C473,3,false),"")</f>
        <v/>
      </c>
      <c r="F387" s="22" t="str">
        <f t="array" ref="F387">iferror(VLOOKUP(INDIRECT(ADDRESS(ROW()+1,COLUMN(), 4)),Dex!$A$2:$C473,3,false),"")</f>
        <v/>
      </c>
      <c r="G387" s="22" t="str">
        <f t="array" ref="G387">iferror(VLOOKUP(INDIRECT(ADDRESS(ROW()+1,COLUMN(), 4)),Dex!$A$2:$C473,3,false),"")</f>
        <v/>
      </c>
      <c r="H387" s="23" t="str">
        <f t="array" ref="H387">iferror(VLOOKUP("TRAINER_PIC_Lass",Sprites!$A$1:$B473,2,false),"")</f>
        <v/>
      </c>
      <c r="I387" s="24"/>
    </row>
    <row r="388">
      <c r="A388" s="25"/>
      <c r="B388" s="26" t="s">
        <v>1292</v>
      </c>
      <c r="C388" s="26" t="s">
        <v>1533</v>
      </c>
      <c r="D388" s="26" t="s">
        <v>318</v>
      </c>
      <c r="E388" s="26" t="s">
        <v>3284</v>
      </c>
      <c r="F388" s="26" t="s">
        <v>726</v>
      </c>
      <c r="G388" s="26" t="s">
        <v>1115</v>
      </c>
      <c r="H388" s="28"/>
    </row>
    <row r="389">
      <c r="A389" s="10" t="s">
        <v>199</v>
      </c>
      <c r="B389" s="22">
        <v>95.0</v>
      </c>
      <c r="C389" s="22">
        <v>95.0</v>
      </c>
      <c r="D389" s="22">
        <v>95.0</v>
      </c>
      <c r="E389" s="22">
        <v>95.0</v>
      </c>
      <c r="F389" s="22">
        <v>95.0</v>
      </c>
      <c r="G389" s="22">
        <v>95.0</v>
      </c>
      <c r="H389" s="27"/>
    </row>
    <row r="390">
      <c r="A390" s="10" t="s">
        <v>201</v>
      </c>
      <c r="B390" s="29" t="s">
        <v>2032</v>
      </c>
      <c r="C390" s="29" t="s">
        <v>544</v>
      </c>
      <c r="D390" s="29" t="s">
        <v>1213</v>
      </c>
      <c r="E390" s="29" t="s">
        <v>344</v>
      </c>
      <c r="F390" s="29" t="s">
        <v>408</v>
      </c>
      <c r="G390" s="29" t="s">
        <v>345</v>
      </c>
      <c r="H390" s="27"/>
    </row>
    <row r="391">
      <c r="A391" s="10" t="s">
        <v>209</v>
      </c>
      <c r="B391" s="22" t="s">
        <v>2945</v>
      </c>
      <c r="C391" s="22" t="s">
        <v>1550</v>
      </c>
      <c r="D391" s="22" t="s">
        <v>897</v>
      </c>
      <c r="E391" s="22" t="s">
        <v>2361</v>
      </c>
      <c r="F391" s="22" t="s">
        <v>219</v>
      </c>
      <c r="G391" s="22" t="s">
        <v>789</v>
      </c>
      <c r="H391" s="27"/>
    </row>
    <row r="392">
      <c r="A392" s="10" t="s">
        <v>215</v>
      </c>
      <c r="B392" s="29" t="s">
        <v>419</v>
      </c>
      <c r="C392" s="29" t="s">
        <v>1343</v>
      </c>
      <c r="D392" s="29" t="s">
        <v>231</v>
      </c>
      <c r="E392" s="29" t="s">
        <v>231</v>
      </c>
      <c r="F392" s="29" t="s">
        <v>222</v>
      </c>
      <c r="G392" s="29" t="s">
        <v>419</v>
      </c>
      <c r="H392" s="27"/>
    </row>
    <row r="393">
      <c r="A393" s="15" t="s">
        <v>224</v>
      </c>
      <c r="B393" s="22" t="s">
        <v>2617</v>
      </c>
      <c r="C393" s="22" t="s">
        <v>1554</v>
      </c>
      <c r="D393" s="22" t="s">
        <v>2020</v>
      </c>
      <c r="E393" s="22" t="s">
        <v>356</v>
      </c>
      <c r="F393" s="22" t="s">
        <v>371</v>
      </c>
      <c r="G393" s="22" t="s">
        <v>797</v>
      </c>
      <c r="H393" s="27"/>
    </row>
    <row r="394">
      <c r="A394" s="30"/>
      <c r="B394" s="22" t="s">
        <v>246</v>
      </c>
      <c r="C394" s="22" t="s">
        <v>940</v>
      </c>
      <c r="D394" s="22" t="s">
        <v>587</v>
      </c>
      <c r="E394" s="22" t="s">
        <v>652</v>
      </c>
      <c r="F394" s="22" t="s">
        <v>2115</v>
      </c>
      <c r="G394" s="22" t="s">
        <v>362</v>
      </c>
      <c r="H394" s="27"/>
    </row>
    <row r="395">
      <c r="A395" s="30"/>
      <c r="B395" s="22" t="s">
        <v>582</v>
      </c>
      <c r="C395" s="22" t="s">
        <v>581</v>
      </c>
      <c r="D395" s="22" t="s">
        <v>1453</v>
      </c>
      <c r="E395" s="22" t="s">
        <v>555</v>
      </c>
      <c r="F395" s="22" t="s">
        <v>360</v>
      </c>
      <c r="G395" s="22" t="s">
        <v>805</v>
      </c>
      <c r="H395" s="27"/>
    </row>
    <row r="396">
      <c r="A396" s="25"/>
      <c r="B396" s="22" t="s">
        <v>694</v>
      </c>
      <c r="C396" s="22" t="s">
        <v>367</v>
      </c>
      <c r="D396" s="22" t="s">
        <v>2022</v>
      </c>
      <c r="E396" s="22" t="s">
        <v>361</v>
      </c>
      <c r="F396" s="22" t="s">
        <v>426</v>
      </c>
      <c r="G396" s="22" t="s">
        <v>234</v>
      </c>
      <c r="H396" s="31"/>
      <c r="I396" s="32"/>
    </row>
    <row r="397">
      <c r="A397" s="10" t="s">
        <v>5</v>
      </c>
      <c r="B397" s="11" t="s">
        <v>3285</v>
      </c>
      <c r="C397" s="9"/>
      <c r="D397" s="9"/>
      <c r="E397" s="9"/>
      <c r="F397" s="9"/>
      <c r="G397" s="9"/>
      <c r="H397" s="9"/>
      <c r="I397" s="14"/>
    </row>
    <row r="398" ht="60.0" customHeight="1">
      <c r="A398" s="15" t="s">
        <v>16</v>
      </c>
      <c r="B398" s="22" t="str">
        <f t="array" ref="B398">iferror(VLOOKUP(INDIRECT(ADDRESS(ROW()+1,COLUMN(), 4)),Dex!$A$2:$C473,3,false),"")</f>
        <v/>
      </c>
      <c r="C398" s="22" t="str">
        <f t="array" ref="C398">iferror(VLOOKUP(INDIRECT(ADDRESS(ROW()+1,COLUMN(), 4)),Dex!$A$2:$C473,3,false),"")</f>
        <v/>
      </c>
      <c r="D398" s="22" t="str">
        <f t="array" ref="D398">iferror(VLOOKUP(INDIRECT(ADDRESS(ROW()+1,COLUMN(), 4)),Dex!$A$2:$C473,3,false),"")</f>
        <v/>
      </c>
      <c r="E398" s="22" t="str">
        <f t="array" ref="E398">iferror(VLOOKUP(INDIRECT(ADDRESS(ROW()+1,COLUMN(), 4)),Dex!$A$2:$C473,3,false),"")</f>
        <v/>
      </c>
      <c r="F398" s="22" t="str">
        <f t="array" ref="F398">iferror(VLOOKUP(INDIRECT(ADDRESS(ROW()+1,COLUMN(), 4)),Dex!$A$2:$C473,3,false),"")</f>
        <v/>
      </c>
      <c r="G398" s="22" t="str">
        <f t="array" ref="G398">iferror(VLOOKUP(INDIRECT(ADDRESS(ROW()+1,COLUMN(), 4)),Dex!$A$2:$C473,3,false),"")</f>
        <v/>
      </c>
      <c r="H398" s="23" t="str">
        <f t="array" ref="H398">iferror(VLOOKUP("TRAINER_PIC_Pokefan_F",Sprites!$A$1:$B473,2,false),"")</f>
        <v/>
      </c>
      <c r="I398" s="24"/>
    </row>
    <row r="399">
      <c r="A399" s="25"/>
      <c r="B399" s="26" t="s">
        <v>1290</v>
      </c>
      <c r="C399" s="26" t="s">
        <v>641</v>
      </c>
      <c r="D399" s="26" t="s">
        <v>1764</v>
      </c>
      <c r="E399" s="26" t="s">
        <v>1180</v>
      </c>
      <c r="F399" s="26" t="s">
        <v>1261</v>
      </c>
      <c r="G399" s="26" t="s">
        <v>2130</v>
      </c>
      <c r="H399" s="28"/>
    </row>
    <row r="400">
      <c r="A400" s="10" t="s">
        <v>199</v>
      </c>
      <c r="B400" s="22">
        <v>95.0</v>
      </c>
      <c r="C400" s="22">
        <v>95.0</v>
      </c>
      <c r="D400" s="22">
        <v>95.0</v>
      </c>
      <c r="E400" s="22">
        <v>95.0</v>
      </c>
      <c r="F400" s="22">
        <v>95.0</v>
      </c>
      <c r="G400" s="22">
        <v>95.0</v>
      </c>
      <c r="H400" s="27"/>
    </row>
    <row r="401">
      <c r="A401" s="10" t="s">
        <v>201</v>
      </c>
      <c r="B401" s="29" t="s">
        <v>408</v>
      </c>
      <c r="C401" s="29" t="s">
        <v>2090</v>
      </c>
      <c r="D401" s="29" t="s">
        <v>2338</v>
      </c>
      <c r="E401" s="29" t="s">
        <v>1521</v>
      </c>
      <c r="F401" s="29" t="s">
        <v>1279</v>
      </c>
      <c r="G401" s="29" t="s">
        <v>890</v>
      </c>
      <c r="H401" s="27"/>
    </row>
    <row r="402">
      <c r="A402" s="10" t="s">
        <v>209</v>
      </c>
      <c r="B402" s="22" t="s">
        <v>2945</v>
      </c>
      <c r="C402" s="22" t="s">
        <v>219</v>
      </c>
      <c r="D402" s="22" t="s">
        <v>3274</v>
      </c>
      <c r="E402" s="22" t="s">
        <v>681</v>
      </c>
      <c r="F402" s="22" t="s">
        <v>3289</v>
      </c>
      <c r="G402" s="22" t="s">
        <v>2762</v>
      </c>
      <c r="H402" s="27"/>
    </row>
    <row r="403">
      <c r="A403" s="10" t="s">
        <v>215</v>
      </c>
      <c r="B403" s="29" t="s">
        <v>419</v>
      </c>
      <c r="C403" s="29" t="s">
        <v>220</v>
      </c>
      <c r="D403" s="29" t="s">
        <v>222</v>
      </c>
      <c r="E403" s="29" t="s">
        <v>231</v>
      </c>
      <c r="F403" s="29" t="s">
        <v>231</v>
      </c>
      <c r="G403" s="29" t="s">
        <v>231</v>
      </c>
      <c r="H403" s="27"/>
    </row>
    <row r="404">
      <c r="A404" s="15" t="s">
        <v>224</v>
      </c>
      <c r="B404" s="22" t="s">
        <v>3077</v>
      </c>
      <c r="C404" s="22" t="s">
        <v>241</v>
      </c>
      <c r="D404" s="22" t="s">
        <v>3248</v>
      </c>
      <c r="E404" s="22" t="s">
        <v>2711</v>
      </c>
      <c r="F404" s="22" t="s">
        <v>1549</v>
      </c>
      <c r="G404" s="22" t="s">
        <v>1125</v>
      </c>
      <c r="H404" s="27"/>
    </row>
    <row r="405">
      <c r="A405" s="30"/>
      <c r="B405" s="22" t="s">
        <v>246</v>
      </c>
      <c r="C405" s="22" t="s">
        <v>242</v>
      </c>
      <c r="D405" s="22" t="s">
        <v>469</v>
      </c>
      <c r="E405" s="22" t="s">
        <v>247</v>
      </c>
      <c r="F405" s="22" t="s">
        <v>2327</v>
      </c>
      <c r="G405" s="22" t="s">
        <v>946</v>
      </c>
      <c r="H405" s="27"/>
    </row>
    <row r="406">
      <c r="A406" s="30"/>
      <c r="B406" s="22" t="s">
        <v>253</v>
      </c>
      <c r="C406" s="22" t="s">
        <v>1029</v>
      </c>
      <c r="D406" s="22" t="s">
        <v>589</v>
      </c>
      <c r="E406" s="22" t="s">
        <v>2450</v>
      </c>
      <c r="F406" s="22" t="s">
        <v>356</v>
      </c>
      <c r="G406" s="22" t="s">
        <v>700</v>
      </c>
      <c r="H406" s="27"/>
    </row>
    <row r="407">
      <c r="A407" s="25"/>
      <c r="B407" s="22" t="s">
        <v>694</v>
      </c>
      <c r="C407" s="22" t="s">
        <v>366</v>
      </c>
      <c r="D407" s="22" t="s">
        <v>2556</v>
      </c>
      <c r="E407" s="22" t="s">
        <v>561</v>
      </c>
      <c r="F407" s="22" t="s">
        <v>1162</v>
      </c>
      <c r="G407" s="22" t="s">
        <v>2110</v>
      </c>
      <c r="H407" s="31"/>
      <c r="I407" s="32"/>
    </row>
    <row r="408">
      <c r="A408" s="10" t="s">
        <v>5</v>
      </c>
      <c r="B408" s="11" t="s">
        <v>3290</v>
      </c>
      <c r="C408" s="9"/>
      <c r="D408" s="9"/>
      <c r="E408" s="9"/>
      <c r="F408" s="9"/>
      <c r="G408" s="9"/>
      <c r="H408" s="9"/>
      <c r="I408" s="13"/>
    </row>
    <row r="409" ht="60.0" customHeight="1">
      <c r="A409" s="15" t="s">
        <v>16</v>
      </c>
      <c r="B409" s="22" t="str">
        <f t="array" ref="B409">iferror(VLOOKUP(INDIRECT(ADDRESS(ROW()+1,COLUMN(), 4)),Dex!$A$2:$C473,3,false),"")</f>
        <v/>
      </c>
      <c r="C409" s="22" t="str">
        <f t="array" ref="C409">iferror(VLOOKUP(INDIRECT(ADDRESS(ROW()+1,COLUMN(), 4)),Dex!$A$2:$C473,3,false),"")</f>
        <v/>
      </c>
      <c r="D409" s="22" t="str">
        <f t="array" ref="D409">iferror(VLOOKUP(INDIRECT(ADDRESS(ROW()+1,COLUMN(), 4)),Dex!$A$2:$C473,3,false),"")</f>
        <v/>
      </c>
      <c r="E409" s="22" t="str">
        <f t="array" ref="E409">iferror(VLOOKUP(INDIRECT(ADDRESS(ROW()+1,COLUMN(), 4)),Dex!$A$2:$C473,3,false),"")</f>
        <v/>
      </c>
      <c r="F409" s="22" t="str">
        <f t="array" ref="F409">iferror(VLOOKUP(INDIRECT(ADDRESS(ROW()+1,COLUMN(), 4)),Dex!$A$2:$C473,3,false),"")</f>
        <v/>
      </c>
      <c r="G409" s="22" t="str">
        <f t="array" ref="G409">iferror(VLOOKUP(INDIRECT(ADDRESS(ROW()+1,COLUMN(), 4)),Dex!$A$2:$C473,3,false),"")</f>
        <v/>
      </c>
      <c r="H409" s="23" t="str">
        <f t="array" ref="H409">iferror(VLOOKUP("TRAINER_PIC_Lady",Sprites!$A$1:$B473,2,false),"")</f>
        <v/>
      </c>
      <c r="I409" s="24"/>
    </row>
    <row r="410">
      <c r="A410" s="25"/>
      <c r="B410" s="26" t="s">
        <v>1085</v>
      </c>
      <c r="C410" s="26" t="s">
        <v>1965</v>
      </c>
      <c r="D410" s="26" t="s">
        <v>1167</v>
      </c>
      <c r="E410" s="26" t="s">
        <v>2136</v>
      </c>
      <c r="F410" s="26" t="s">
        <v>146</v>
      </c>
      <c r="G410" s="26" t="s">
        <v>433</v>
      </c>
      <c r="H410" s="28"/>
    </row>
    <row r="411">
      <c r="A411" s="10" t="s">
        <v>199</v>
      </c>
      <c r="B411" s="22">
        <v>95.0</v>
      </c>
      <c r="C411" s="22">
        <v>95.0</v>
      </c>
      <c r="D411" s="22">
        <v>95.0</v>
      </c>
      <c r="E411" s="22">
        <v>95.0</v>
      </c>
      <c r="F411" s="22">
        <v>97.0</v>
      </c>
      <c r="G411" s="22">
        <v>96.0</v>
      </c>
      <c r="H411" s="27"/>
    </row>
    <row r="412">
      <c r="A412" s="10" t="s">
        <v>201</v>
      </c>
      <c r="B412" s="29" t="s">
        <v>408</v>
      </c>
      <c r="C412" s="29" t="s">
        <v>206</v>
      </c>
      <c r="D412" s="29" t="s">
        <v>344</v>
      </c>
      <c r="E412" s="29" t="s">
        <v>3177</v>
      </c>
      <c r="F412" s="29" t="s">
        <v>3291</v>
      </c>
      <c r="G412" s="29" t="s">
        <v>2090</v>
      </c>
      <c r="H412" s="27"/>
    </row>
    <row r="413">
      <c r="A413" s="10" t="s">
        <v>209</v>
      </c>
      <c r="B413" s="22" t="s">
        <v>1527</v>
      </c>
      <c r="C413" s="22" t="s">
        <v>2593</v>
      </c>
      <c r="D413" s="22" t="s">
        <v>2017</v>
      </c>
      <c r="E413" s="22" t="s">
        <v>2508</v>
      </c>
      <c r="F413" s="22" t="s">
        <v>648</v>
      </c>
      <c r="G413" s="22" t="s">
        <v>2894</v>
      </c>
      <c r="H413" s="27"/>
    </row>
    <row r="414">
      <c r="A414" s="10" t="s">
        <v>215</v>
      </c>
      <c r="B414" s="29" t="s">
        <v>231</v>
      </c>
      <c r="C414" s="29" t="s">
        <v>231</v>
      </c>
      <c r="D414" s="29" t="s">
        <v>419</v>
      </c>
      <c r="E414" s="29" t="s">
        <v>220</v>
      </c>
      <c r="F414" s="29" t="s">
        <v>1346</v>
      </c>
      <c r="G414" s="29" t="s">
        <v>542</v>
      </c>
      <c r="H414" s="27"/>
    </row>
    <row r="415">
      <c r="A415" s="15" t="s">
        <v>224</v>
      </c>
      <c r="B415" s="22" t="s">
        <v>361</v>
      </c>
      <c r="C415" s="22" t="s">
        <v>1752</v>
      </c>
      <c r="D415" s="22" t="s">
        <v>577</v>
      </c>
      <c r="E415" s="22" t="s">
        <v>2556</v>
      </c>
      <c r="F415" s="22" t="s">
        <v>2575</v>
      </c>
      <c r="G415" s="22" t="s">
        <v>2868</v>
      </c>
      <c r="H415" s="27"/>
    </row>
    <row r="416">
      <c r="A416" s="30"/>
      <c r="B416" s="22" t="s">
        <v>356</v>
      </c>
      <c r="C416" s="22" t="s">
        <v>2823</v>
      </c>
      <c r="D416" s="22" t="s">
        <v>2578</v>
      </c>
      <c r="E416" s="22" t="s">
        <v>2220</v>
      </c>
      <c r="F416" s="22" t="s">
        <v>584</v>
      </c>
      <c r="G416" s="22" t="s">
        <v>1366</v>
      </c>
      <c r="H416" s="27"/>
    </row>
    <row r="417">
      <c r="A417" s="30"/>
      <c r="B417" s="22" t="s">
        <v>2640</v>
      </c>
      <c r="C417" s="22" t="s">
        <v>3097</v>
      </c>
      <c r="D417" s="22" t="s">
        <v>803</v>
      </c>
      <c r="E417" s="22" t="s">
        <v>3055</v>
      </c>
      <c r="F417" s="22" t="s">
        <v>253</v>
      </c>
      <c r="G417" s="22"/>
      <c r="H417" s="27"/>
    </row>
    <row r="418">
      <c r="A418" s="25"/>
      <c r="B418" s="22" t="s">
        <v>1542</v>
      </c>
      <c r="C418" s="22" t="s">
        <v>1048</v>
      </c>
      <c r="D418" s="22" t="s">
        <v>2584</v>
      </c>
      <c r="E418" s="22" t="s">
        <v>3293</v>
      </c>
      <c r="F418" s="22" t="s">
        <v>799</v>
      </c>
      <c r="G418" s="22"/>
      <c r="H418" s="31"/>
      <c r="I418" s="32"/>
    </row>
    <row r="419">
      <c r="A419" s="10" t="s">
        <v>5</v>
      </c>
      <c r="B419" s="11" t="s">
        <v>3294</v>
      </c>
      <c r="C419" s="9"/>
      <c r="D419" s="9"/>
      <c r="E419" s="9"/>
      <c r="F419" s="9"/>
      <c r="G419" s="9"/>
      <c r="H419" s="9"/>
      <c r="I419" s="14"/>
    </row>
    <row r="420" ht="60.0" customHeight="1">
      <c r="A420" s="15" t="s">
        <v>16</v>
      </c>
      <c r="B420" s="22" t="str">
        <f t="array" ref="B420">iferror(VLOOKUP(INDIRECT(ADDRESS(ROW()+1,COLUMN(), 4)),Dex!$A$2:$C473,3,false),"")</f>
        <v/>
      </c>
      <c r="C420" s="22" t="str">
        <f t="array" ref="C420">iferror(VLOOKUP(INDIRECT(ADDRESS(ROW()+1,COLUMN(), 4)),Dex!$A$2:$C473,3,false),"")</f>
        <v/>
      </c>
      <c r="D420" s="22" t="str">
        <f t="array" ref="D420">iferror(VLOOKUP(INDIRECT(ADDRESS(ROW()+1,COLUMN(), 4)),Dex!$A$2:$C473,3,false),"")</f>
        <v/>
      </c>
      <c r="E420" s="22" t="str">
        <f t="array" ref="E420">iferror(VLOOKUP(INDIRECT(ADDRESS(ROW()+1,COLUMN(), 4)),Dex!$A$2:$C473,3,false),"")</f>
        <v/>
      </c>
      <c r="F420" s="22" t="str">
        <f t="array" ref="F420">iferror(VLOOKUP(INDIRECT(ADDRESS(ROW()+1,COLUMN(), 4)),Dex!$A$2:$C473,3,false),"")</f>
        <v/>
      </c>
      <c r="G420" s="22" t="str">
        <f t="array" ref="G420">iferror(VLOOKUP(INDIRECT(ADDRESS(ROW()+1,COLUMN(), 4)),Dex!$A$2:$C473,3,false),"")</f>
        <v/>
      </c>
      <c r="H420" s="23" t="str">
        <f t="array" ref="H420">iferror(VLOOKUP("TRAINER_PIC_Lady",Sprites!$A$1:$B473,2,false),"")</f>
        <v/>
      </c>
      <c r="I420" s="24"/>
    </row>
    <row r="421">
      <c r="A421" s="25"/>
      <c r="B421" s="26" t="s">
        <v>392</v>
      </c>
      <c r="C421" s="26" t="s">
        <v>1779</v>
      </c>
      <c r="D421" s="26" t="s">
        <v>2030</v>
      </c>
      <c r="E421" s="26" t="s">
        <v>757</v>
      </c>
      <c r="F421" s="26" t="s">
        <v>1719</v>
      </c>
      <c r="G421" s="26" t="s">
        <v>1496</v>
      </c>
      <c r="H421" s="28"/>
    </row>
    <row r="422">
      <c r="A422" s="10" t="s">
        <v>199</v>
      </c>
      <c r="B422" s="22">
        <v>95.0</v>
      </c>
      <c r="C422" s="22">
        <v>95.0</v>
      </c>
      <c r="D422" s="22">
        <v>95.0</v>
      </c>
      <c r="E422" s="22">
        <v>95.0</v>
      </c>
      <c r="F422" s="22">
        <v>95.0</v>
      </c>
      <c r="G422" s="22">
        <v>95.0</v>
      </c>
      <c r="H422" s="27"/>
    </row>
    <row r="423">
      <c r="A423" s="10" t="s">
        <v>201</v>
      </c>
      <c r="B423" s="29" t="s">
        <v>408</v>
      </c>
      <c r="C423" s="29" t="s">
        <v>3295</v>
      </c>
      <c r="D423" s="29" t="s">
        <v>206</v>
      </c>
      <c r="E423" s="29" t="s">
        <v>2924</v>
      </c>
      <c r="F423" s="29" t="s">
        <v>2846</v>
      </c>
      <c r="G423" s="29" t="s">
        <v>645</v>
      </c>
      <c r="H423" s="27"/>
    </row>
    <row r="424">
      <c r="A424" s="10" t="s">
        <v>209</v>
      </c>
      <c r="B424" s="22" t="s">
        <v>1245</v>
      </c>
      <c r="C424" s="22" t="s">
        <v>648</v>
      </c>
      <c r="D424" s="22" t="s">
        <v>219</v>
      </c>
      <c r="E424" s="22" t="s">
        <v>219</v>
      </c>
      <c r="F424" s="22" t="s">
        <v>2553</v>
      </c>
      <c r="G424" s="22" t="s">
        <v>2481</v>
      </c>
      <c r="H424" s="27"/>
    </row>
    <row r="425">
      <c r="A425" s="10" t="s">
        <v>215</v>
      </c>
      <c r="B425" s="29" t="s">
        <v>419</v>
      </c>
      <c r="C425" s="29" t="s">
        <v>231</v>
      </c>
      <c r="D425" s="29" t="s">
        <v>220</v>
      </c>
      <c r="E425" s="29" t="s">
        <v>419</v>
      </c>
      <c r="F425" s="29" t="s">
        <v>231</v>
      </c>
      <c r="G425" s="29" t="s">
        <v>685</v>
      </c>
      <c r="H425" s="27"/>
    </row>
    <row r="426">
      <c r="A426" s="15" t="s">
        <v>224</v>
      </c>
      <c r="B426" s="22" t="s">
        <v>1363</v>
      </c>
      <c r="C426" s="22" t="s">
        <v>241</v>
      </c>
      <c r="D426" s="22" t="s">
        <v>2491</v>
      </c>
      <c r="E426" s="22" t="s">
        <v>1891</v>
      </c>
      <c r="F426" s="22" t="s">
        <v>587</v>
      </c>
      <c r="G426" s="22" t="s">
        <v>469</v>
      </c>
      <c r="H426" s="27"/>
    </row>
    <row r="427">
      <c r="A427" s="30"/>
      <c r="B427" s="22" t="s">
        <v>3034</v>
      </c>
      <c r="C427" s="22" t="s">
        <v>2679</v>
      </c>
      <c r="D427" s="22" t="s">
        <v>1127</v>
      </c>
      <c r="E427" s="22" t="s">
        <v>2332</v>
      </c>
      <c r="F427" s="22" t="s">
        <v>2217</v>
      </c>
      <c r="G427" s="22" t="s">
        <v>815</v>
      </c>
      <c r="H427" s="27"/>
    </row>
    <row r="428">
      <c r="A428" s="30"/>
      <c r="B428" s="22" t="s">
        <v>582</v>
      </c>
      <c r="C428" s="22" t="s">
        <v>1352</v>
      </c>
      <c r="D428" s="22" t="s">
        <v>2041</v>
      </c>
      <c r="E428" s="22" t="s">
        <v>588</v>
      </c>
      <c r="F428" s="22" t="s">
        <v>259</v>
      </c>
      <c r="G428" s="22" t="s">
        <v>1352</v>
      </c>
      <c r="H428" s="27"/>
    </row>
    <row r="429">
      <c r="A429" s="25"/>
      <c r="B429" s="22" t="s">
        <v>241</v>
      </c>
      <c r="C429" s="22" t="s">
        <v>700</v>
      </c>
      <c r="D429" s="22" t="s">
        <v>1227</v>
      </c>
      <c r="E429" s="22" t="s">
        <v>2419</v>
      </c>
      <c r="F429" s="22" t="s">
        <v>432</v>
      </c>
      <c r="G429" s="22" t="s">
        <v>2483</v>
      </c>
      <c r="H429" s="31"/>
      <c r="I429" s="32"/>
    </row>
    <row r="430">
      <c r="A430" s="10" t="s">
        <v>5</v>
      </c>
      <c r="B430" s="11" t="s">
        <v>3296</v>
      </c>
      <c r="C430" s="9"/>
      <c r="D430" s="9"/>
      <c r="E430" s="9"/>
      <c r="F430" s="9"/>
      <c r="G430" s="9"/>
      <c r="H430" s="9"/>
      <c r="I430" s="14"/>
    </row>
    <row r="431" ht="60.0" customHeight="1">
      <c r="A431" s="15" t="s">
        <v>16</v>
      </c>
      <c r="B431" s="22" t="str">
        <f t="array" ref="B431">iferror(VLOOKUP(INDIRECT(ADDRESS(ROW()+1,COLUMN(), 4)),Dex!$A$2:$C473,3,false),"")</f>
        <v/>
      </c>
      <c r="C431" s="22" t="str">
        <f t="array" ref="C431">iferror(VLOOKUP(INDIRECT(ADDRESS(ROW()+1,COLUMN(), 4)),Dex!$A$2:$C473,3,false),"")</f>
        <v/>
      </c>
      <c r="D431" s="22" t="str">
        <f t="array" ref="D431">iferror(VLOOKUP(INDIRECT(ADDRESS(ROW()+1,COLUMN(), 4)),Dex!$A$2:$C473,3,false),"")</f>
        <v/>
      </c>
      <c r="E431" s="22" t="str">
        <f t="array" ref="E431">iferror(VLOOKUP(INDIRECT(ADDRESS(ROW()+1,COLUMN(), 4)),Dex!$A$2:$C473,3,false),"")</f>
        <v/>
      </c>
      <c r="F431" s="22" t="str">
        <f t="array" ref="F431">iferror(VLOOKUP(INDIRECT(ADDRESS(ROW()+1,COLUMN(), 4)),Dex!$A$2:$C473,3,false),"")</f>
        <v/>
      </c>
      <c r="G431" s="22" t="str">
        <f t="array" ref="G431">iferror(VLOOKUP(INDIRECT(ADDRESS(ROW()+1,COLUMN(), 4)),Dex!$A$2:$C473,3,false),"")</f>
        <v/>
      </c>
      <c r="H431" s="23" t="str">
        <f t="array" ref="H431">iferror(VLOOKUP("TRAINER_PIC_Pokefan_F",Sprites!$A$1:$B473,2,false),"")</f>
        <v/>
      </c>
      <c r="I431" s="24"/>
    </row>
    <row r="432">
      <c r="A432" s="25"/>
      <c r="B432" s="26" t="s">
        <v>1806</v>
      </c>
      <c r="C432" s="26" t="s">
        <v>1142</v>
      </c>
      <c r="D432" s="26" t="s">
        <v>3129</v>
      </c>
      <c r="E432" s="26" t="s">
        <v>190</v>
      </c>
      <c r="F432" s="26" t="s">
        <v>2236</v>
      </c>
      <c r="G432" s="26" t="s">
        <v>2232</v>
      </c>
      <c r="H432" s="28"/>
    </row>
    <row r="433">
      <c r="A433" s="10" t="s">
        <v>199</v>
      </c>
      <c r="B433" s="22">
        <v>95.0</v>
      </c>
      <c r="C433" s="22">
        <v>95.0</v>
      </c>
      <c r="D433" s="22">
        <v>96.0</v>
      </c>
      <c r="E433" s="22">
        <v>95.0</v>
      </c>
      <c r="F433" s="22">
        <v>95.0</v>
      </c>
      <c r="G433" s="22">
        <v>96.0</v>
      </c>
      <c r="H433" s="27"/>
    </row>
    <row r="434">
      <c r="A434" s="10" t="s">
        <v>201</v>
      </c>
      <c r="B434" s="29" t="s">
        <v>1342</v>
      </c>
      <c r="C434" s="29" t="s">
        <v>206</v>
      </c>
      <c r="D434" s="29" t="s">
        <v>545</v>
      </c>
      <c r="E434" s="29" t="s">
        <v>2410</v>
      </c>
      <c r="F434" s="29" t="s">
        <v>344</v>
      </c>
      <c r="G434" s="29" t="s">
        <v>3299</v>
      </c>
      <c r="H434" s="27"/>
    </row>
    <row r="435">
      <c r="A435" s="10" t="s">
        <v>209</v>
      </c>
      <c r="B435" s="22" t="s">
        <v>1339</v>
      </c>
      <c r="C435" s="22" t="s">
        <v>2473</v>
      </c>
      <c r="D435" s="22" t="s">
        <v>3130</v>
      </c>
      <c r="E435" s="22" t="s">
        <v>214</v>
      </c>
      <c r="F435" s="22" t="s">
        <v>2959</v>
      </c>
      <c r="G435" s="22" t="s">
        <v>2508</v>
      </c>
      <c r="H435" s="27"/>
    </row>
    <row r="436">
      <c r="A436" s="10" t="s">
        <v>215</v>
      </c>
      <c r="B436" s="29" t="s">
        <v>419</v>
      </c>
      <c r="C436" s="29" t="s">
        <v>231</v>
      </c>
      <c r="D436" s="29" t="s">
        <v>419</v>
      </c>
      <c r="E436" s="29" t="s">
        <v>222</v>
      </c>
      <c r="F436" s="29" t="s">
        <v>419</v>
      </c>
      <c r="G436" s="29" t="s">
        <v>231</v>
      </c>
      <c r="H436" s="27"/>
    </row>
    <row r="437">
      <c r="A437" s="15" t="s">
        <v>224</v>
      </c>
      <c r="B437" s="22" t="s">
        <v>2581</v>
      </c>
      <c r="C437" s="22" t="s">
        <v>2599</v>
      </c>
      <c r="D437" s="22" t="s">
        <v>2332</v>
      </c>
      <c r="E437" s="22" t="s">
        <v>2831</v>
      </c>
      <c r="F437" s="22" t="s">
        <v>2394</v>
      </c>
      <c r="G437" s="22" t="s">
        <v>1460</v>
      </c>
      <c r="H437" s="27"/>
    </row>
    <row r="438">
      <c r="A438" s="30"/>
      <c r="B438" s="22" t="s">
        <v>1037</v>
      </c>
      <c r="C438" s="22" t="s">
        <v>477</v>
      </c>
      <c r="D438" s="22" t="s">
        <v>2936</v>
      </c>
      <c r="E438" s="22" t="s">
        <v>1551</v>
      </c>
      <c r="F438" s="22" t="s">
        <v>815</v>
      </c>
      <c r="G438" s="22" t="s">
        <v>3300</v>
      </c>
      <c r="H438" s="27"/>
    </row>
    <row r="439">
      <c r="A439" s="30"/>
      <c r="B439" s="22" t="s">
        <v>1040</v>
      </c>
      <c r="C439" s="22" t="s">
        <v>951</v>
      </c>
      <c r="D439" s="22" t="s">
        <v>805</v>
      </c>
      <c r="E439" s="22" t="s">
        <v>1436</v>
      </c>
      <c r="F439" s="22" t="s">
        <v>694</v>
      </c>
      <c r="G439" s="22" t="s">
        <v>2640</v>
      </c>
      <c r="H439" s="27"/>
    </row>
    <row r="440">
      <c r="A440" s="25"/>
      <c r="B440" s="22" t="s">
        <v>585</v>
      </c>
      <c r="C440" s="22" t="s">
        <v>2111</v>
      </c>
      <c r="D440" s="22" t="s">
        <v>581</v>
      </c>
      <c r="E440" s="22" t="s">
        <v>246</v>
      </c>
      <c r="F440" s="22" t="s">
        <v>582</v>
      </c>
      <c r="G440" s="22" t="s">
        <v>356</v>
      </c>
      <c r="H440" s="31"/>
      <c r="I440" s="32"/>
    </row>
    <row r="441">
      <c r="A441" s="10" t="s">
        <v>5</v>
      </c>
      <c r="B441" s="11" t="s">
        <v>3301</v>
      </c>
      <c r="C441" s="9"/>
      <c r="D441" s="9"/>
      <c r="E441" s="9"/>
      <c r="F441" s="9"/>
      <c r="G441" s="9"/>
      <c r="H441" s="9"/>
      <c r="I441" s="14"/>
    </row>
    <row r="442" ht="60.0" customHeight="1">
      <c r="A442" s="15" t="s">
        <v>16</v>
      </c>
      <c r="B442" s="22" t="str">
        <f t="array" ref="B442">iferror(VLOOKUP(INDIRECT(ADDRESS(ROW()+1,COLUMN(), 4)),Dex!$A$2:$C473,3,false),"")</f>
        <v/>
      </c>
      <c r="C442" s="22" t="str">
        <f t="array" ref="C442">iferror(VLOOKUP(INDIRECT(ADDRESS(ROW()+1,COLUMN(), 4)),Dex!$A$2:$C473,3,false),"")</f>
        <v/>
      </c>
      <c r="D442" s="22" t="str">
        <f t="array" ref="D442">iferror(VLOOKUP(INDIRECT(ADDRESS(ROW()+1,COLUMN(), 4)),Dex!$A$2:$C473,3,false),"")</f>
        <v/>
      </c>
      <c r="E442" s="22" t="str">
        <f t="array" ref="E442">iferror(VLOOKUP(INDIRECT(ADDRESS(ROW()+1,COLUMN(), 4)),Dex!$A$2:$C473,3,false),"")</f>
        <v/>
      </c>
      <c r="F442" s="22" t="str">
        <f t="array" ref="F442">iferror(VLOOKUP(INDIRECT(ADDRESS(ROW()+1,COLUMN(), 4)),Dex!$A$2:$C473,3,false),"")</f>
        <v/>
      </c>
      <c r="G442" s="22" t="str">
        <f t="array" ref="G442">iferror(VLOOKUP(INDIRECT(ADDRESS(ROW()+1,COLUMN(), 4)),Dex!$A$2:$C473,3,false),"")</f>
        <v/>
      </c>
      <c r="H442" s="23" t="str">
        <f t="array" ref="H442">iferror(VLOOKUP("TRAINER_PIC_Pokefan_M",Sprites!$A$1:$B473,2,false),"")</f>
        <v/>
      </c>
      <c r="I442" s="24"/>
    </row>
    <row r="443">
      <c r="A443" s="25"/>
      <c r="B443" s="26" t="s">
        <v>1413</v>
      </c>
      <c r="C443" s="26" t="s">
        <v>958</v>
      </c>
      <c r="D443" s="26" t="s">
        <v>1239</v>
      </c>
      <c r="E443" s="26" t="s">
        <v>2063</v>
      </c>
      <c r="F443" s="26" t="s">
        <v>530</v>
      </c>
      <c r="G443" s="26" t="s">
        <v>1594</v>
      </c>
      <c r="H443" s="28"/>
    </row>
    <row r="444">
      <c r="A444" s="10" t="s">
        <v>199</v>
      </c>
      <c r="B444" s="22">
        <v>96.0</v>
      </c>
      <c r="C444" s="22">
        <v>95.0</v>
      </c>
      <c r="D444" s="22">
        <v>95.0</v>
      </c>
      <c r="E444" s="22">
        <v>95.0</v>
      </c>
      <c r="F444" s="22">
        <v>95.0</v>
      </c>
      <c r="G444" s="22">
        <v>96.0</v>
      </c>
      <c r="H444" s="27"/>
    </row>
    <row r="445">
      <c r="A445" s="10" t="s">
        <v>201</v>
      </c>
      <c r="B445" s="29" t="s">
        <v>1635</v>
      </c>
      <c r="C445" s="29" t="s">
        <v>407</v>
      </c>
      <c r="D445" s="29" t="s">
        <v>1015</v>
      </c>
      <c r="E445" s="29" t="s">
        <v>206</v>
      </c>
      <c r="F445" s="29" t="s">
        <v>455</v>
      </c>
      <c r="G445" s="29" t="s">
        <v>3234</v>
      </c>
      <c r="H445" s="27"/>
    </row>
    <row r="446">
      <c r="A446" s="10" t="s">
        <v>209</v>
      </c>
      <c r="B446" s="22" t="s">
        <v>2377</v>
      </c>
      <c r="C446" s="22" t="s">
        <v>217</v>
      </c>
      <c r="D446" s="22" t="s">
        <v>901</v>
      </c>
      <c r="E446" s="22" t="s">
        <v>1284</v>
      </c>
      <c r="F446" s="22" t="s">
        <v>2404</v>
      </c>
      <c r="G446" s="22" t="s">
        <v>1840</v>
      </c>
      <c r="H446" s="27"/>
    </row>
    <row r="447">
      <c r="A447" s="10" t="s">
        <v>215</v>
      </c>
      <c r="B447" s="29" t="s">
        <v>419</v>
      </c>
      <c r="C447" s="29" t="s">
        <v>906</v>
      </c>
      <c r="D447" s="29" t="s">
        <v>542</v>
      </c>
      <c r="E447" s="29" t="s">
        <v>419</v>
      </c>
      <c r="F447" s="29" t="s">
        <v>220</v>
      </c>
      <c r="G447" s="29" t="s">
        <v>2600</v>
      </c>
      <c r="H447" s="27"/>
    </row>
    <row r="448">
      <c r="A448" s="15" t="s">
        <v>224</v>
      </c>
      <c r="B448" s="22" t="s">
        <v>2578</v>
      </c>
      <c r="C448" s="22" t="s">
        <v>361</v>
      </c>
      <c r="D448" s="22" t="s">
        <v>576</v>
      </c>
      <c r="E448" s="22" t="s">
        <v>2115</v>
      </c>
      <c r="F448" s="22" t="s">
        <v>227</v>
      </c>
      <c r="G448" s="22" t="s">
        <v>2853</v>
      </c>
      <c r="H448" s="27"/>
    </row>
    <row r="449">
      <c r="A449" s="30"/>
      <c r="B449" s="22" t="s">
        <v>1363</v>
      </c>
      <c r="C449" s="22" t="s">
        <v>1562</v>
      </c>
      <c r="D449" s="22" t="s">
        <v>570</v>
      </c>
      <c r="E449" s="22" t="s">
        <v>1891</v>
      </c>
      <c r="F449" s="22" t="s">
        <v>2110</v>
      </c>
      <c r="G449" s="22" t="s">
        <v>799</v>
      </c>
      <c r="H449" s="27"/>
    </row>
    <row r="450">
      <c r="A450" s="30"/>
      <c r="B450" s="22" t="s">
        <v>1348</v>
      </c>
      <c r="C450" s="22" t="s">
        <v>465</v>
      </c>
      <c r="D450" s="22" t="s">
        <v>356</v>
      </c>
      <c r="E450" s="22" t="s">
        <v>588</v>
      </c>
      <c r="F450" s="22" t="s">
        <v>799</v>
      </c>
      <c r="G450" s="22" t="s">
        <v>701</v>
      </c>
      <c r="H450" s="27"/>
    </row>
    <row r="451">
      <c r="A451" s="25"/>
      <c r="B451" s="22" t="s">
        <v>357</v>
      </c>
      <c r="C451" s="22" t="s">
        <v>362</v>
      </c>
      <c r="D451" s="22" t="s">
        <v>2220</v>
      </c>
      <c r="E451" s="22" t="s">
        <v>2782</v>
      </c>
      <c r="F451" s="22" t="s">
        <v>477</v>
      </c>
      <c r="G451" s="22" t="s">
        <v>2047</v>
      </c>
      <c r="H451" s="31"/>
      <c r="I451" s="32"/>
    </row>
    <row r="452">
      <c r="A452" s="10" t="s">
        <v>5</v>
      </c>
      <c r="B452" s="11" t="s">
        <v>3304</v>
      </c>
      <c r="C452" s="9"/>
      <c r="D452" s="9"/>
      <c r="E452" s="9"/>
      <c r="F452" s="9"/>
      <c r="G452" s="9"/>
      <c r="H452" s="9"/>
      <c r="I452" s="13"/>
    </row>
    <row r="453" ht="60.0" customHeight="1">
      <c r="A453" s="15" t="s">
        <v>16</v>
      </c>
      <c r="B453" s="22" t="str">
        <f t="array" ref="B453">iferror(VLOOKUP(INDIRECT(ADDRESS(ROW()+1,COLUMN(), 4)),Dex!$A$2:$C473,3,false),"")</f>
        <v/>
      </c>
      <c r="C453" s="22" t="str">
        <f t="array" ref="C453">iferror(VLOOKUP(INDIRECT(ADDRESS(ROW()+1,COLUMN(), 4)),Dex!$A$2:$C473,3,false),"")</f>
        <v/>
      </c>
      <c r="D453" s="22" t="str">
        <f t="array" ref="D453">iferror(VLOOKUP(INDIRECT(ADDRESS(ROW()+1,COLUMN(), 4)),Dex!$A$2:$C473,3,false),"")</f>
        <v/>
      </c>
      <c r="E453" s="22" t="str">
        <f t="array" ref="E453">iferror(VLOOKUP(INDIRECT(ADDRESS(ROW()+1,COLUMN(), 4)),Dex!$A$2:$C473,3,false),"")</f>
        <v/>
      </c>
      <c r="F453" s="22" t="str">
        <f t="array" ref="F453">iferror(VLOOKUP(INDIRECT(ADDRESS(ROW()+1,COLUMN(), 4)),Dex!$A$2:$C473,3,false),"")</f>
        <v/>
      </c>
      <c r="G453" s="22" t="str">
        <f t="array" ref="G453">iferror(VLOOKUP(INDIRECT(ADDRESS(ROW()+1,COLUMN(), 4)),Dex!$A$2:$C473,3,false),"")</f>
        <v/>
      </c>
      <c r="H453" s="23" t="str">
        <f t="array" ref="H453">iferror(VLOOKUP("TRAINER_PIC_Leader_Juan",Sprites!$A$1:$B473,2,false),"")</f>
        <v/>
      </c>
      <c r="I453" s="24"/>
    </row>
    <row r="454">
      <c r="A454" s="25"/>
      <c r="B454" s="26" t="s">
        <v>532</v>
      </c>
      <c r="C454" s="26" t="s">
        <v>3191</v>
      </c>
      <c r="D454" s="26" t="s">
        <v>1936</v>
      </c>
      <c r="E454" s="26" t="s">
        <v>515</v>
      </c>
      <c r="F454" s="26" t="s">
        <v>2645</v>
      </c>
      <c r="G454" s="26" t="s">
        <v>633</v>
      </c>
      <c r="H454" s="28"/>
    </row>
    <row r="455">
      <c r="A455" s="10" t="s">
        <v>199</v>
      </c>
      <c r="B455" s="22">
        <v>95.0</v>
      </c>
      <c r="C455" s="22">
        <v>96.0</v>
      </c>
      <c r="D455" s="22">
        <v>95.0</v>
      </c>
      <c r="E455" s="22">
        <v>95.0</v>
      </c>
      <c r="F455" s="22">
        <v>97.0</v>
      </c>
      <c r="G455" s="22">
        <v>96.0</v>
      </c>
      <c r="H455" s="27"/>
    </row>
    <row r="456">
      <c r="A456" s="10" t="s">
        <v>201</v>
      </c>
      <c r="B456" s="29" t="s">
        <v>1015</v>
      </c>
      <c r="C456" s="29" t="s">
        <v>1635</v>
      </c>
      <c r="D456" s="29" t="s">
        <v>408</v>
      </c>
      <c r="E456" s="29" t="s">
        <v>537</v>
      </c>
      <c r="F456" s="29" t="s">
        <v>2338</v>
      </c>
      <c r="G456" s="29" t="s">
        <v>3140</v>
      </c>
      <c r="H456" s="27"/>
    </row>
    <row r="457">
      <c r="A457" s="10" t="s">
        <v>209</v>
      </c>
      <c r="B457" s="22" t="s">
        <v>1283</v>
      </c>
      <c r="C457" s="22" t="s">
        <v>2361</v>
      </c>
      <c r="D457" s="22" t="s">
        <v>3201</v>
      </c>
      <c r="E457" s="22" t="s">
        <v>1284</v>
      </c>
      <c r="F457" s="22" t="s">
        <v>2361</v>
      </c>
      <c r="G457" s="22" t="s">
        <v>1339</v>
      </c>
      <c r="H457" s="27"/>
    </row>
    <row r="458">
      <c r="A458" s="10" t="s">
        <v>215</v>
      </c>
      <c r="B458" s="29" t="s">
        <v>1346</v>
      </c>
      <c r="C458" s="29" t="s">
        <v>222</v>
      </c>
      <c r="D458" s="29" t="s">
        <v>231</v>
      </c>
      <c r="E458" s="29" t="s">
        <v>222</v>
      </c>
      <c r="F458" s="29" t="s">
        <v>419</v>
      </c>
      <c r="G458" s="29" t="s">
        <v>419</v>
      </c>
      <c r="H458" s="27"/>
    </row>
    <row r="459">
      <c r="A459" s="15" t="s">
        <v>224</v>
      </c>
      <c r="B459" s="22" t="s">
        <v>578</v>
      </c>
      <c r="C459" s="22" t="s">
        <v>814</v>
      </c>
      <c r="D459" s="22" t="s">
        <v>2678</v>
      </c>
      <c r="E459" s="22" t="s">
        <v>1891</v>
      </c>
      <c r="F459" s="22" t="s">
        <v>3307</v>
      </c>
      <c r="G459" s="22" t="s">
        <v>2578</v>
      </c>
      <c r="H459" s="27"/>
    </row>
    <row r="460">
      <c r="A460" s="30"/>
      <c r="B460" s="22" t="s">
        <v>570</v>
      </c>
      <c r="C460" s="22" t="s">
        <v>580</v>
      </c>
      <c r="D460" s="22" t="s">
        <v>1352</v>
      </c>
      <c r="E460" s="22" t="s">
        <v>935</v>
      </c>
      <c r="F460" s="22" t="s">
        <v>920</v>
      </c>
      <c r="G460" s="22" t="s">
        <v>2114</v>
      </c>
      <c r="H460" s="27"/>
    </row>
    <row r="461">
      <c r="A461" s="30"/>
      <c r="B461" s="22" t="s">
        <v>576</v>
      </c>
      <c r="C461" s="22" t="s">
        <v>1348</v>
      </c>
      <c r="D461" s="22" t="s">
        <v>702</v>
      </c>
      <c r="E461" s="22" t="s">
        <v>1363</v>
      </c>
      <c r="F461" s="22" t="s">
        <v>582</v>
      </c>
      <c r="G461" s="22" t="s">
        <v>1666</v>
      </c>
      <c r="H461" s="27"/>
    </row>
    <row r="462">
      <c r="A462" s="25"/>
      <c r="B462" s="22" t="s">
        <v>1366</v>
      </c>
      <c r="C462" s="22" t="s">
        <v>465</v>
      </c>
      <c r="D462" s="22" t="s">
        <v>549</v>
      </c>
      <c r="E462" s="22" t="s">
        <v>3308</v>
      </c>
      <c r="F462" s="22" t="s">
        <v>1048</v>
      </c>
      <c r="G462" s="22" t="s">
        <v>2682</v>
      </c>
      <c r="H462" s="31"/>
      <c r="I462" s="32"/>
    </row>
    <row r="463">
      <c r="A463" s="10" t="s">
        <v>5</v>
      </c>
      <c r="B463" s="11" t="s">
        <v>3309</v>
      </c>
      <c r="C463" s="9"/>
      <c r="D463" s="9"/>
      <c r="E463" s="9"/>
      <c r="F463" s="9"/>
      <c r="G463" s="9"/>
      <c r="H463" s="9"/>
      <c r="I463" s="14"/>
    </row>
    <row r="464" ht="60.0" customHeight="1">
      <c r="A464" s="10" t="s">
        <v>16</v>
      </c>
      <c r="B464" s="22" t="str">
        <f t="array" ref="B464">iferror(VLOOKUP(INDIRECT(ADDRESS(ROW()+1,COLUMN(), 4)),Dex!$A$2:$C473,3,false),"")</f>
        <v/>
      </c>
      <c r="C464" s="22" t="str">
        <f t="array" ref="C464">iferror(VLOOKUP(INDIRECT(ADDRESS(ROW()+1,COLUMN(), 4)),Dex!$A$2:$C473,3,false),"")</f>
        <v/>
      </c>
      <c r="D464" s="22" t="str">
        <f t="array" ref="D464">iferror(VLOOKUP(INDIRECT(ADDRESS(ROW()+1,COLUMN(), 4)),Dex!$A$2:$C473,3,false),"")</f>
        <v/>
      </c>
      <c r="E464" s="22" t="str">
        <f t="array" ref="E464">iferror(VLOOKUP(INDIRECT(ADDRESS(ROW()+1,COLUMN(), 4)),Dex!$A$2:$C473,3,false),"")</f>
        <v/>
      </c>
      <c r="F464" s="22" t="str">
        <f t="array" ref="F464">iferror(VLOOKUP(INDIRECT(ADDRESS(ROW()+1,COLUMN(), 4)),Dex!$A$2:$C473,3,false),"")</f>
        <v/>
      </c>
      <c r="G464" s="22" t="str">
        <f t="array" ref="G464">iferror(VLOOKUP(INDIRECT(ADDRESS(ROW()+1,COLUMN(), 4)),Dex!$A$2:$C473,3,false),"")</f>
        <v/>
      </c>
      <c r="H464" s="23" t="str">
        <f t="array" ref="H464">iferror(VLOOKUP("TRAINER_PIC_Steven",Sprites!$A$1:$B473,2,false),"")</f>
        <v/>
      </c>
      <c r="I464" s="24"/>
    </row>
    <row r="465">
      <c r="A465" s="47"/>
      <c r="B465" s="26" t="s">
        <v>1105</v>
      </c>
      <c r="C465" s="26" t="s">
        <v>1280</v>
      </c>
      <c r="D465" s="26" t="s">
        <v>1918</v>
      </c>
      <c r="E465" s="26" t="s">
        <v>384</v>
      </c>
      <c r="F465" s="26" t="s">
        <v>1421</v>
      </c>
      <c r="G465" s="26" t="s">
        <v>873</v>
      </c>
      <c r="H465" s="28"/>
    </row>
    <row r="466">
      <c r="A466" s="10" t="s">
        <v>199</v>
      </c>
      <c r="B466" s="22">
        <v>97.0</v>
      </c>
      <c r="C466" s="22">
        <v>96.0</v>
      </c>
      <c r="D466" s="22">
        <v>96.0</v>
      </c>
      <c r="E466" s="22">
        <v>96.0</v>
      </c>
      <c r="F466" s="22">
        <v>96.0</v>
      </c>
      <c r="G466" s="22">
        <v>100.0</v>
      </c>
      <c r="H466" s="27"/>
    </row>
    <row r="467">
      <c r="A467" s="10" t="s">
        <v>201</v>
      </c>
      <c r="B467" s="29" t="s">
        <v>3311</v>
      </c>
      <c r="C467" s="29" t="s">
        <v>1928</v>
      </c>
      <c r="D467" s="29" t="s">
        <v>3039</v>
      </c>
      <c r="E467" s="29" t="s">
        <v>1635</v>
      </c>
      <c r="F467" s="29" t="s">
        <v>408</v>
      </c>
      <c r="G467" s="29" t="s">
        <v>3040</v>
      </c>
      <c r="H467" s="27"/>
    </row>
    <row r="468">
      <c r="A468" s="10" t="s">
        <v>209</v>
      </c>
      <c r="B468" s="22" t="s">
        <v>2377</v>
      </c>
      <c r="C468" s="22" t="s">
        <v>2507</v>
      </c>
      <c r="D468" s="22" t="s">
        <v>3041</v>
      </c>
      <c r="E468" s="22" t="s">
        <v>459</v>
      </c>
      <c r="F468" s="22" t="s">
        <v>2613</v>
      </c>
      <c r="G468" s="22" t="s">
        <v>2342</v>
      </c>
      <c r="H468" s="27"/>
    </row>
    <row r="469">
      <c r="A469" s="10" t="s">
        <v>215</v>
      </c>
      <c r="B469" s="29" t="s">
        <v>419</v>
      </c>
      <c r="C469" s="29" t="s">
        <v>419</v>
      </c>
      <c r="D469" s="29" t="s">
        <v>231</v>
      </c>
      <c r="E469" s="29" t="s">
        <v>419</v>
      </c>
      <c r="F469" s="29" t="s">
        <v>220</v>
      </c>
      <c r="G469" s="29" t="s">
        <v>231</v>
      </c>
      <c r="H469" s="27"/>
    </row>
    <row r="470">
      <c r="A470" s="15" t="s">
        <v>224</v>
      </c>
      <c r="B470" s="22" t="s">
        <v>3313</v>
      </c>
      <c r="C470" s="22" t="s">
        <v>1937</v>
      </c>
      <c r="D470" s="22" t="s">
        <v>549</v>
      </c>
      <c r="E470" s="22" t="s">
        <v>814</v>
      </c>
      <c r="F470" s="22" t="s">
        <v>652</v>
      </c>
      <c r="G470" s="22" t="s">
        <v>2566</v>
      </c>
      <c r="H470" s="27"/>
    </row>
    <row r="471">
      <c r="A471" s="30"/>
      <c r="B471" s="22" t="s">
        <v>469</v>
      </c>
      <c r="C471" s="22" t="s">
        <v>2115</v>
      </c>
      <c r="D471" s="22" t="s">
        <v>3042</v>
      </c>
      <c r="E471" s="22" t="s">
        <v>2793</v>
      </c>
      <c r="F471" s="22" t="s">
        <v>1163</v>
      </c>
      <c r="G471" s="22" t="s">
        <v>2217</v>
      </c>
      <c r="H471" s="27"/>
    </row>
    <row r="472">
      <c r="A472" s="30"/>
      <c r="B472" s="22" t="s">
        <v>2555</v>
      </c>
      <c r="C472" s="22" t="s">
        <v>2320</v>
      </c>
      <c r="D472" s="22" t="s">
        <v>799</v>
      </c>
      <c r="E472" s="22" t="s">
        <v>1363</v>
      </c>
      <c r="F472" s="22" t="s">
        <v>477</v>
      </c>
      <c r="G472" s="22" t="s">
        <v>253</v>
      </c>
      <c r="H472" s="27"/>
    </row>
    <row r="473">
      <c r="A473" s="25"/>
      <c r="B473" s="22" t="s">
        <v>361</v>
      </c>
      <c r="C473" s="22" t="s">
        <v>236</v>
      </c>
      <c r="D473" s="22" t="s">
        <v>1352</v>
      </c>
      <c r="E473" s="22" t="s">
        <v>1891</v>
      </c>
      <c r="F473" s="22" t="s">
        <v>2556</v>
      </c>
      <c r="G473" s="22" t="s">
        <v>1029</v>
      </c>
      <c r="H473" s="31"/>
      <c r="I473" s="32"/>
    </row>
  </sheetData>
  <mergeCells count="178">
    <mergeCell ref="A43:A46"/>
    <mergeCell ref="A48:A49"/>
    <mergeCell ref="A54:A57"/>
    <mergeCell ref="A59:A60"/>
    <mergeCell ref="A65:A68"/>
    <mergeCell ref="A70:A71"/>
    <mergeCell ref="A76:A79"/>
    <mergeCell ref="A110:A113"/>
    <mergeCell ref="A115:A116"/>
    <mergeCell ref="A126:A127"/>
    <mergeCell ref="A138:A139"/>
    <mergeCell ref="A149:A150"/>
    <mergeCell ref="A160:A161"/>
    <mergeCell ref="A171:A172"/>
    <mergeCell ref="A182:A183"/>
    <mergeCell ref="A193:A194"/>
    <mergeCell ref="A204:A205"/>
    <mergeCell ref="A215:A216"/>
    <mergeCell ref="A227:A228"/>
    <mergeCell ref="A238:A239"/>
    <mergeCell ref="A249:A250"/>
    <mergeCell ref="A261:A262"/>
    <mergeCell ref="A272:A273"/>
    <mergeCell ref="A283:A284"/>
    <mergeCell ref="A295:A296"/>
    <mergeCell ref="A306:A307"/>
    <mergeCell ref="A317:A318"/>
    <mergeCell ref="A329:A330"/>
    <mergeCell ref="A420:A421"/>
    <mergeCell ref="A431:A432"/>
    <mergeCell ref="A442:A443"/>
    <mergeCell ref="A453:A454"/>
    <mergeCell ref="A340:A341"/>
    <mergeCell ref="A352:A353"/>
    <mergeCell ref="A364:A365"/>
    <mergeCell ref="A375:A376"/>
    <mergeCell ref="A387:A388"/>
    <mergeCell ref="A398:A399"/>
    <mergeCell ref="A409:A410"/>
    <mergeCell ref="B1:H1"/>
    <mergeCell ref="A2:I2"/>
    <mergeCell ref="B3:H3"/>
    <mergeCell ref="A4:A5"/>
    <mergeCell ref="A10:A13"/>
    <mergeCell ref="B14:H14"/>
    <mergeCell ref="A15:A16"/>
    <mergeCell ref="B58:H58"/>
    <mergeCell ref="B69:H69"/>
    <mergeCell ref="B80:H80"/>
    <mergeCell ref="A21:A24"/>
    <mergeCell ref="B25:H25"/>
    <mergeCell ref="A26:A27"/>
    <mergeCell ref="A32:A35"/>
    <mergeCell ref="B36:H36"/>
    <mergeCell ref="A37:A38"/>
    <mergeCell ref="B47:H47"/>
    <mergeCell ref="A81:A82"/>
    <mergeCell ref="A87:A90"/>
    <mergeCell ref="A91:I91"/>
    <mergeCell ref="B92:H92"/>
    <mergeCell ref="H81:I90"/>
    <mergeCell ref="H93:I102"/>
    <mergeCell ref="H104:I113"/>
    <mergeCell ref="H115:I124"/>
    <mergeCell ref="H126:I135"/>
    <mergeCell ref="H138:I147"/>
    <mergeCell ref="H149:I158"/>
    <mergeCell ref="H160:I169"/>
    <mergeCell ref="H4:I13"/>
    <mergeCell ref="H15:I24"/>
    <mergeCell ref="H26:I35"/>
    <mergeCell ref="H37:I46"/>
    <mergeCell ref="H48:I57"/>
    <mergeCell ref="H59:I68"/>
    <mergeCell ref="H70:I79"/>
    <mergeCell ref="A93:A94"/>
    <mergeCell ref="A99:A102"/>
    <mergeCell ref="B103:H103"/>
    <mergeCell ref="A104:A105"/>
    <mergeCell ref="B114:H114"/>
    <mergeCell ref="A121:A124"/>
    <mergeCell ref="B125:H125"/>
    <mergeCell ref="A267:A270"/>
    <mergeCell ref="B271:H271"/>
    <mergeCell ref="A278:A281"/>
    <mergeCell ref="B282:H282"/>
    <mergeCell ref="A289:A292"/>
    <mergeCell ref="A293:I293"/>
    <mergeCell ref="B294:H294"/>
    <mergeCell ref="A301:A304"/>
    <mergeCell ref="B305:H305"/>
    <mergeCell ref="A312:A315"/>
    <mergeCell ref="B316:H316"/>
    <mergeCell ref="A323:A326"/>
    <mergeCell ref="A327:I327"/>
    <mergeCell ref="B328:H328"/>
    <mergeCell ref="H340:I349"/>
    <mergeCell ref="H352:I361"/>
    <mergeCell ref="H364:I373"/>
    <mergeCell ref="A335:A338"/>
    <mergeCell ref="B339:H339"/>
    <mergeCell ref="A346:A349"/>
    <mergeCell ref="A350:I350"/>
    <mergeCell ref="B351:H351"/>
    <mergeCell ref="A362:I362"/>
    <mergeCell ref="B363:H363"/>
    <mergeCell ref="H375:I384"/>
    <mergeCell ref="H387:I396"/>
    <mergeCell ref="H398:I407"/>
    <mergeCell ref="A358:A361"/>
    <mergeCell ref="A370:A373"/>
    <mergeCell ref="B374:H374"/>
    <mergeCell ref="A381:A384"/>
    <mergeCell ref="A385:I385"/>
    <mergeCell ref="B386:H386"/>
    <mergeCell ref="B397:H397"/>
    <mergeCell ref="A393:A396"/>
    <mergeCell ref="A404:A407"/>
    <mergeCell ref="B408:H408"/>
    <mergeCell ref="H409:I418"/>
    <mergeCell ref="A415:A418"/>
    <mergeCell ref="B419:H419"/>
    <mergeCell ref="H420:I429"/>
    <mergeCell ref="A426:A429"/>
    <mergeCell ref="B430:H430"/>
    <mergeCell ref="H431:I440"/>
    <mergeCell ref="A437:A440"/>
    <mergeCell ref="B441:H441"/>
    <mergeCell ref="A448:A451"/>
    <mergeCell ref="B452:H452"/>
    <mergeCell ref="A132:A135"/>
    <mergeCell ref="A136:I136"/>
    <mergeCell ref="B137:H137"/>
    <mergeCell ref="A144:A147"/>
    <mergeCell ref="B148:H148"/>
    <mergeCell ref="A155:A158"/>
    <mergeCell ref="B159:H159"/>
    <mergeCell ref="A166:A169"/>
    <mergeCell ref="B170:H170"/>
    <mergeCell ref="H171:I180"/>
    <mergeCell ref="A177:A180"/>
    <mergeCell ref="B181:H181"/>
    <mergeCell ref="A188:A191"/>
    <mergeCell ref="B192:H192"/>
    <mergeCell ref="A199:A202"/>
    <mergeCell ref="B203:H203"/>
    <mergeCell ref="A210:A213"/>
    <mergeCell ref="B214:H214"/>
    <mergeCell ref="A221:A224"/>
    <mergeCell ref="A225:I225"/>
    <mergeCell ref="B226:H226"/>
    <mergeCell ref="A233:A236"/>
    <mergeCell ref="B237:H237"/>
    <mergeCell ref="A244:A247"/>
    <mergeCell ref="B248:H248"/>
    <mergeCell ref="A255:A258"/>
    <mergeCell ref="A259:I259"/>
    <mergeCell ref="B260:H260"/>
    <mergeCell ref="H182:I191"/>
    <mergeCell ref="H193:I202"/>
    <mergeCell ref="H204:I213"/>
    <mergeCell ref="H215:I224"/>
    <mergeCell ref="H227:I236"/>
    <mergeCell ref="H238:I247"/>
    <mergeCell ref="H249:I258"/>
    <mergeCell ref="H261:I270"/>
    <mergeCell ref="H272:I281"/>
    <mergeCell ref="H283:I292"/>
    <mergeCell ref="H295:I304"/>
    <mergeCell ref="H306:I315"/>
    <mergeCell ref="H317:I326"/>
    <mergeCell ref="H329:I338"/>
    <mergeCell ref="H442:I451"/>
    <mergeCell ref="H453:I462"/>
    <mergeCell ref="A459:A462"/>
    <mergeCell ref="B463:H463"/>
    <mergeCell ref="H464:I473"/>
    <mergeCell ref="A470:A47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6"/>
      <c r="B1" s="49"/>
      <c r="C1" s="32"/>
      <c r="D1" s="32"/>
      <c r="E1" s="32"/>
      <c r="F1" s="32"/>
      <c r="G1" s="32"/>
      <c r="H1" s="25"/>
      <c r="I1" s="5"/>
    </row>
    <row r="2">
      <c r="A2" s="8" t="s">
        <v>3108</v>
      </c>
      <c r="B2" s="9"/>
      <c r="C2" s="9"/>
      <c r="D2" s="9"/>
      <c r="E2" s="9"/>
      <c r="F2" s="9"/>
      <c r="G2" s="9"/>
      <c r="H2" s="9"/>
      <c r="I2" s="34"/>
    </row>
    <row r="3">
      <c r="A3" s="10" t="s">
        <v>5</v>
      </c>
      <c r="B3" s="11" t="s">
        <v>3109</v>
      </c>
      <c r="C3" s="9"/>
      <c r="D3" s="9"/>
      <c r="E3" s="9"/>
      <c r="F3" s="9"/>
      <c r="G3" s="9"/>
      <c r="H3" s="9"/>
      <c r="I3" s="13"/>
    </row>
    <row r="4" ht="60.0" customHeight="1">
      <c r="A4" s="15" t="s">
        <v>16</v>
      </c>
      <c r="B4" s="22" t="str">
        <f t="array" ref="B4">iferror(VLOOKUP(INDIRECT(ADDRESS(ROW()+1,COLUMN(), 4)),Dex!$A$2:$C335,3,false),"")</f>
        <v/>
      </c>
      <c r="C4" s="22" t="str">
        <f t="array" ref="C4">iferror(VLOOKUP(INDIRECT(ADDRESS(ROW()+1,COLUMN(), 4)),Dex!$A$2:$C335,3,false),"")</f>
        <v/>
      </c>
      <c r="D4" s="22" t="str">
        <f t="array" ref="D4">iferror(VLOOKUP(INDIRECT(ADDRESS(ROW()+1,COLUMN(), 4)),Dex!$A$2:$C335,3,false),"")</f>
        <v/>
      </c>
      <c r="E4" s="22" t="str">
        <f t="array" ref="E4">iferror(VLOOKUP(INDIRECT(ADDRESS(ROW()+1,COLUMN(), 4)),Dex!$A$2:$C335,3,false),"")</f>
        <v/>
      </c>
      <c r="F4" s="22" t="str">
        <f t="array" ref="F4">iferror(VLOOKUP(INDIRECT(ADDRESS(ROW()+1,COLUMN(), 4)),Dex!$A$2:$C335,3,false),"")</f>
        <v/>
      </c>
      <c r="G4" s="22" t="str">
        <f t="array" ref="G4">iferror(VLOOKUP(INDIRECT(ADDRESS(ROW()+1,COLUMN(), 4)),Dex!$A$2:$C335,3,false),"")</f>
        <v/>
      </c>
      <c r="H4" s="23" t="str">
        <f t="array" ref="H4">iferror(VLOOKUP("TRAINER_PIC_Zinnia",Sprites!$A$1:$B335,2,false),"")</f>
        <v/>
      </c>
      <c r="I4" s="24"/>
    </row>
    <row r="5">
      <c r="A5" s="25"/>
      <c r="B5" s="26" t="s">
        <v>1721</v>
      </c>
      <c r="C5" s="26" t="s">
        <v>737</v>
      </c>
      <c r="D5" s="26" t="s">
        <v>423</v>
      </c>
      <c r="E5" s="26" t="s">
        <v>2284</v>
      </c>
      <c r="F5" s="26" t="s">
        <v>869</v>
      </c>
      <c r="G5" s="26" t="s">
        <v>902</v>
      </c>
      <c r="H5" s="27"/>
    </row>
    <row r="6">
      <c r="A6" s="10" t="s">
        <v>199</v>
      </c>
      <c r="B6" s="22">
        <v>96.0</v>
      </c>
      <c r="C6" s="22">
        <v>98.0</v>
      </c>
      <c r="D6" s="22">
        <v>97.0</v>
      </c>
      <c r="E6" s="22">
        <v>97.0</v>
      </c>
      <c r="F6" s="22">
        <v>98.0</v>
      </c>
      <c r="G6" s="22">
        <v>95.0</v>
      </c>
      <c r="H6" s="27"/>
    </row>
    <row r="7">
      <c r="A7" s="10" t="s">
        <v>201</v>
      </c>
      <c r="B7" s="29" t="s">
        <v>777</v>
      </c>
      <c r="C7" s="29" t="s">
        <v>206</v>
      </c>
      <c r="D7" s="29" t="s">
        <v>203</v>
      </c>
      <c r="E7" s="29" t="s">
        <v>1521</v>
      </c>
      <c r="F7" s="29" t="s">
        <v>2980</v>
      </c>
      <c r="G7" s="29" t="s">
        <v>1213</v>
      </c>
      <c r="H7" s="27"/>
    </row>
    <row r="8">
      <c r="A8" s="10" t="s">
        <v>209</v>
      </c>
      <c r="B8" s="22" t="s">
        <v>2901</v>
      </c>
      <c r="C8" s="22" t="s">
        <v>2638</v>
      </c>
      <c r="D8" s="22" t="s">
        <v>219</v>
      </c>
      <c r="E8" s="22" t="s">
        <v>2873</v>
      </c>
      <c r="F8" s="22" t="s">
        <v>2635</v>
      </c>
      <c r="G8" s="22" t="s">
        <v>3117</v>
      </c>
      <c r="H8" s="27"/>
    </row>
    <row r="9">
      <c r="A9" s="10" t="s">
        <v>215</v>
      </c>
      <c r="B9" s="29" t="s">
        <v>222</v>
      </c>
      <c r="C9" s="29" t="s">
        <v>222</v>
      </c>
      <c r="D9" s="29" t="s">
        <v>231</v>
      </c>
      <c r="E9" s="29" t="s">
        <v>222</v>
      </c>
      <c r="F9" s="29" t="s">
        <v>220</v>
      </c>
      <c r="G9" s="29" t="s">
        <v>1346</v>
      </c>
      <c r="H9" s="27"/>
    </row>
    <row r="10">
      <c r="A10" s="15" t="s">
        <v>224</v>
      </c>
      <c r="B10" s="22" t="s">
        <v>938</v>
      </c>
      <c r="C10" s="22" t="s">
        <v>2831</v>
      </c>
      <c r="D10" s="22" t="s">
        <v>1460</v>
      </c>
      <c r="E10" s="22" t="s">
        <v>2578</v>
      </c>
      <c r="F10" s="22" t="s">
        <v>1127</v>
      </c>
      <c r="G10" s="22" t="s">
        <v>2624</v>
      </c>
      <c r="H10" s="27"/>
    </row>
    <row r="11">
      <c r="A11" s="30"/>
      <c r="B11" s="22" t="s">
        <v>2831</v>
      </c>
      <c r="C11" s="22" t="s">
        <v>582</v>
      </c>
      <c r="D11" s="22" t="s">
        <v>2819</v>
      </c>
      <c r="E11" s="22" t="s">
        <v>469</v>
      </c>
      <c r="F11" s="22" t="s">
        <v>356</v>
      </c>
      <c r="G11" s="22" t="s">
        <v>2975</v>
      </c>
      <c r="H11" s="27"/>
    </row>
    <row r="12">
      <c r="A12" s="30"/>
      <c r="B12" s="22" t="s">
        <v>814</v>
      </c>
      <c r="C12" s="22" t="s">
        <v>1562</v>
      </c>
      <c r="D12" s="22" t="s">
        <v>356</v>
      </c>
      <c r="E12" s="22" t="s">
        <v>565</v>
      </c>
      <c r="F12" s="22" t="s">
        <v>938</v>
      </c>
      <c r="G12" s="22" t="s">
        <v>233</v>
      </c>
      <c r="H12" s="27"/>
    </row>
    <row r="13">
      <c r="A13" s="25"/>
      <c r="B13" s="22" t="s">
        <v>1363</v>
      </c>
      <c r="C13" s="22" t="s">
        <v>1799</v>
      </c>
      <c r="D13" s="22" t="s">
        <v>1848</v>
      </c>
      <c r="E13" s="22" t="s">
        <v>1231</v>
      </c>
      <c r="F13" s="22" t="s">
        <v>1354</v>
      </c>
      <c r="G13" s="22" t="s">
        <v>2578</v>
      </c>
      <c r="H13" s="31"/>
      <c r="I13" s="32"/>
    </row>
    <row r="14">
      <c r="A14" s="8" t="s">
        <v>3118</v>
      </c>
      <c r="B14" s="9"/>
      <c r="C14" s="9"/>
      <c r="D14" s="9"/>
      <c r="E14" s="9"/>
      <c r="F14" s="9"/>
      <c r="G14" s="9"/>
      <c r="H14" s="9"/>
      <c r="I14" s="34"/>
    </row>
    <row r="15">
      <c r="A15" s="10" t="s">
        <v>5</v>
      </c>
      <c r="B15" s="11" t="s">
        <v>3119</v>
      </c>
      <c r="C15" s="9"/>
      <c r="D15" s="9"/>
      <c r="E15" s="9"/>
      <c r="F15" s="9"/>
      <c r="G15" s="9"/>
      <c r="H15" s="9"/>
      <c r="I15" s="13"/>
    </row>
    <row r="16" ht="60.0" customHeight="1">
      <c r="A16" s="15" t="s">
        <v>16</v>
      </c>
      <c r="B16" s="22" t="str">
        <f t="array" ref="B16">iferror(VLOOKUP(INDIRECT(ADDRESS(ROW()+1,COLUMN(), 4)),Dex!$A$2:$C335,3,false),"")</f>
        <v/>
      </c>
      <c r="C16" s="22" t="str">
        <f t="array" ref="C16">iferror(VLOOKUP(INDIRECT(ADDRESS(ROW()+1,COLUMN(), 4)),Dex!$A$2:$C335,3,false),"")</f>
        <v/>
      </c>
      <c r="D16" s="22" t="str">
        <f t="array" ref="D16">iferror(VLOOKUP(INDIRECT(ADDRESS(ROW()+1,COLUMN(), 4)),Dex!$A$2:$C335,3,false),"")</f>
        <v/>
      </c>
      <c r="E16" s="22" t="str">
        <f t="array" ref="E16">iferror(VLOOKUP(INDIRECT(ADDRESS(ROW()+1,COLUMN(), 4)),Dex!$A$2:$C335,3,false),"")</f>
        <v/>
      </c>
      <c r="F16" s="22" t="str">
        <f t="array" ref="F16">iferror(VLOOKUP(INDIRECT(ADDRESS(ROW()+1,COLUMN(), 4)),Dex!$A$2:$C335,3,false),"")</f>
        <v/>
      </c>
      <c r="G16" s="22" t="str">
        <f t="array" ref="G16">iferror(VLOOKUP(INDIRECT(ADDRESS(ROW()+1,COLUMN(), 4)),Dex!$A$2:$C335,3,false),"")</f>
        <v/>
      </c>
      <c r="H16" s="23" t="str">
        <f t="array" ref="H16">iferror(VLOOKUP("TRAINER_PIC_Rocket_Grunt_M",Sprites!$A$1:$B335,2,false),"")</f>
        <v/>
      </c>
      <c r="I16" s="24"/>
    </row>
    <row r="17">
      <c r="A17" s="25"/>
      <c r="B17" s="26" t="s">
        <v>101</v>
      </c>
      <c r="C17" s="26" t="s">
        <v>315</v>
      </c>
      <c r="D17" s="26" t="s">
        <v>1392</v>
      </c>
      <c r="E17" s="26" t="s">
        <v>1486</v>
      </c>
      <c r="F17" s="26" t="s">
        <v>437</v>
      </c>
      <c r="G17" s="26" t="s">
        <v>1684</v>
      </c>
      <c r="H17" s="27"/>
    </row>
    <row r="18">
      <c r="A18" s="10" t="s">
        <v>199</v>
      </c>
      <c r="B18" s="22">
        <v>96.0</v>
      </c>
      <c r="C18" s="22">
        <v>96.0</v>
      </c>
      <c r="D18" s="22">
        <v>96.0</v>
      </c>
      <c r="E18" s="22">
        <v>96.0</v>
      </c>
      <c r="F18" s="22">
        <v>96.0</v>
      </c>
      <c r="G18" s="22">
        <v>97.0</v>
      </c>
      <c r="H18" s="27"/>
    </row>
    <row r="19">
      <c r="A19" s="10" t="s">
        <v>201</v>
      </c>
      <c r="B19" s="29" t="s">
        <v>2400</v>
      </c>
      <c r="C19" s="29" t="s">
        <v>3073</v>
      </c>
      <c r="D19" s="29" t="s">
        <v>1928</v>
      </c>
      <c r="E19" s="29" t="s">
        <v>645</v>
      </c>
      <c r="F19" s="29" t="s">
        <v>2351</v>
      </c>
      <c r="G19" s="29" t="s">
        <v>3125</v>
      </c>
      <c r="H19" s="27"/>
    </row>
    <row r="20">
      <c r="A20" s="10" t="s">
        <v>209</v>
      </c>
      <c r="B20" s="22" t="s">
        <v>348</v>
      </c>
      <c r="C20" s="22" t="s">
        <v>2456</v>
      </c>
      <c r="D20" s="22" t="s">
        <v>2354</v>
      </c>
      <c r="E20" s="22" t="s">
        <v>1025</v>
      </c>
      <c r="F20" s="22" t="s">
        <v>901</v>
      </c>
      <c r="G20" s="22" t="s">
        <v>2016</v>
      </c>
      <c r="H20" s="27"/>
    </row>
    <row r="21">
      <c r="A21" s="10" t="s">
        <v>215</v>
      </c>
      <c r="B21" s="29" t="s">
        <v>419</v>
      </c>
      <c r="C21" s="29" t="s">
        <v>220</v>
      </c>
      <c r="D21" s="29" t="s">
        <v>222</v>
      </c>
      <c r="E21" s="29" t="s">
        <v>542</v>
      </c>
      <c r="F21" s="29" t="s">
        <v>417</v>
      </c>
      <c r="G21" s="29" t="s">
        <v>220</v>
      </c>
      <c r="H21" s="27"/>
    </row>
    <row r="22">
      <c r="A22" s="15" t="s">
        <v>224</v>
      </c>
      <c r="B22" s="22" t="s">
        <v>365</v>
      </c>
      <c r="C22" s="22" t="s">
        <v>1224</v>
      </c>
      <c r="D22" s="22" t="s">
        <v>1438</v>
      </c>
      <c r="E22" s="22" t="s">
        <v>925</v>
      </c>
      <c r="F22" s="22" t="s">
        <v>465</v>
      </c>
      <c r="G22" s="22" t="s">
        <v>1159</v>
      </c>
      <c r="H22" s="27"/>
    </row>
    <row r="23">
      <c r="A23" s="30"/>
      <c r="B23" s="22" t="s">
        <v>1718</v>
      </c>
      <c r="C23" s="22" t="s">
        <v>811</v>
      </c>
      <c r="D23" s="22" t="s">
        <v>1958</v>
      </c>
      <c r="E23" s="22" t="s">
        <v>809</v>
      </c>
      <c r="F23" s="22" t="s">
        <v>1564</v>
      </c>
      <c r="G23" s="22" t="s">
        <v>2110</v>
      </c>
      <c r="H23" s="27"/>
    </row>
    <row r="24">
      <c r="A24" s="30"/>
      <c r="B24" s="22" t="s">
        <v>1166</v>
      </c>
      <c r="C24" s="22" t="s">
        <v>576</v>
      </c>
      <c r="D24" s="22" t="s">
        <v>3127</v>
      </c>
      <c r="E24" s="22" t="s">
        <v>465</v>
      </c>
      <c r="F24" s="22" t="s">
        <v>1562</v>
      </c>
      <c r="G24" s="22" t="s">
        <v>3055</v>
      </c>
      <c r="H24" s="27"/>
    </row>
    <row r="25">
      <c r="A25" s="25"/>
      <c r="B25" s="22" t="s">
        <v>2115</v>
      </c>
      <c r="C25" s="22" t="s">
        <v>1366</v>
      </c>
      <c r="D25" s="22" t="s">
        <v>2486</v>
      </c>
      <c r="E25" s="22" t="s">
        <v>2745</v>
      </c>
      <c r="F25" s="22" t="s">
        <v>362</v>
      </c>
      <c r="G25" s="22" t="s">
        <v>549</v>
      </c>
      <c r="H25" s="31"/>
      <c r="I25" s="32"/>
    </row>
    <row r="26">
      <c r="A26" s="10" t="s">
        <v>5</v>
      </c>
      <c r="B26" s="11" t="s">
        <v>3128</v>
      </c>
      <c r="C26" s="9"/>
      <c r="D26" s="9"/>
      <c r="E26" s="9"/>
      <c r="F26" s="9"/>
      <c r="G26" s="9"/>
      <c r="H26" s="9"/>
      <c r="I26" s="14"/>
    </row>
    <row r="27" ht="60.0" customHeight="1">
      <c r="A27" s="15" t="s">
        <v>16</v>
      </c>
      <c r="B27" s="22" t="str">
        <f t="array" ref="B27">iferror(VLOOKUP(INDIRECT(ADDRESS(ROW()+1,COLUMN(), 4)),Dex!$A$2:$C335,3,false),"")</f>
        <v/>
      </c>
      <c r="C27" s="22" t="str">
        <f t="array" ref="C27">iferror(VLOOKUP(INDIRECT(ADDRESS(ROW()+1,COLUMN(), 4)),Dex!$A$2:$C335,3,false),"")</f>
        <v/>
      </c>
      <c r="D27" s="22" t="str">
        <f t="array" ref="D27">iferror(VLOOKUP(INDIRECT(ADDRESS(ROW()+1,COLUMN(), 4)),Dex!$A$2:$C335,3,false),"")</f>
        <v/>
      </c>
      <c r="E27" s="22" t="str">
        <f t="array" ref="E27">iferror(VLOOKUP(INDIRECT(ADDRESS(ROW()+1,COLUMN(), 4)),Dex!$A$2:$C335,3,false),"")</f>
        <v/>
      </c>
      <c r="F27" s="22" t="str">
        <f t="array" ref="F27">iferror(VLOOKUP(INDIRECT(ADDRESS(ROW()+1,COLUMN(), 4)),Dex!$A$2:$C335,3,false),"")</f>
        <v/>
      </c>
      <c r="G27" s="22" t="str">
        <f t="array" ref="G27">iferror(VLOOKUP(INDIRECT(ADDRESS(ROW()+1,COLUMN(), 4)),Dex!$A$2:$C335,3,false),"")</f>
        <v/>
      </c>
      <c r="H27" s="23" t="str">
        <f t="array" ref="H27">iferror(VLOOKUP("TRAINER_PIC_Rocket_Grunt_M",Sprites!$A$1:$B335,2,false),"")</f>
        <v/>
      </c>
      <c r="I27" s="24"/>
    </row>
    <row r="28">
      <c r="A28" s="25"/>
      <c r="B28" s="26" t="s">
        <v>708</v>
      </c>
      <c r="C28" s="26" t="s">
        <v>359</v>
      </c>
      <c r="D28" s="26" t="s">
        <v>1839</v>
      </c>
      <c r="E28" s="26" t="s">
        <v>2067</v>
      </c>
      <c r="F28" s="26" t="s">
        <v>1325</v>
      </c>
      <c r="G28" s="26" t="s">
        <v>1012</v>
      </c>
      <c r="H28" s="27"/>
    </row>
    <row r="29">
      <c r="A29" s="10" t="s">
        <v>199</v>
      </c>
      <c r="B29" s="22">
        <v>96.0</v>
      </c>
      <c r="C29" s="22">
        <v>96.0</v>
      </c>
      <c r="D29" s="22" t="s">
        <v>3139</v>
      </c>
      <c r="E29" s="22">
        <v>96.0</v>
      </c>
      <c r="F29" s="22">
        <v>97.0</v>
      </c>
      <c r="G29" s="22">
        <v>97.0</v>
      </c>
      <c r="H29" s="27"/>
    </row>
    <row r="30">
      <c r="A30" s="10" t="s">
        <v>201</v>
      </c>
      <c r="B30" s="29" t="s">
        <v>1456</v>
      </c>
      <c r="C30" s="29" t="s">
        <v>2351</v>
      </c>
      <c r="D30" s="29" t="s">
        <v>3140</v>
      </c>
      <c r="E30" s="29" t="s">
        <v>777</v>
      </c>
      <c r="F30" s="29" t="s">
        <v>408</v>
      </c>
      <c r="G30" s="29" t="s">
        <v>3141</v>
      </c>
      <c r="H30" s="27"/>
    </row>
    <row r="31">
      <c r="A31" s="10" t="s">
        <v>209</v>
      </c>
      <c r="B31" s="22" t="s">
        <v>415</v>
      </c>
      <c r="C31" s="22" t="s">
        <v>413</v>
      </c>
      <c r="D31" s="22" t="s">
        <v>1124</v>
      </c>
      <c r="E31" s="22" t="s">
        <v>1059</v>
      </c>
      <c r="F31" s="22" t="s">
        <v>1216</v>
      </c>
      <c r="G31" s="22" t="s">
        <v>2391</v>
      </c>
      <c r="H31" s="27"/>
    </row>
    <row r="32">
      <c r="A32" s="10" t="s">
        <v>215</v>
      </c>
      <c r="B32" s="29" t="s">
        <v>419</v>
      </c>
      <c r="C32" s="29" t="s">
        <v>417</v>
      </c>
      <c r="D32" s="29" t="s">
        <v>904</v>
      </c>
      <c r="E32" s="29" t="s">
        <v>220</v>
      </c>
      <c r="F32" s="29" t="s">
        <v>220</v>
      </c>
      <c r="G32" s="29" t="s">
        <v>419</v>
      </c>
      <c r="H32" s="27"/>
    </row>
    <row r="33">
      <c r="A33" s="15" t="s">
        <v>224</v>
      </c>
      <c r="B33" s="22" t="s">
        <v>426</v>
      </c>
      <c r="C33" s="22" t="s">
        <v>2220</v>
      </c>
      <c r="D33" s="22" t="s">
        <v>567</v>
      </c>
      <c r="E33" s="22" t="s">
        <v>477</v>
      </c>
      <c r="F33" s="22" t="s">
        <v>2556</v>
      </c>
      <c r="G33" s="22" t="s">
        <v>2578</v>
      </c>
      <c r="H33" s="27"/>
    </row>
    <row r="34">
      <c r="A34" s="30"/>
      <c r="B34" s="22" t="s">
        <v>360</v>
      </c>
      <c r="C34" s="22" t="s">
        <v>2555</v>
      </c>
      <c r="D34" s="22" t="s">
        <v>555</v>
      </c>
      <c r="E34" s="22" t="s">
        <v>1844</v>
      </c>
      <c r="F34" s="22" t="s">
        <v>3143</v>
      </c>
      <c r="G34" s="22" t="s">
        <v>584</v>
      </c>
      <c r="H34" s="27"/>
    </row>
    <row r="35">
      <c r="A35" s="30"/>
      <c r="B35" s="22" t="s">
        <v>1047</v>
      </c>
      <c r="C35" s="22" t="s">
        <v>1560</v>
      </c>
      <c r="D35" s="22" t="s">
        <v>2214</v>
      </c>
      <c r="E35" s="22" t="s">
        <v>799</v>
      </c>
      <c r="F35" s="22" t="s">
        <v>356</v>
      </c>
      <c r="G35" s="22" t="s">
        <v>467</v>
      </c>
      <c r="H35" s="27"/>
    </row>
    <row r="36">
      <c r="A36" s="25"/>
      <c r="B36" s="22" t="s">
        <v>805</v>
      </c>
      <c r="C36" s="22" t="s">
        <v>1366</v>
      </c>
      <c r="D36" s="22" t="s">
        <v>1666</v>
      </c>
      <c r="E36" s="22" t="s">
        <v>1541</v>
      </c>
      <c r="F36" s="22" t="s">
        <v>363</v>
      </c>
      <c r="G36" s="22" t="s">
        <v>2884</v>
      </c>
      <c r="H36" s="31"/>
      <c r="I36" s="32"/>
    </row>
    <row r="37">
      <c r="A37" s="10" t="s">
        <v>5</v>
      </c>
      <c r="B37" s="11" t="s">
        <v>3144</v>
      </c>
      <c r="C37" s="9"/>
      <c r="D37" s="9"/>
      <c r="E37" s="9"/>
      <c r="F37" s="9"/>
      <c r="G37" s="9"/>
      <c r="H37" s="9"/>
      <c r="I37" s="14"/>
    </row>
    <row r="38" ht="60.0" customHeight="1">
      <c r="A38" s="15" t="s">
        <v>16</v>
      </c>
      <c r="B38" s="22" t="str">
        <f t="array" ref="B38">iferror(VLOOKUP(INDIRECT(ADDRESS(ROW()+1,COLUMN(), 4)),Dex!$A$2:$C335,3,false),"")</f>
        <v/>
      </c>
      <c r="C38" s="22" t="str">
        <f t="array" ref="C38">iferror(VLOOKUP(INDIRECT(ADDRESS(ROW()+1,COLUMN(), 4)),Dex!$A$2:$C335,3,false),"")</f>
        <v/>
      </c>
      <c r="D38" s="22" t="str">
        <f t="array" ref="D38">iferror(VLOOKUP(INDIRECT(ADDRESS(ROW()+1,COLUMN(), 4)),Dex!$A$2:$C335,3,false),"")</f>
        <v/>
      </c>
      <c r="E38" s="22" t="str">
        <f t="array" ref="E38">iferror(VLOOKUP(INDIRECT(ADDRESS(ROW()+1,COLUMN(), 4)),Dex!$A$2:$C335,3,false),"")</f>
        <v/>
      </c>
      <c r="F38" s="22" t="str">
        <f t="array" ref="F38">iferror(VLOOKUP(INDIRECT(ADDRESS(ROW()+1,COLUMN(), 4)),Dex!$A$2:$C335,3,false),"")</f>
        <v/>
      </c>
      <c r="G38" s="22" t="str">
        <f t="array" ref="G38">iferror(VLOOKUP(INDIRECT(ADDRESS(ROW()+1,COLUMN(), 4)),Dex!$A$2:$C335,3,false),"")</f>
        <v/>
      </c>
      <c r="H38" s="23" t="str">
        <f t="array" ref="H38">iferror(VLOOKUP("TRAINER_PIC_Rocket_Grunt_M",Sprites!$A$1:$B335,2,false),"")</f>
        <v/>
      </c>
      <c r="I38" s="24"/>
    </row>
    <row r="39">
      <c r="A39" s="25"/>
      <c r="B39" s="26" t="s">
        <v>710</v>
      </c>
      <c r="C39" s="26" t="s">
        <v>765</v>
      </c>
      <c r="D39" s="26" t="s">
        <v>822</v>
      </c>
      <c r="E39" s="26" t="s">
        <v>397</v>
      </c>
      <c r="F39" s="26" t="s">
        <v>1266</v>
      </c>
      <c r="G39" s="26" t="s">
        <v>1766</v>
      </c>
      <c r="H39" s="27"/>
    </row>
    <row r="40">
      <c r="A40" s="10" t="s">
        <v>199</v>
      </c>
      <c r="B40" s="22">
        <v>96.0</v>
      </c>
      <c r="C40" s="22">
        <v>96.0</v>
      </c>
      <c r="D40" s="22" t="s">
        <v>3155</v>
      </c>
      <c r="E40" s="22">
        <v>97.0</v>
      </c>
      <c r="F40" s="22">
        <v>97.0</v>
      </c>
      <c r="G40" s="22">
        <v>98.0</v>
      </c>
      <c r="H40" s="27"/>
    </row>
    <row r="41">
      <c r="A41" s="10" t="s">
        <v>201</v>
      </c>
      <c r="B41" s="29" t="s">
        <v>1148</v>
      </c>
      <c r="C41" s="29" t="s">
        <v>1518</v>
      </c>
      <c r="D41" s="29" t="s">
        <v>779</v>
      </c>
      <c r="E41" s="29" t="s">
        <v>1760</v>
      </c>
      <c r="F41" s="29" t="s">
        <v>777</v>
      </c>
      <c r="G41" s="29" t="s">
        <v>3156</v>
      </c>
      <c r="H41" s="27"/>
    </row>
    <row r="42">
      <c r="A42" s="10" t="s">
        <v>209</v>
      </c>
      <c r="B42" s="22" t="s">
        <v>899</v>
      </c>
      <c r="C42" s="22" t="s">
        <v>212</v>
      </c>
      <c r="D42" s="22" t="s">
        <v>2206</v>
      </c>
      <c r="E42" s="22" t="s">
        <v>219</v>
      </c>
      <c r="F42" s="22" t="s">
        <v>897</v>
      </c>
      <c r="G42" s="22" t="s">
        <v>896</v>
      </c>
      <c r="H42" s="27"/>
    </row>
    <row r="43">
      <c r="A43" s="10" t="s">
        <v>215</v>
      </c>
      <c r="B43" s="29" t="s">
        <v>906</v>
      </c>
      <c r="C43" s="29" t="s">
        <v>1346</v>
      </c>
      <c r="D43" s="29" t="s">
        <v>231</v>
      </c>
      <c r="E43" s="29" t="s">
        <v>231</v>
      </c>
      <c r="F43" s="29" t="s">
        <v>904</v>
      </c>
      <c r="G43" s="29" t="s">
        <v>218</v>
      </c>
      <c r="H43" s="27"/>
    </row>
    <row r="44">
      <c r="A44" s="15" t="s">
        <v>224</v>
      </c>
      <c r="B44" s="22" t="s">
        <v>940</v>
      </c>
      <c r="C44" s="22" t="s">
        <v>1064</v>
      </c>
      <c r="D44" s="22" t="s">
        <v>1065</v>
      </c>
      <c r="E44" s="22" t="s">
        <v>1466</v>
      </c>
      <c r="F44" s="22" t="s">
        <v>363</v>
      </c>
      <c r="G44" s="22" t="s">
        <v>3143</v>
      </c>
      <c r="H44" s="27"/>
    </row>
    <row r="45">
      <c r="A45" s="30"/>
      <c r="B45" s="22" t="s">
        <v>2321</v>
      </c>
      <c r="C45" s="22" t="s">
        <v>565</v>
      </c>
      <c r="D45" s="22" t="s">
        <v>477</v>
      </c>
      <c r="E45" s="22" t="s">
        <v>1844</v>
      </c>
      <c r="F45" s="22" t="s">
        <v>1163</v>
      </c>
      <c r="G45" s="22" t="s">
        <v>799</v>
      </c>
      <c r="H45" s="27"/>
    </row>
    <row r="46">
      <c r="A46" s="30"/>
      <c r="B46" s="22" t="s">
        <v>938</v>
      </c>
      <c r="C46" s="22" t="s">
        <v>477</v>
      </c>
      <c r="D46" s="22" t="s">
        <v>1352</v>
      </c>
      <c r="E46" s="22" t="s">
        <v>1227</v>
      </c>
      <c r="F46" s="22" t="s">
        <v>565</v>
      </c>
      <c r="G46" s="22" t="s">
        <v>238</v>
      </c>
      <c r="H46" s="27"/>
    </row>
    <row r="47">
      <c r="A47" s="25"/>
      <c r="B47" s="22" t="s">
        <v>2040</v>
      </c>
      <c r="C47" s="22" t="s">
        <v>234</v>
      </c>
      <c r="D47" s="22" t="s">
        <v>1169</v>
      </c>
      <c r="E47" s="22" t="s">
        <v>3158</v>
      </c>
      <c r="F47" s="22" t="s">
        <v>2478</v>
      </c>
      <c r="G47" s="22" t="s">
        <v>2556</v>
      </c>
      <c r="H47" s="31"/>
      <c r="I47" s="32"/>
    </row>
    <row r="48">
      <c r="A48" s="10" t="s">
        <v>5</v>
      </c>
      <c r="B48" s="11" t="s">
        <v>3160</v>
      </c>
      <c r="C48" s="9"/>
      <c r="D48" s="9"/>
      <c r="E48" s="9"/>
      <c r="F48" s="9"/>
      <c r="G48" s="9"/>
      <c r="H48" s="9"/>
      <c r="I48" s="14"/>
    </row>
    <row r="49" ht="60.0" customHeight="1">
      <c r="A49" s="15" t="s">
        <v>16</v>
      </c>
      <c r="B49" s="22" t="str">
        <f t="array" ref="B49">iferror(VLOOKUP(INDIRECT(ADDRESS(ROW()+1,COLUMN(), 4)),Dex!$A$2:$C335,3,false),"")</f>
        <v/>
      </c>
      <c r="C49" s="22" t="str">
        <f t="array" ref="C49">iferror(VLOOKUP(INDIRECT(ADDRESS(ROW()+1,COLUMN(), 4)),Dex!$A$2:$C335,3,false),"")</f>
        <v/>
      </c>
      <c r="D49" s="22" t="str">
        <f t="array" ref="D49">iferror(VLOOKUP(INDIRECT(ADDRESS(ROW()+1,COLUMN(), 4)),Dex!$A$2:$C335,3,false),"")</f>
        <v/>
      </c>
      <c r="E49" s="22" t="str">
        <f t="array" ref="E49">iferror(VLOOKUP(INDIRECT(ADDRESS(ROW()+1,COLUMN(), 4)),Dex!$A$2:$C335,3,false),"")</f>
        <v/>
      </c>
      <c r="F49" s="22" t="str">
        <f t="array" ref="F49">iferror(VLOOKUP(INDIRECT(ADDRESS(ROW()+1,COLUMN(), 4)),Dex!$A$2:$C335,3,false),"")</f>
        <v/>
      </c>
      <c r="G49" s="22" t="str">
        <f t="array" ref="G49">iferror(VLOOKUP(INDIRECT(ADDRESS(ROW()+1,COLUMN(), 4)),Dex!$A$2:$C335,3,false),"")</f>
        <v/>
      </c>
      <c r="H49" s="23" t="str">
        <f t="array" ref="H49">iferror(VLOOKUP("TRAINER_PIC_Cooltrainer_F",Sprites!$A$1:$B335,2,false),"")</f>
        <v/>
      </c>
      <c r="I49" s="24"/>
    </row>
    <row r="50">
      <c r="A50" s="25"/>
      <c r="B50" s="26" t="s">
        <v>228</v>
      </c>
      <c r="C50" s="26" t="s">
        <v>2138</v>
      </c>
      <c r="D50" s="26" t="s">
        <v>347</v>
      </c>
      <c r="E50" s="26" t="s">
        <v>2003</v>
      </c>
      <c r="F50" s="26" t="s">
        <v>1365</v>
      </c>
      <c r="G50" s="26" t="s">
        <v>2301</v>
      </c>
      <c r="H50" s="27"/>
    </row>
    <row r="51">
      <c r="A51" s="10" t="s">
        <v>199</v>
      </c>
      <c r="B51" s="22">
        <v>97.0</v>
      </c>
      <c r="C51" s="22">
        <v>97.0</v>
      </c>
      <c r="D51" s="22">
        <v>96.0</v>
      </c>
      <c r="E51" s="22">
        <v>96.0</v>
      </c>
      <c r="F51" s="22">
        <v>97.0</v>
      </c>
      <c r="G51" s="22">
        <v>97.0</v>
      </c>
      <c r="H51" s="27"/>
    </row>
    <row r="52">
      <c r="A52" s="10" t="s">
        <v>201</v>
      </c>
      <c r="B52" s="29" t="s">
        <v>408</v>
      </c>
      <c r="C52" s="29" t="s">
        <v>455</v>
      </c>
      <c r="D52" s="29" t="s">
        <v>2974</v>
      </c>
      <c r="E52" s="29" t="s">
        <v>206</v>
      </c>
      <c r="F52" s="29" t="s">
        <v>2792</v>
      </c>
      <c r="G52" s="29" t="s">
        <v>645</v>
      </c>
      <c r="H52" s="27"/>
    </row>
    <row r="53">
      <c r="A53" s="10" t="s">
        <v>209</v>
      </c>
      <c r="B53" s="22" t="s">
        <v>647</v>
      </c>
      <c r="C53" s="22" t="s">
        <v>912</v>
      </c>
      <c r="D53" s="22" t="s">
        <v>1763</v>
      </c>
      <c r="E53" s="22" t="s">
        <v>348</v>
      </c>
      <c r="F53" s="22" t="s">
        <v>1642</v>
      </c>
      <c r="G53" s="22" t="s">
        <v>2927</v>
      </c>
      <c r="H53" s="27"/>
    </row>
    <row r="54">
      <c r="A54" s="10" t="s">
        <v>215</v>
      </c>
      <c r="B54" s="29" t="s">
        <v>231</v>
      </c>
      <c r="C54" s="29" t="s">
        <v>231</v>
      </c>
      <c r="D54" s="29" t="s">
        <v>220</v>
      </c>
      <c r="E54" s="29" t="s">
        <v>231</v>
      </c>
      <c r="F54" s="29" t="s">
        <v>222</v>
      </c>
      <c r="G54" s="29" t="s">
        <v>222</v>
      </c>
      <c r="H54" s="27"/>
    </row>
    <row r="55">
      <c r="A55" s="15" t="s">
        <v>224</v>
      </c>
      <c r="B55" s="22" t="s">
        <v>361</v>
      </c>
      <c r="C55" s="22" t="s">
        <v>795</v>
      </c>
      <c r="D55" s="22" t="s">
        <v>1352</v>
      </c>
      <c r="E55" s="22" t="s">
        <v>1159</v>
      </c>
      <c r="F55" s="22" t="s">
        <v>3048</v>
      </c>
      <c r="G55" s="22" t="s">
        <v>2020</v>
      </c>
      <c r="H55" s="27"/>
    </row>
    <row r="56">
      <c r="A56" s="30"/>
      <c r="B56" s="22" t="s">
        <v>652</v>
      </c>
      <c r="C56" s="22" t="s">
        <v>652</v>
      </c>
      <c r="D56" s="22" t="s">
        <v>477</v>
      </c>
      <c r="E56" s="22" t="s">
        <v>1163</v>
      </c>
      <c r="F56" s="22" t="s">
        <v>815</v>
      </c>
      <c r="G56" s="22" t="s">
        <v>2954</v>
      </c>
      <c r="H56" s="27"/>
    </row>
    <row r="57">
      <c r="A57" s="30"/>
      <c r="B57" s="22" t="s">
        <v>657</v>
      </c>
      <c r="C57" s="22" t="s">
        <v>2386</v>
      </c>
      <c r="D57" s="22" t="s">
        <v>363</v>
      </c>
      <c r="E57" s="22" t="s">
        <v>477</v>
      </c>
      <c r="F57" s="22" t="s">
        <v>805</v>
      </c>
      <c r="G57" s="22" t="s">
        <v>585</v>
      </c>
      <c r="H57" s="27"/>
    </row>
    <row r="58">
      <c r="A58" s="25"/>
      <c r="B58" s="22" t="s">
        <v>581</v>
      </c>
      <c r="C58" s="22" t="s">
        <v>1366</v>
      </c>
      <c r="D58" s="22" t="s">
        <v>1072</v>
      </c>
      <c r="E58" s="22" t="s">
        <v>366</v>
      </c>
      <c r="F58" s="22" t="s">
        <v>249</v>
      </c>
      <c r="G58" s="22" t="s">
        <v>935</v>
      </c>
      <c r="H58" s="31"/>
      <c r="I58" s="32"/>
    </row>
    <row r="59">
      <c r="A59" s="10" t="s">
        <v>5</v>
      </c>
      <c r="B59" s="11" t="s">
        <v>3170</v>
      </c>
      <c r="C59" s="9"/>
      <c r="D59" s="9"/>
      <c r="E59" s="9"/>
      <c r="F59" s="9"/>
      <c r="G59" s="9"/>
      <c r="H59" s="9"/>
      <c r="I59" s="14"/>
    </row>
    <row r="60" ht="60.0" customHeight="1">
      <c r="A60" s="15" t="s">
        <v>16</v>
      </c>
      <c r="B60" s="22" t="str">
        <f t="array" ref="B60">iferror(VLOOKUP(INDIRECT(ADDRESS(ROW()+1,COLUMN(), 4)),Dex!$A$2:$C335,3,false),"")</f>
        <v/>
      </c>
      <c r="C60" s="22" t="str">
        <f t="array" ref="C60">iferror(VLOOKUP(INDIRECT(ADDRESS(ROW()+1,COLUMN(), 4)),Dex!$A$2:$C335,3,false),"")</f>
        <v/>
      </c>
      <c r="D60" s="22" t="str">
        <f t="array" ref="D60">iferror(VLOOKUP(INDIRECT(ADDRESS(ROW()+1,COLUMN(), 4)),Dex!$A$2:$C335,3,false),"")</f>
        <v/>
      </c>
      <c r="E60" s="22" t="str">
        <f t="array" ref="E60">iferror(VLOOKUP(INDIRECT(ADDRESS(ROW()+1,COLUMN(), 4)),Dex!$A$2:$C335,3,false),"")</f>
        <v/>
      </c>
      <c r="F60" s="22" t="str">
        <f t="array" ref="F60">iferror(VLOOKUP(INDIRECT(ADDRESS(ROW()+1,COLUMN(), 4)),Dex!$A$2:$C335,3,false),"")</f>
        <v/>
      </c>
      <c r="G60" s="22" t="str">
        <f t="array" ref="G60">iferror(VLOOKUP(INDIRECT(ADDRESS(ROW()+1,COLUMN(), 4)),Dex!$A$2:$C335,3,false),"")</f>
        <v/>
      </c>
      <c r="H60" s="23" t="str">
        <f t="array" ref="H60">iferror(VLOOKUP("TRAINER_PIC_Cooltrainer_M",Sprites!$A$1:$B335,2,false),"")</f>
        <v/>
      </c>
      <c r="I60" s="24"/>
    </row>
    <row r="61">
      <c r="A61" s="25"/>
      <c r="B61" s="26" t="s">
        <v>3183</v>
      </c>
      <c r="C61" s="26" t="s">
        <v>1230</v>
      </c>
      <c r="D61" s="26" t="s">
        <v>655</v>
      </c>
      <c r="E61" s="26" t="s">
        <v>1482</v>
      </c>
      <c r="F61" s="26" t="s">
        <v>2729</v>
      </c>
      <c r="G61" s="26" t="s">
        <v>1154</v>
      </c>
      <c r="H61" s="27"/>
    </row>
    <row r="62">
      <c r="A62" s="10" t="s">
        <v>199</v>
      </c>
      <c r="B62" s="22">
        <v>97.0</v>
      </c>
      <c r="C62" s="22">
        <v>96.0</v>
      </c>
      <c r="D62" s="22">
        <v>96.0</v>
      </c>
      <c r="E62" s="22">
        <v>97.0</v>
      </c>
      <c r="F62" s="22">
        <v>97.0</v>
      </c>
      <c r="G62" s="22">
        <v>98.0</v>
      </c>
      <c r="H62" s="27"/>
    </row>
    <row r="63">
      <c r="A63" s="10" t="s">
        <v>201</v>
      </c>
      <c r="B63" s="29" t="s">
        <v>2366</v>
      </c>
      <c r="C63" s="29" t="s">
        <v>1518</v>
      </c>
      <c r="D63" s="29" t="s">
        <v>645</v>
      </c>
      <c r="E63" s="29" t="s">
        <v>3184</v>
      </c>
      <c r="F63" s="29" t="s">
        <v>1546</v>
      </c>
      <c r="G63" s="29" t="s">
        <v>3185</v>
      </c>
      <c r="H63" s="27"/>
    </row>
    <row r="64">
      <c r="A64" s="10" t="s">
        <v>209</v>
      </c>
      <c r="B64" s="22" t="s">
        <v>2361</v>
      </c>
      <c r="C64" s="22" t="s">
        <v>2325</v>
      </c>
      <c r="D64" s="22" t="s">
        <v>2377</v>
      </c>
      <c r="E64" s="22" t="s">
        <v>3186</v>
      </c>
      <c r="F64" s="22" t="s">
        <v>2361</v>
      </c>
      <c r="G64" s="22" t="s">
        <v>3187</v>
      </c>
      <c r="H64" s="27"/>
    </row>
    <row r="65">
      <c r="A65" s="10" t="s">
        <v>215</v>
      </c>
      <c r="B65" s="29" t="s">
        <v>231</v>
      </c>
      <c r="C65" s="29" t="s">
        <v>904</v>
      </c>
      <c r="D65" s="29" t="s">
        <v>906</v>
      </c>
      <c r="E65" s="29" t="s">
        <v>419</v>
      </c>
      <c r="F65" s="29" t="s">
        <v>419</v>
      </c>
      <c r="G65" s="29" t="s">
        <v>419</v>
      </c>
      <c r="H65" s="27"/>
    </row>
    <row r="66">
      <c r="A66" s="15" t="s">
        <v>224</v>
      </c>
      <c r="B66" s="22" t="s">
        <v>361</v>
      </c>
      <c r="C66" s="22" t="s">
        <v>570</v>
      </c>
      <c r="D66" s="22" t="s">
        <v>362</v>
      </c>
      <c r="E66" s="22" t="s">
        <v>2814</v>
      </c>
      <c r="F66" s="22" t="s">
        <v>371</v>
      </c>
      <c r="G66" s="22" t="s">
        <v>1545</v>
      </c>
      <c r="H66" s="27"/>
    </row>
    <row r="67">
      <c r="A67" s="30"/>
      <c r="B67" s="22" t="s">
        <v>3188</v>
      </c>
      <c r="C67" s="22" t="s">
        <v>2470</v>
      </c>
      <c r="D67" s="22" t="s">
        <v>234</v>
      </c>
      <c r="E67" s="22" t="s">
        <v>585</v>
      </c>
      <c r="F67" s="22" t="s">
        <v>2307</v>
      </c>
      <c r="G67" s="22" t="s">
        <v>246</v>
      </c>
      <c r="H67" s="27"/>
    </row>
    <row r="68">
      <c r="A68" s="30"/>
      <c r="B68" s="22" t="s">
        <v>796</v>
      </c>
      <c r="C68" s="22" t="s">
        <v>1169</v>
      </c>
      <c r="D68" s="22" t="s">
        <v>467</v>
      </c>
      <c r="E68" s="22" t="s">
        <v>1442</v>
      </c>
      <c r="F68" s="22" t="s">
        <v>355</v>
      </c>
      <c r="G68" s="22" t="s">
        <v>1942</v>
      </c>
      <c r="H68" s="27"/>
    </row>
    <row r="69">
      <c r="A69" s="25"/>
      <c r="B69" s="22" t="s">
        <v>1352</v>
      </c>
      <c r="C69" s="22" t="s">
        <v>1047</v>
      </c>
      <c r="D69" s="22" t="s">
        <v>1442</v>
      </c>
      <c r="E69" s="22" t="s">
        <v>1169</v>
      </c>
      <c r="F69" s="22" t="s">
        <v>2115</v>
      </c>
      <c r="G69" s="22" t="s">
        <v>367</v>
      </c>
      <c r="H69" s="31"/>
      <c r="I69" s="32"/>
    </row>
    <row r="70">
      <c r="A70" s="10" t="s">
        <v>5</v>
      </c>
      <c r="B70" s="11" t="s">
        <v>3189</v>
      </c>
      <c r="C70" s="9"/>
      <c r="D70" s="9"/>
      <c r="E70" s="9"/>
      <c r="F70" s="9"/>
      <c r="G70" s="9"/>
      <c r="H70" s="9"/>
      <c r="I70" s="14"/>
    </row>
    <row r="71" ht="60.0" customHeight="1">
      <c r="A71" s="15" t="s">
        <v>16</v>
      </c>
      <c r="B71" s="22" t="str">
        <f t="array" ref="B71">iferror(VLOOKUP(INDIRECT(ADDRESS(ROW()+1,COLUMN(), 4)),Dex!$A$2:$C335,3,false),"")</f>
        <v/>
      </c>
      <c r="C71" s="22" t="str">
        <f t="array" ref="C71">iferror(VLOOKUP(INDIRECT(ADDRESS(ROW()+1,COLUMN(), 4)),Dex!$A$2:$C335,3,false),"")</f>
        <v/>
      </c>
      <c r="D71" s="22" t="str">
        <f t="array" ref="D71">iferror(VLOOKUP(INDIRECT(ADDRESS(ROW()+1,COLUMN(), 4)),Dex!$A$2:$C335,3,false),"")</f>
        <v/>
      </c>
      <c r="E71" s="22" t="str">
        <f t="array" ref="E71">iferror(VLOOKUP(INDIRECT(ADDRESS(ROW()+1,COLUMN(), 4)),Dex!$A$2:$C335,3,false),"")</f>
        <v/>
      </c>
      <c r="F71" s="22" t="str">
        <f t="array" ref="F71">iferror(VLOOKUP(INDIRECT(ADDRESS(ROW()+1,COLUMN(), 4)),Dex!$A$2:$C335,3,false),"")</f>
        <v/>
      </c>
      <c r="G71" s="22" t="str">
        <f t="array" ref="G71">iferror(VLOOKUP(INDIRECT(ADDRESS(ROW()+1,COLUMN(), 4)),Dex!$A$2:$C335,3,false),"")</f>
        <v/>
      </c>
      <c r="H71" s="23" t="str">
        <f t="array" ref="H71">iferror(VLOOKUP("TRAINER_PIC_Expert_M",Sprites!$A$1:$B335,2,false),"")</f>
        <v/>
      </c>
      <c r="I71" s="24"/>
    </row>
    <row r="72">
      <c r="A72" s="25"/>
      <c r="B72" s="26" t="s">
        <v>1806</v>
      </c>
      <c r="C72" s="26" t="s">
        <v>2286</v>
      </c>
      <c r="D72" s="26" t="s">
        <v>1930</v>
      </c>
      <c r="E72" s="26" t="s">
        <v>1080</v>
      </c>
      <c r="F72" s="26" t="s">
        <v>1049</v>
      </c>
      <c r="G72" s="26" t="s">
        <v>1026</v>
      </c>
      <c r="H72" s="27"/>
    </row>
    <row r="73">
      <c r="A73" s="10" t="s">
        <v>199</v>
      </c>
      <c r="B73" s="22">
        <v>96.0</v>
      </c>
      <c r="C73" s="22">
        <v>96.0</v>
      </c>
      <c r="D73" s="22">
        <v>97.0</v>
      </c>
      <c r="E73" s="22">
        <v>98.0</v>
      </c>
      <c r="F73" s="22">
        <v>97.0</v>
      </c>
      <c r="G73" s="22">
        <v>98.0</v>
      </c>
      <c r="H73" s="27"/>
    </row>
    <row r="74">
      <c r="A74" s="10" t="s">
        <v>201</v>
      </c>
      <c r="B74" s="29" t="s">
        <v>546</v>
      </c>
      <c r="C74" s="29" t="s">
        <v>407</v>
      </c>
      <c r="D74" s="29" t="s">
        <v>206</v>
      </c>
      <c r="E74" s="29" t="s">
        <v>1242</v>
      </c>
      <c r="F74" s="29" t="s">
        <v>1213</v>
      </c>
      <c r="G74" s="29" t="s">
        <v>3200</v>
      </c>
      <c r="H74" s="27"/>
    </row>
    <row r="75">
      <c r="A75" s="10" t="s">
        <v>209</v>
      </c>
      <c r="B75" s="22" t="s">
        <v>1339</v>
      </c>
      <c r="C75" s="22" t="s">
        <v>912</v>
      </c>
      <c r="D75" s="22" t="s">
        <v>3201</v>
      </c>
      <c r="E75" s="22" t="s">
        <v>2355</v>
      </c>
      <c r="F75" s="22" t="s">
        <v>2463</v>
      </c>
      <c r="G75" s="22" t="s">
        <v>556</v>
      </c>
      <c r="H75" s="27"/>
    </row>
    <row r="76">
      <c r="A76" s="10" t="s">
        <v>215</v>
      </c>
      <c r="B76" s="29" t="s">
        <v>419</v>
      </c>
      <c r="C76" s="29" t="s">
        <v>222</v>
      </c>
      <c r="D76" s="29" t="s">
        <v>231</v>
      </c>
      <c r="E76" s="29" t="s">
        <v>419</v>
      </c>
      <c r="F76" s="29" t="s">
        <v>904</v>
      </c>
      <c r="G76" s="29" t="s">
        <v>419</v>
      </c>
      <c r="H76" s="27"/>
    </row>
    <row r="77">
      <c r="A77" s="15" t="s">
        <v>224</v>
      </c>
      <c r="B77" s="22" t="s">
        <v>3202</v>
      </c>
      <c r="C77" s="22" t="s">
        <v>926</v>
      </c>
      <c r="D77" s="22" t="s">
        <v>2634</v>
      </c>
      <c r="E77" s="22" t="s">
        <v>697</v>
      </c>
      <c r="F77" s="22" t="s">
        <v>2469</v>
      </c>
      <c r="G77" s="22" t="s">
        <v>694</v>
      </c>
      <c r="H77" s="27"/>
    </row>
    <row r="78">
      <c r="A78" s="30"/>
      <c r="B78" s="22" t="s">
        <v>1363</v>
      </c>
      <c r="C78" s="22" t="s">
        <v>2682</v>
      </c>
      <c r="D78" s="22" t="s">
        <v>3203</v>
      </c>
      <c r="E78" s="22" t="s">
        <v>2815</v>
      </c>
      <c r="F78" s="22" t="s">
        <v>1068</v>
      </c>
      <c r="G78" s="22" t="s">
        <v>582</v>
      </c>
      <c r="H78" s="27"/>
    </row>
    <row r="79">
      <c r="A79" s="30"/>
      <c r="B79" s="22" t="s">
        <v>1562</v>
      </c>
      <c r="C79" s="22" t="s">
        <v>1716</v>
      </c>
      <c r="D79" s="22" t="s">
        <v>366</v>
      </c>
      <c r="E79" s="22" t="s">
        <v>2555</v>
      </c>
      <c r="F79" s="22" t="s">
        <v>808</v>
      </c>
      <c r="G79" s="22" t="s">
        <v>469</v>
      </c>
      <c r="H79" s="27"/>
    </row>
    <row r="80">
      <c r="A80" s="25"/>
      <c r="B80" s="22" t="s">
        <v>2579</v>
      </c>
      <c r="C80" s="22" t="s">
        <v>793</v>
      </c>
      <c r="D80" s="22" t="s">
        <v>549</v>
      </c>
      <c r="E80" s="22" t="s">
        <v>2574</v>
      </c>
      <c r="F80" s="22" t="s">
        <v>793</v>
      </c>
      <c r="G80" s="22" t="s">
        <v>585</v>
      </c>
      <c r="H80" s="31"/>
      <c r="I80" s="32"/>
    </row>
    <row r="81">
      <c r="A81" s="10" t="s">
        <v>5</v>
      </c>
      <c r="B81" s="11" t="s">
        <v>3204</v>
      </c>
      <c r="C81" s="9"/>
      <c r="D81" s="9"/>
      <c r="E81" s="9"/>
      <c r="F81" s="9"/>
      <c r="G81" s="9"/>
      <c r="H81" s="9"/>
      <c r="I81" s="13"/>
    </row>
    <row r="82" ht="60.0" customHeight="1">
      <c r="A82" s="15" t="s">
        <v>16</v>
      </c>
      <c r="B82" s="22" t="str">
        <f t="array" ref="B82">iferror(VLOOKUP(INDIRECT(ADDRESS(ROW()+1,COLUMN(), 4)),Dex!$A$2:$C335,3,false),"")</f>
        <v/>
      </c>
      <c r="C82" s="22" t="str">
        <f t="array" ref="C82">iferror(VLOOKUP(INDIRECT(ADDRESS(ROW()+1,COLUMN(), 4)),Dex!$A$2:$C335,3,false),"")</f>
        <v/>
      </c>
      <c r="D82" s="22" t="str">
        <f t="array" ref="D82">iferror(VLOOKUP(INDIRECT(ADDRESS(ROW()+1,COLUMN(), 4)),Dex!$A$2:$C335,3,false),"")</f>
        <v/>
      </c>
      <c r="E82" s="22" t="str">
        <f t="array" ref="E82">iferror(VLOOKUP(INDIRECT(ADDRESS(ROW()+1,COLUMN(), 4)),Dex!$A$2:$C335,3,false),"")</f>
        <v/>
      </c>
      <c r="F82" s="22" t="str">
        <f t="array" ref="F82">iferror(VLOOKUP(INDIRECT(ADDRESS(ROW()+1,COLUMN(), 4)),Dex!$A$2:$C335,3,false),"")</f>
        <v/>
      </c>
      <c r="G82" s="22" t="str">
        <f t="array" ref="G82">iferror(VLOOKUP(INDIRECT(ADDRESS(ROW()+1,COLUMN(), 4)),Dex!$A$2:$C335,3,false),"")</f>
        <v/>
      </c>
      <c r="H82" s="23" t="str">
        <f t="array" ref="H82">iferror(VLOOKUP("TRAINER_PIC_Kindler",Sprites!$A$1:$B335,2,false),"")</f>
        <v/>
      </c>
      <c r="I82" s="24"/>
    </row>
    <row r="83">
      <c r="A83" s="25"/>
      <c r="B83" s="26" t="s">
        <v>783</v>
      </c>
      <c r="C83" s="26" t="s">
        <v>2973</v>
      </c>
      <c r="D83" s="26" t="s">
        <v>1398</v>
      </c>
      <c r="E83" s="26" t="s">
        <v>51</v>
      </c>
      <c r="F83" s="26" t="s">
        <v>446</v>
      </c>
      <c r="G83" s="26" t="s">
        <v>180</v>
      </c>
      <c r="H83" s="27"/>
    </row>
    <row r="84">
      <c r="A84" s="10" t="s">
        <v>199</v>
      </c>
      <c r="B84" s="22">
        <v>96.0</v>
      </c>
      <c r="C84" s="22">
        <v>97.0</v>
      </c>
      <c r="D84" s="22">
        <v>98.0</v>
      </c>
      <c r="E84" s="22">
        <v>97.0</v>
      </c>
      <c r="F84" s="22">
        <v>98.0</v>
      </c>
      <c r="G84" s="22">
        <v>97.0</v>
      </c>
      <c r="H84" s="27"/>
    </row>
    <row r="85">
      <c r="A85" s="10" t="s">
        <v>201</v>
      </c>
      <c r="B85" s="29" t="s">
        <v>1546</v>
      </c>
      <c r="C85" s="29" t="s">
        <v>2510</v>
      </c>
      <c r="D85" s="29" t="s">
        <v>1635</v>
      </c>
      <c r="E85" s="29" t="s">
        <v>1148</v>
      </c>
      <c r="F85" s="29" t="s">
        <v>2339</v>
      </c>
      <c r="G85" s="29" t="s">
        <v>206</v>
      </c>
      <c r="H85" s="27"/>
    </row>
    <row r="86">
      <c r="A86" s="10" t="s">
        <v>209</v>
      </c>
      <c r="B86" s="22" t="s">
        <v>897</v>
      </c>
      <c r="C86" s="22" t="s">
        <v>2368</v>
      </c>
      <c r="D86" s="22" t="s">
        <v>1060</v>
      </c>
      <c r="E86" s="22" t="s">
        <v>1950</v>
      </c>
      <c r="F86" s="22" t="s">
        <v>2342</v>
      </c>
      <c r="G86" s="22" t="s">
        <v>352</v>
      </c>
      <c r="H86" s="27"/>
    </row>
    <row r="87">
      <c r="A87" s="10" t="s">
        <v>215</v>
      </c>
      <c r="B87" s="29" t="s">
        <v>417</v>
      </c>
      <c r="C87" s="29" t="s">
        <v>222</v>
      </c>
      <c r="D87" s="29" t="s">
        <v>419</v>
      </c>
      <c r="E87" s="29" t="s">
        <v>222</v>
      </c>
      <c r="F87" s="29" t="s">
        <v>231</v>
      </c>
      <c r="G87" s="29" t="s">
        <v>419</v>
      </c>
      <c r="H87" s="27"/>
    </row>
    <row r="88">
      <c r="A88" s="15" t="s">
        <v>224</v>
      </c>
      <c r="B88" s="22" t="s">
        <v>361</v>
      </c>
      <c r="C88" s="22" t="s">
        <v>697</v>
      </c>
      <c r="D88" s="22" t="s">
        <v>371</v>
      </c>
      <c r="E88" s="22" t="s">
        <v>1953</v>
      </c>
      <c r="F88" s="22" t="s">
        <v>2268</v>
      </c>
      <c r="G88" s="22" t="s">
        <v>2601</v>
      </c>
      <c r="H88" s="27"/>
    </row>
    <row r="89">
      <c r="A89" s="30"/>
      <c r="B89" s="22" t="s">
        <v>2555</v>
      </c>
      <c r="C89" s="22" t="s">
        <v>815</v>
      </c>
      <c r="D89" s="22" t="s">
        <v>360</v>
      </c>
      <c r="E89" s="22" t="s">
        <v>1958</v>
      </c>
      <c r="F89" s="22" t="s">
        <v>2491</v>
      </c>
      <c r="G89" s="22" t="s">
        <v>2040</v>
      </c>
      <c r="H89" s="27"/>
    </row>
    <row r="90">
      <c r="A90" s="30"/>
      <c r="B90" s="22" t="s">
        <v>1958</v>
      </c>
      <c r="C90" s="22" t="s">
        <v>1955</v>
      </c>
      <c r="D90" s="22" t="s">
        <v>2307</v>
      </c>
      <c r="E90" s="22" t="s">
        <v>2040</v>
      </c>
      <c r="F90" s="22" t="s">
        <v>1460</v>
      </c>
      <c r="G90" s="22" t="s">
        <v>2555</v>
      </c>
      <c r="H90" s="27"/>
    </row>
    <row r="91">
      <c r="A91" s="25"/>
      <c r="B91" s="22" t="s">
        <v>1366</v>
      </c>
      <c r="C91" s="22" t="s">
        <v>581</v>
      </c>
      <c r="D91" s="22" t="s">
        <v>2864</v>
      </c>
      <c r="E91" s="22" t="s">
        <v>357</v>
      </c>
      <c r="F91" s="22" t="s">
        <v>808</v>
      </c>
      <c r="G91" s="22" t="s">
        <v>1363</v>
      </c>
      <c r="H91" s="31"/>
      <c r="I91" s="32"/>
    </row>
    <row r="92">
      <c r="A92" s="10" t="s">
        <v>5</v>
      </c>
      <c r="B92" s="11" t="s">
        <v>3214</v>
      </c>
      <c r="C92" s="9"/>
      <c r="D92" s="9"/>
      <c r="E92" s="9"/>
      <c r="F92" s="9"/>
      <c r="G92" s="9"/>
      <c r="H92" s="9"/>
      <c r="I92" s="14"/>
    </row>
    <row r="93" ht="60.0" customHeight="1">
      <c r="A93" s="15" t="s">
        <v>16</v>
      </c>
      <c r="B93" s="22" t="str">
        <f t="array" ref="B93">iferror(VLOOKUP(INDIRECT(ADDRESS(ROW()+1,COLUMN(), 4)),Dex!$A$2:$C335,3,false),"")</f>
        <v/>
      </c>
      <c r="C93" s="22" t="str">
        <f t="array" ref="C93">iferror(VLOOKUP(INDIRECT(ADDRESS(ROW()+1,COLUMN(), 4)),Dex!$A$2:$C335,3,false),"")</f>
        <v/>
      </c>
      <c r="D93" s="22" t="str">
        <f t="array" ref="D93">iferror(VLOOKUP(INDIRECT(ADDRESS(ROW()+1,COLUMN(), 4)),Dex!$A$2:$C335,3,false),"")</f>
        <v/>
      </c>
      <c r="E93" s="22" t="str">
        <f t="array" ref="E93">iferror(VLOOKUP(INDIRECT(ADDRESS(ROW()+1,COLUMN(), 4)),Dex!$A$2:$C335,3,false),"")</f>
        <v/>
      </c>
      <c r="F93" s="22" t="str">
        <f t="array" ref="F93">iferror(VLOOKUP(INDIRECT(ADDRESS(ROW()+1,COLUMN(), 4)),Dex!$A$2:$C335,3,false),"")</f>
        <v/>
      </c>
      <c r="G93" s="22" t="str">
        <f t="array" ref="G93">iferror(VLOOKUP(INDIRECT(ADDRESS(ROW()+1,COLUMN(), 4)),Dex!$A$2:$C335,3,false),"")</f>
        <v/>
      </c>
      <c r="H93" s="23" t="str">
        <f t="array" ref="H93">iferror(VLOOKUP("TRAINER_PIC_Youngster",Sprites!$A$1:$B335,2,false),"")</f>
        <v/>
      </c>
      <c r="I93" s="24"/>
    </row>
    <row r="94">
      <c r="A94" s="25"/>
      <c r="B94" s="26" t="s">
        <v>921</v>
      </c>
      <c r="C94" s="26" t="s">
        <v>2184</v>
      </c>
      <c r="D94" s="26" t="s">
        <v>678</v>
      </c>
      <c r="E94" s="26" t="s">
        <v>2236</v>
      </c>
      <c r="F94" s="26" t="s">
        <v>886</v>
      </c>
      <c r="G94" s="26" t="s">
        <v>1008</v>
      </c>
      <c r="H94" s="27"/>
    </row>
    <row r="95">
      <c r="A95" s="10" t="s">
        <v>199</v>
      </c>
      <c r="B95" s="22">
        <v>98.0</v>
      </c>
      <c r="C95" s="22">
        <v>97.0</v>
      </c>
      <c r="D95" s="22">
        <v>98.0</v>
      </c>
      <c r="E95" s="22">
        <v>98.0</v>
      </c>
      <c r="F95" s="22">
        <v>97.0</v>
      </c>
      <c r="G95" s="22">
        <v>99.0</v>
      </c>
      <c r="H95" s="27"/>
    </row>
    <row r="96">
      <c r="A96" s="10" t="s">
        <v>201</v>
      </c>
      <c r="B96" s="29" t="s">
        <v>408</v>
      </c>
      <c r="C96" s="29" t="s">
        <v>206</v>
      </c>
      <c r="D96" s="29" t="s">
        <v>3222</v>
      </c>
      <c r="E96" s="29" t="s">
        <v>1546</v>
      </c>
      <c r="F96" s="29" t="s">
        <v>1015</v>
      </c>
      <c r="G96" s="29" t="s">
        <v>2493</v>
      </c>
      <c r="H96" s="27"/>
    </row>
    <row r="97">
      <c r="A97" s="10" t="s">
        <v>209</v>
      </c>
      <c r="B97" s="22" t="s">
        <v>2840</v>
      </c>
      <c r="C97" s="22" t="s">
        <v>785</v>
      </c>
      <c r="D97" s="22" t="s">
        <v>2325</v>
      </c>
      <c r="E97" s="22" t="s">
        <v>2959</v>
      </c>
      <c r="F97" s="22" t="s">
        <v>909</v>
      </c>
      <c r="G97" s="22" t="s">
        <v>3069</v>
      </c>
      <c r="H97" s="27"/>
    </row>
    <row r="98">
      <c r="A98" s="10" t="s">
        <v>215</v>
      </c>
      <c r="B98" s="29" t="s">
        <v>231</v>
      </c>
      <c r="C98" s="29" t="s">
        <v>220</v>
      </c>
      <c r="D98" s="29" t="s">
        <v>231</v>
      </c>
      <c r="E98" s="29" t="s">
        <v>222</v>
      </c>
      <c r="F98" s="29" t="s">
        <v>564</v>
      </c>
      <c r="G98" s="29" t="s">
        <v>231</v>
      </c>
      <c r="H98" s="27"/>
    </row>
    <row r="99">
      <c r="A99" s="15" t="s">
        <v>224</v>
      </c>
      <c r="B99" s="22" t="s">
        <v>361</v>
      </c>
      <c r="C99" s="22" t="s">
        <v>549</v>
      </c>
      <c r="D99" s="22" t="s">
        <v>549</v>
      </c>
      <c r="E99" s="22" t="s">
        <v>2394</v>
      </c>
      <c r="F99" s="22" t="s">
        <v>1891</v>
      </c>
      <c r="G99" s="22" t="s">
        <v>795</v>
      </c>
      <c r="H99" s="27"/>
    </row>
    <row r="100">
      <c r="A100" s="30"/>
      <c r="B100" s="22" t="s">
        <v>570</v>
      </c>
      <c r="C100" s="22" t="s">
        <v>477</v>
      </c>
      <c r="D100" s="22" t="s">
        <v>2634</v>
      </c>
      <c r="E100" s="22" t="s">
        <v>3077</v>
      </c>
      <c r="F100" s="22" t="s">
        <v>935</v>
      </c>
      <c r="G100" s="22" t="s">
        <v>3223</v>
      </c>
      <c r="H100" s="27"/>
    </row>
    <row r="101">
      <c r="A101" s="30"/>
      <c r="B101" s="22" t="s">
        <v>477</v>
      </c>
      <c r="C101" s="22" t="s">
        <v>652</v>
      </c>
      <c r="D101" s="22" t="s">
        <v>2565</v>
      </c>
      <c r="E101" s="22" t="s">
        <v>229</v>
      </c>
      <c r="F101" s="22" t="s">
        <v>424</v>
      </c>
      <c r="G101" s="22" t="s">
        <v>363</v>
      </c>
      <c r="H101" s="27"/>
    </row>
    <row r="102">
      <c r="A102" s="25"/>
      <c r="B102" s="22" t="s">
        <v>796</v>
      </c>
      <c r="C102" s="22" t="s">
        <v>366</v>
      </c>
      <c r="D102" s="22" t="s">
        <v>2976</v>
      </c>
      <c r="E102" s="22" t="s">
        <v>424</v>
      </c>
      <c r="F102" s="22" t="s">
        <v>804</v>
      </c>
      <c r="G102" s="22" t="s">
        <v>1460</v>
      </c>
      <c r="H102" s="31"/>
      <c r="I102" s="32"/>
    </row>
    <row r="103">
      <c r="A103" s="10" t="s">
        <v>5</v>
      </c>
      <c r="B103" s="11" t="s">
        <v>3226</v>
      </c>
      <c r="C103" s="12"/>
      <c r="D103" s="12"/>
      <c r="E103" s="12"/>
      <c r="F103" s="12"/>
      <c r="G103" s="12"/>
      <c r="H103" s="12"/>
      <c r="I103" s="13"/>
    </row>
    <row r="104" ht="60.0" customHeight="1">
      <c r="A104" s="15" t="s">
        <v>16</v>
      </c>
      <c r="B104" s="22" t="str">
        <f t="array" ref="B104">iferror(VLOOKUP(INDIRECT(ADDRESS(ROW()+1,COLUMN(), 4)),Dex!$A$2:$C335,3,false),"")</f>
        <v/>
      </c>
      <c r="C104" s="22" t="str">
        <f t="array" ref="C104">iferror(VLOOKUP(INDIRECT(ADDRESS(ROW()+1,COLUMN(), 4)),Dex!$A$2:$C335,3,false),"")</f>
        <v/>
      </c>
      <c r="D104" s="22" t="str">
        <f t="array" ref="D104">iferror(VLOOKUP(INDIRECT(ADDRESS(ROW()+1,COLUMN(), 4)),Dex!$A$2:$C335,3,false),"")</f>
        <v/>
      </c>
      <c r="E104" s="22" t="str">
        <f t="array" ref="E104">iferror(VLOOKUP(INDIRECT(ADDRESS(ROW()+1,COLUMN(), 4)),Dex!$A$2:$C335,3,false),"")</f>
        <v/>
      </c>
      <c r="F104" s="22" t="str">
        <f t="array" ref="F104">iferror(VLOOKUP(INDIRECT(ADDRESS(ROW()+1,COLUMN(), 4)),Dex!$A$2:$C335,3,false),"")</f>
        <v/>
      </c>
      <c r="G104" s="22" t="str">
        <f t="array" ref="G104">iferror(VLOOKUP(INDIRECT(ADDRESS(ROW()+1,COLUMN(), 4)),Dex!$A$2:$C335,3,false),"")</f>
        <v/>
      </c>
      <c r="H104" s="23" t="str">
        <f t="array" ref="H104">iferror(VLOOKUP("TRAINER_PIC_Leaf",Sprites!$A$1:$B335,2,false),"")</f>
        <v/>
      </c>
      <c r="I104" s="24"/>
    </row>
    <row r="105">
      <c r="A105" s="25"/>
      <c r="B105" s="26" t="s">
        <v>1572</v>
      </c>
      <c r="C105" s="26" t="s">
        <v>1071</v>
      </c>
      <c r="D105" s="26" t="s">
        <v>992</v>
      </c>
      <c r="E105" s="26" t="s">
        <v>672</v>
      </c>
      <c r="F105" s="26" t="s">
        <v>916</v>
      </c>
      <c r="G105" s="26" t="s">
        <v>1967</v>
      </c>
      <c r="H105" s="27"/>
    </row>
    <row r="106">
      <c r="A106" s="10" t="s">
        <v>199</v>
      </c>
      <c r="B106" s="22">
        <v>97.0</v>
      </c>
      <c r="C106" s="22">
        <v>98.0</v>
      </c>
      <c r="D106" s="22">
        <v>98.0</v>
      </c>
      <c r="E106" s="22">
        <v>99.0</v>
      </c>
      <c r="F106" s="22">
        <v>99.0</v>
      </c>
      <c r="G106" s="22">
        <v>99.0</v>
      </c>
      <c r="H106" s="27"/>
    </row>
    <row r="107">
      <c r="A107" s="10" t="s">
        <v>201</v>
      </c>
      <c r="B107" s="29" t="s">
        <v>644</v>
      </c>
      <c r="C107" s="29" t="s">
        <v>2409</v>
      </c>
      <c r="D107" s="29" t="s">
        <v>408</v>
      </c>
      <c r="E107" s="29" t="s">
        <v>2443</v>
      </c>
      <c r="F107" s="29" t="s">
        <v>206</v>
      </c>
      <c r="G107" s="29" t="s">
        <v>3207</v>
      </c>
      <c r="H107" s="27"/>
    </row>
    <row r="108">
      <c r="A108" s="10" t="s">
        <v>209</v>
      </c>
      <c r="B108" s="22" t="s">
        <v>221</v>
      </c>
      <c r="C108" s="22" t="s">
        <v>2377</v>
      </c>
      <c r="D108" s="22" t="s">
        <v>413</v>
      </c>
      <c r="E108" s="22" t="s">
        <v>1283</v>
      </c>
      <c r="F108" s="22" t="s">
        <v>2638</v>
      </c>
      <c r="G108" s="22" t="s">
        <v>1763</v>
      </c>
      <c r="H108" s="27"/>
    </row>
    <row r="109">
      <c r="A109" s="10" t="s">
        <v>215</v>
      </c>
      <c r="B109" s="29" t="s">
        <v>904</v>
      </c>
      <c r="C109" s="29" t="s">
        <v>231</v>
      </c>
      <c r="D109" s="29" t="s">
        <v>419</v>
      </c>
      <c r="E109" s="29" t="s">
        <v>419</v>
      </c>
      <c r="F109" s="29" t="s">
        <v>1346</v>
      </c>
      <c r="G109" s="29" t="s">
        <v>231</v>
      </c>
      <c r="H109" s="27"/>
    </row>
    <row r="110">
      <c r="A110" s="15" t="s">
        <v>224</v>
      </c>
      <c r="B110" s="22" t="s">
        <v>570</v>
      </c>
      <c r="C110" s="22" t="s">
        <v>2640</v>
      </c>
      <c r="D110" s="22" t="s">
        <v>815</v>
      </c>
      <c r="E110" s="22" t="s">
        <v>577</v>
      </c>
      <c r="F110" s="22" t="s">
        <v>2647</v>
      </c>
      <c r="G110" s="22" t="s">
        <v>1352</v>
      </c>
      <c r="H110" s="27"/>
    </row>
    <row r="111">
      <c r="A111" s="30"/>
      <c r="B111" s="22" t="s">
        <v>2490</v>
      </c>
      <c r="C111" s="22" t="s">
        <v>477</v>
      </c>
      <c r="D111" s="22" t="s">
        <v>924</v>
      </c>
      <c r="E111" s="22" t="s">
        <v>2578</v>
      </c>
      <c r="F111" s="22" t="s">
        <v>473</v>
      </c>
      <c r="G111" s="22" t="s">
        <v>1893</v>
      </c>
      <c r="H111" s="27"/>
    </row>
    <row r="112">
      <c r="A112" s="30"/>
      <c r="B112" s="22" t="s">
        <v>1037</v>
      </c>
      <c r="C112" s="22" t="s">
        <v>796</v>
      </c>
      <c r="D112" s="22" t="s">
        <v>581</v>
      </c>
      <c r="E112" s="22" t="s">
        <v>926</v>
      </c>
      <c r="F112" s="22" t="s">
        <v>477</v>
      </c>
      <c r="G112" s="22" t="s">
        <v>477</v>
      </c>
      <c r="H112" s="27"/>
    </row>
    <row r="113">
      <c r="A113" s="25"/>
      <c r="B113" s="22" t="s">
        <v>1040</v>
      </c>
      <c r="C113" s="22" t="s">
        <v>951</v>
      </c>
      <c r="D113" s="22" t="s">
        <v>2490</v>
      </c>
      <c r="E113" s="22" t="s">
        <v>2386</v>
      </c>
      <c r="F113" s="22" t="s">
        <v>2814</v>
      </c>
      <c r="G113" s="22" t="s">
        <v>549</v>
      </c>
      <c r="H113" s="31"/>
      <c r="I113" s="32"/>
    </row>
    <row r="114">
      <c r="A114" s="10" t="s">
        <v>5</v>
      </c>
      <c r="B114" s="11" t="s">
        <v>3241</v>
      </c>
      <c r="C114" s="12"/>
      <c r="D114" s="12"/>
      <c r="E114" s="12"/>
      <c r="F114" s="12"/>
      <c r="G114" s="12"/>
      <c r="H114" s="12"/>
      <c r="I114" s="13"/>
    </row>
    <row r="115" ht="60.0" customHeight="1">
      <c r="A115" s="15" t="s">
        <v>16</v>
      </c>
      <c r="B115" s="22" t="str">
        <f t="array" ref="B115">iferror(VLOOKUP(INDIRECT(ADDRESS(ROW()+1,COLUMN(), 4)),Dex!$A$2:$C335,3,false),"")</f>
        <v/>
      </c>
      <c r="C115" s="22" t="str">
        <f t="array" ref="C115">iferror(VLOOKUP(INDIRECT(ADDRESS(ROW()+1,COLUMN(), 4)),Dex!$A$2:$C335,3,false),"")</f>
        <v/>
      </c>
      <c r="D115" s="22" t="str">
        <f t="array" ref="D115">iferror(VLOOKUP(INDIRECT(ADDRESS(ROW()+1,COLUMN(), 4)),Dex!$A$2:$C335,3,false),"")</f>
        <v/>
      </c>
      <c r="E115" s="22" t="str">
        <f t="array" ref="E115">iferror(VLOOKUP(INDIRECT(ADDRESS(ROW()+1,COLUMN(), 4)),Dex!$A$2:$C335,3,false),"")</f>
        <v/>
      </c>
      <c r="F115" s="22" t="str">
        <f t="array" ref="F115">iferror(VLOOKUP(INDIRECT(ADDRESS(ROW()+1,COLUMN(), 4)),Dex!$A$2:$C335,3,false),"")</f>
        <v/>
      </c>
      <c r="G115" s="22" t="str">
        <f t="array" ref="G115">iferror(VLOOKUP(INDIRECT(ADDRESS(ROW()+1,COLUMN(), 4)),Dex!$A$2:$C335,3,false),"")</f>
        <v/>
      </c>
      <c r="H115" s="23" t="str">
        <f t="array" ref="H115">iferror(VLOOKUP("TRAINER_PIC_Twins",Sprites!$A$1:$B335,2,false),"")</f>
        <v/>
      </c>
      <c r="I115" s="24"/>
    </row>
    <row r="116">
      <c r="A116" s="25"/>
      <c r="B116" s="26" t="s">
        <v>1731</v>
      </c>
      <c r="C116" s="26" t="s">
        <v>688</v>
      </c>
      <c r="D116" s="26" t="s">
        <v>1966</v>
      </c>
      <c r="E116" s="26" t="s">
        <v>1396</v>
      </c>
      <c r="F116" s="26" t="s">
        <v>1425</v>
      </c>
      <c r="G116" s="26" t="s">
        <v>462</v>
      </c>
      <c r="H116" s="27"/>
    </row>
    <row r="117">
      <c r="A117" s="10" t="s">
        <v>199</v>
      </c>
      <c r="B117" s="22">
        <v>99.0</v>
      </c>
      <c r="C117" s="22">
        <v>98.0</v>
      </c>
      <c r="D117" s="22">
        <v>99.0</v>
      </c>
      <c r="E117" s="22" t="s">
        <v>3250</v>
      </c>
      <c r="F117" s="22">
        <v>98.0</v>
      </c>
      <c r="G117" s="22">
        <v>99.0</v>
      </c>
      <c r="H117" s="27"/>
    </row>
    <row r="118">
      <c r="A118" s="10" t="s">
        <v>201</v>
      </c>
      <c r="B118" s="29" t="s">
        <v>2032</v>
      </c>
      <c r="C118" s="29" t="s">
        <v>3106</v>
      </c>
      <c r="D118" s="29" t="s">
        <v>408</v>
      </c>
      <c r="E118" s="29" t="s">
        <v>3251</v>
      </c>
      <c r="F118" s="29" t="s">
        <v>205</v>
      </c>
      <c r="G118" s="29" t="s">
        <v>1635</v>
      </c>
      <c r="H118" s="27"/>
    </row>
    <row r="119">
      <c r="A119" s="10" t="s">
        <v>209</v>
      </c>
      <c r="B119" s="22" t="s">
        <v>2569</v>
      </c>
      <c r="C119" s="22" t="s">
        <v>1152</v>
      </c>
      <c r="D119" s="22" t="s">
        <v>1152</v>
      </c>
      <c r="E119" s="22" t="s">
        <v>413</v>
      </c>
      <c r="F119" s="22" t="s">
        <v>553</v>
      </c>
      <c r="G119" s="22" t="s">
        <v>648</v>
      </c>
      <c r="H119" s="27"/>
    </row>
    <row r="120">
      <c r="A120" s="10" t="s">
        <v>215</v>
      </c>
      <c r="B120" s="29" t="s">
        <v>419</v>
      </c>
      <c r="C120" s="29" t="s">
        <v>231</v>
      </c>
      <c r="D120" s="29" t="s">
        <v>419</v>
      </c>
      <c r="E120" s="29" t="s">
        <v>419</v>
      </c>
      <c r="F120" s="29" t="s">
        <v>220</v>
      </c>
      <c r="G120" s="29" t="s">
        <v>419</v>
      </c>
      <c r="H120" s="27"/>
    </row>
    <row r="121">
      <c r="A121" s="15" t="s">
        <v>224</v>
      </c>
      <c r="B121" s="22" t="s">
        <v>3148</v>
      </c>
      <c r="C121" s="22" t="s">
        <v>356</v>
      </c>
      <c r="D121" s="22" t="s">
        <v>3163</v>
      </c>
      <c r="E121" s="22" t="s">
        <v>2654</v>
      </c>
      <c r="F121" s="22" t="s">
        <v>1457</v>
      </c>
      <c r="G121" s="22" t="s">
        <v>1891</v>
      </c>
      <c r="H121" s="27"/>
    </row>
    <row r="122">
      <c r="A122" s="30"/>
      <c r="B122" s="22" t="s">
        <v>1551</v>
      </c>
      <c r="C122" s="22" t="s">
        <v>587</v>
      </c>
      <c r="D122" s="22" t="s">
        <v>1363</v>
      </c>
      <c r="E122" s="22" t="s">
        <v>585</v>
      </c>
      <c r="F122" s="22" t="s">
        <v>473</v>
      </c>
      <c r="G122" s="22" t="s">
        <v>654</v>
      </c>
      <c r="H122" s="27"/>
    </row>
    <row r="123">
      <c r="A123" s="30"/>
      <c r="B123" s="22" t="s">
        <v>654</v>
      </c>
      <c r="C123" s="22" t="s">
        <v>700</v>
      </c>
      <c r="D123" s="22" t="s">
        <v>815</v>
      </c>
      <c r="E123" s="22" t="s">
        <v>814</v>
      </c>
      <c r="F123" s="22" t="s">
        <v>702</v>
      </c>
      <c r="G123" s="22" t="s">
        <v>2115</v>
      </c>
      <c r="H123" s="27"/>
    </row>
    <row r="124">
      <c r="A124" s="25"/>
      <c r="B124" s="22" t="s">
        <v>2651</v>
      </c>
      <c r="C124" s="22" t="s">
        <v>1043</v>
      </c>
      <c r="D124" s="22" t="s">
        <v>950</v>
      </c>
      <c r="E124" s="22" t="s">
        <v>938</v>
      </c>
      <c r="F124" s="22" t="s">
        <v>1043</v>
      </c>
      <c r="G124" s="22" t="s">
        <v>1955</v>
      </c>
      <c r="H124" s="31"/>
      <c r="I124" s="32"/>
    </row>
    <row r="125">
      <c r="A125" s="10" t="s">
        <v>5</v>
      </c>
      <c r="B125" s="11" t="s">
        <v>3252</v>
      </c>
      <c r="C125" s="12"/>
      <c r="D125" s="12"/>
      <c r="E125" s="12"/>
      <c r="F125" s="12"/>
      <c r="G125" s="12"/>
      <c r="H125" s="12"/>
      <c r="I125" s="13"/>
    </row>
    <row r="126" ht="60.0" customHeight="1">
      <c r="A126" s="15" t="s">
        <v>16</v>
      </c>
      <c r="B126" s="22" t="str">
        <f t="array" ref="B126">iferror(VLOOKUP(INDIRECT(ADDRESS(ROW()+1,COLUMN(), 4)),Dex!$A$2:$C335,3,false),"")</f>
        <v/>
      </c>
      <c r="C126" s="22" t="str">
        <f t="array" ref="C126">iferror(VLOOKUP(INDIRECT(ADDRESS(ROW()+1,COLUMN(), 4)),Dex!$A$2:$C335,3,false),"")</f>
        <v/>
      </c>
      <c r="D126" s="22" t="str">
        <f t="array" ref="D126">iferror(VLOOKUP(INDIRECT(ADDRESS(ROW()+1,COLUMN(), 4)),Dex!$A$2:$C335,3,false),"")</f>
        <v/>
      </c>
      <c r="E126" s="22" t="str">
        <f t="array" ref="E126">iferror(VLOOKUP(INDIRECT(ADDRESS(ROW()+1,COLUMN(), 4)),Dex!$A$2:$C335,3,false),"")</f>
        <v/>
      </c>
      <c r="F126" s="22" t="str">
        <f t="array" ref="F126">iferror(VLOOKUP(INDIRECT(ADDRESS(ROW()+1,COLUMN(), 4)),Dex!$A$2:$C335,3,false),"")</f>
        <v/>
      </c>
      <c r="G126" s="22" t="str">
        <f t="array" ref="G126">iferror(VLOOKUP(INDIRECT(ADDRESS(ROW()+1,COLUMN(), 4)),Dex!$A$2:$C335,3,false),"")</f>
        <v/>
      </c>
      <c r="H126" s="23" t="str">
        <f t="array" ref="H126">iferror(VLOOKUP("TRAINER_PIC_Elite_Four_Glacia",Sprites!$A$1:$B335,2,false),"")</f>
        <v/>
      </c>
      <c r="I126" s="24"/>
    </row>
    <row r="127">
      <c r="A127" s="25"/>
      <c r="B127" s="26" t="s">
        <v>857</v>
      </c>
      <c r="C127" s="26" t="s">
        <v>1085</v>
      </c>
      <c r="D127" s="26" t="s">
        <v>1415</v>
      </c>
      <c r="E127" s="26" t="s">
        <v>1621</v>
      </c>
      <c r="F127" s="26" t="s">
        <v>1627</v>
      </c>
      <c r="G127" s="26" t="s">
        <v>1951</v>
      </c>
      <c r="H127" s="27"/>
    </row>
    <row r="128">
      <c r="A128" s="10" t="s">
        <v>199</v>
      </c>
      <c r="B128" s="22">
        <v>99.0</v>
      </c>
      <c r="C128" s="22">
        <v>99.0</v>
      </c>
      <c r="D128" s="22">
        <v>99.0</v>
      </c>
      <c r="E128" s="22">
        <v>99.0</v>
      </c>
      <c r="F128" s="22">
        <v>99.0</v>
      </c>
      <c r="G128" s="22">
        <v>100.0</v>
      </c>
      <c r="H128" s="27"/>
    </row>
    <row r="129">
      <c r="A129" s="10" t="s">
        <v>201</v>
      </c>
      <c r="B129" s="29" t="s">
        <v>1639</v>
      </c>
      <c r="C129" s="29" t="s">
        <v>408</v>
      </c>
      <c r="D129" s="29" t="s">
        <v>1928</v>
      </c>
      <c r="E129" s="29" t="s">
        <v>1635</v>
      </c>
      <c r="F129" s="29" t="s">
        <v>455</v>
      </c>
      <c r="G129" s="29" t="s">
        <v>1521</v>
      </c>
      <c r="H129" s="27"/>
    </row>
    <row r="130">
      <c r="A130" s="10" t="s">
        <v>209</v>
      </c>
      <c r="B130" s="22" t="s">
        <v>1643</v>
      </c>
      <c r="C130" s="22" t="s">
        <v>1527</v>
      </c>
      <c r="D130" s="22" t="s">
        <v>3059</v>
      </c>
      <c r="E130" s="22" t="s">
        <v>1448</v>
      </c>
      <c r="F130" s="22" t="s">
        <v>1017</v>
      </c>
      <c r="G130" s="22" t="s">
        <v>3164</v>
      </c>
      <c r="H130" s="27"/>
    </row>
    <row r="131">
      <c r="A131" s="10" t="s">
        <v>215</v>
      </c>
      <c r="B131" s="29" t="s">
        <v>218</v>
      </c>
      <c r="C131" s="29" t="s">
        <v>231</v>
      </c>
      <c r="D131" s="29" t="s">
        <v>419</v>
      </c>
      <c r="E131" s="29" t="s">
        <v>231</v>
      </c>
      <c r="F131" s="29" t="s">
        <v>1346</v>
      </c>
      <c r="G131" s="29" t="s">
        <v>904</v>
      </c>
      <c r="H131" s="27"/>
    </row>
    <row r="132">
      <c r="A132" s="15" t="s">
        <v>224</v>
      </c>
      <c r="B132" s="22" t="s">
        <v>570</v>
      </c>
      <c r="C132" s="22" t="s">
        <v>361</v>
      </c>
      <c r="D132" s="22" t="s">
        <v>2578</v>
      </c>
      <c r="E132" s="22" t="s">
        <v>1650</v>
      </c>
      <c r="F132" s="22" t="s">
        <v>2968</v>
      </c>
      <c r="G132" s="22" t="s">
        <v>3258</v>
      </c>
      <c r="H132" s="27"/>
    </row>
    <row r="133">
      <c r="A133" s="30"/>
      <c r="B133" s="22" t="s">
        <v>1348</v>
      </c>
      <c r="C133" s="22" t="s">
        <v>356</v>
      </c>
      <c r="D133" s="22" t="s">
        <v>1363</v>
      </c>
      <c r="E133" s="22" t="s">
        <v>1662</v>
      </c>
      <c r="F133" s="22" t="s">
        <v>463</v>
      </c>
      <c r="G133" s="22" t="s">
        <v>796</v>
      </c>
      <c r="H133" s="27"/>
    </row>
    <row r="134">
      <c r="A134" s="30"/>
      <c r="B134" s="22" t="s">
        <v>1127</v>
      </c>
      <c r="C134" s="22" t="s">
        <v>2640</v>
      </c>
      <c r="D134" s="22" t="s">
        <v>3048</v>
      </c>
      <c r="E134" s="22" t="s">
        <v>1549</v>
      </c>
      <c r="F134" s="22" t="s">
        <v>1658</v>
      </c>
      <c r="G134" s="22" t="s">
        <v>473</v>
      </c>
      <c r="H134" s="27"/>
    </row>
    <row r="135">
      <c r="A135" s="25"/>
      <c r="B135" s="22" t="s">
        <v>1366</v>
      </c>
      <c r="C135" s="22" t="s">
        <v>1542</v>
      </c>
      <c r="D135" s="22" t="s">
        <v>3259</v>
      </c>
      <c r="E135" s="22" t="s">
        <v>1356</v>
      </c>
      <c r="F135" s="22" t="s">
        <v>555</v>
      </c>
      <c r="G135" s="22" t="s">
        <v>431</v>
      </c>
      <c r="H135" s="31"/>
      <c r="I135" s="32"/>
    </row>
    <row r="136">
      <c r="A136" s="53" t="s">
        <v>3260</v>
      </c>
      <c r="B136" s="9"/>
      <c r="C136" s="9"/>
      <c r="D136" s="9"/>
      <c r="E136" s="9"/>
      <c r="F136" s="9"/>
      <c r="G136" s="9"/>
      <c r="H136" s="9"/>
      <c r="I136" s="34"/>
    </row>
    <row r="137">
      <c r="A137" s="10" t="s">
        <v>5</v>
      </c>
      <c r="B137" s="11" t="s">
        <v>3262</v>
      </c>
      <c r="C137" s="9"/>
      <c r="D137" s="9"/>
      <c r="E137" s="9"/>
      <c r="F137" s="9"/>
      <c r="G137" s="9"/>
      <c r="H137" s="9"/>
      <c r="I137" s="13"/>
    </row>
    <row r="138" ht="60.0" customHeight="1">
      <c r="A138" s="15" t="s">
        <v>16</v>
      </c>
      <c r="B138" s="22" t="str">
        <f t="array" ref="B138">iferror(VLOOKUP(INDIRECT(ADDRESS(ROW()+1,COLUMN(), 4)),Dex!$A$2:$C335,3,false),"")</f>
        <v/>
      </c>
      <c r="C138" s="22" t="str">
        <f t="array" ref="C138">iferror(VLOOKUP(INDIRECT(ADDRESS(ROW()+1,COLUMN(), 4)),Dex!$A$2:$C335,3,false),"")</f>
        <v/>
      </c>
      <c r="D138" s="22" t="str">
        <f t="array" ref="D138">iferror(VLOOKUP(INDIRECT(ADDRESS(ROW()+1,COLUMN(), 4)),Dex!$A$2:$C335,3,false),"")</f>
        <v/>
      </c>
      <c r="E138" s="22" t="str">
        <f t="array" ref="E138">iferror(VLOOKUP(INDIRECT(ADDRESS(ROW()+1,COLUMN(), 4)),Dex!$A$2:$C335,3,false),"")</f>
        <v/>
      </c>
      <c r="F138" s="22" t="str">
        <f t="array" ref="F138">iferror(VLOOKUP(INDIRECT(ADDRESS(ROW()+1,COLUMN(), 4)),Dex!$A$2:$C335,3,false),"")</f>
        <v/>
      </c>
      <c r="G138" s="22" t="str">
        <f t="array" ref="G138">iferror(VLOOKUP(INDIRECT(ADDRESS(ROW()+1,COLUMN(), 4)),Dex!$A$2:$C335,3,false),"")</f>
        <v/>
      </c>
      <c r="H138" s="23" t="str">
        <f t="array" ref="H138">iferror(VLOOKUP("TRAINER_PIC_VR_Wally",Sprites!$A$1:$B335,2,false),"")</f>
        <v/>
      </c>
      <c r="I138" s="24"/>
    </row>
    <row r="139">
      <c r="A139" s="25"/>
      <c r="B139" s="26" t="s">
        <v>1879</v>
      </c>
      <c r="C139" s="26" t="s">
        <v>1391</v>
      </c>
      <c r="D139" s="26" t="s">
        <v>798</v>
      </c>
      <c r="E139" s="26" t="s">
        <v>1770</v>
      </c>
      <c r="F139" s="26" t="s">
        <v>971</v>
      </c>
      <c r="G139" s="26" t="s">
        <v>724</v>
      </c>
      <c r="H139" s="27"/>
    </row>
    <row r="140">
      <c r="A140" s="10" t="s">
        <v>199</v>
      </c>
      <c r="B140" s="22" t="s">
        <v>3231</v>
      </c>
      <c r="C140" s="22">
        <v>99.0</v>
      </c>
      <c r="D140" s="22">
        <v>98.0</v>
      </c>
      <c r="E140" s="22">
        <v>98.0</v>
      </c>
      <c r="F140" s="22">
        <v>99.0</v>
      </c>
      <c r="G140" s="22">
        <v>100.0</v>
      </c>
      <c r="H140" s="27"/>
    </row>
    <row r="141">
      <c r="A141" s="10" t="s">
        <v>201</v>
      </c>
      <c r="B141" s="29" t="s">
        <v>1122</v>
      </c>
      <c r="C141" s="29" t="s">
        <v>645</v>
      </c>
      <c r="D141" s="29" t="s">
        <v>206</v>
      </c>
      <c r="E141" s="29" t="s">
        <v>1242</v>
      </c>
      <c r="F141" s="29" t="s">
        <v>545</v>
      </c>
      <c r="G141" s="29" t="s">
        <v>3246</v>
      </c>
      <c r="H141" s="27"/>
    </row>
    <row r="142">
      <c r="A142" s="10" t="s">
        <v>209</v>
      </c>
      <c r="B142" s="22" t="s">
        <v>458</v>
      </c>
      <c r="C142" s="22" t="s">
        <v>788</v>
      </c>
      <c r="D142" s="22" t="s">
        <v>413</v>
      </c>
      <c r="E142" s="22" t="s">
        <v>541</v>
      </c>
      <c r="F142" s="22" t="s">
        <v>541</v>
      </c>
      <c r="G142" s="22" t="s">
        <v>2596</v>
      </c>
      <c r="H142" s="27"/>
    </row>
    <row r="143">
      <c r="A143" s="10" t="s">
        <v>215</v>
      </c>
      <c r="B143" s="29" t="s">
        <v>231</v>
      </c>
      <c r="C143" s="29" t="s">
        <v>904</v>
      </c>
      <c r="D143" s="29" t="s">
        <v>231</v>
      </c>
      <c r="E143" s="29" t="s">
        <v>231</v>
      </c>
      <c r="F143" s="29" t="s">
        <v>419</v>
      </c>
      <c r="G143" s="29" t="s">
        <v>419</v>
      </c>
      <c r="H143" s="27"/>
    </row>
    <row r="144">
      <c r="A144" s="15" t="s">
        <v>224</v>
      </c>
      <c r="B144" s="22" t="s">
        <v>1065</v>
      </c>
      <c r="C144" s="22" t="s">
        <v>428</v>
      </c>
      <c r="D144" s="22" t="s">
        <v>1460</v>
      </c>
      <c r="E144" s="22" t="s">
        <v>2907</v>
      </c>
      <c r="F144" s="22" t="s">
        <v>577</v>
      </c>
      <c r="G144" s="22" t="s">
        <v>1873</v>
      </c>
      <c r="H144" s="27"/>
    </row>
    <row r="145">
      <c r="A145" s="30"/>
      <c r="B145" s="22" t="s">
        <v>477</v>
      </c>
      <c r="C145" s="22" t="s">
        <v>1162</v>
      </c>
      <c r="D145" s="22" t="s">
        <v>356</v>
      </c>
      <c r="E145" s="22" t="s">
        <v>2634</v>
      </c>
      <c r="F145" s="22" t="s">
        <v>355</v>
      </c>
      <c r="G145" s="22" t="s">
        <v>3034</v>
      </c>
      <c r="H145" s="27"/>
    </row>
    <row r="146">
      <c r="A146" s="30"/>
      <c r="B146" s="22" t="s">
        <v>366</v>
      </c>
      <c r="C146" s="22" t="s">
        <v>940</v>
      </c>
      <c r="D146" s="22" t="s">
        <v>2513</v>
      </c>
      <c r="E146" s="22" t="s">
        <v>1999</v>
      </c>
      <c r="F146" s="22" t="s">
        <v>2862</v>
      </c>
      <c r="G146" s="22" t="s">
        <v>701</v>
      </c>
      <c r="H146" s="27"/>
    </row>
    <row r="147">
      <c r="A147" s="25"/>
      <c r="B147" s="22" t="s">
        <v>1352</v>
      </c>
      <c r="C147" s="22" t="s">
        <v>1354</v>
      </c>
      <c r="D147" s="22" t="s">
        <v>811</v>
      </c>
      <c r="E147" s="22" t="s">
        <v>1761</v>
      </c>
      <c r="F147" s="22" t="s">
        <v>2584</v>
      </c>
      <c r="G147" s="22" t="s">
        <v>1541</v>
      </c>
      <c r="H147" s="31"/>
      <c r="I147" s="32"/>
    </row>
    <row r="148">
      <c r="A148" s="10" t="s">
        <v>5</v>
      </c>
      <c r="B148" s="11" t="s">
        <v>3269</v>
      </c>
      <c r="C148" s="9"/>
      <c r="D148" s="9"/>
      <c r="E148" s="9"/>
      <c r="F148" s="9"/>
      <c r="G148" s="9"/>
      <c r="H148" s="9"/>
      <c r="I148" s="14"/>
    </row>
    <row r="149" ht="60.0" customHeight="1">
      <c r="A149" s="15" t="s">
        <v>16</v>
      </c>
      <c r="B149" s="22" t="str">
        <f t="array" ref="B149">iferror(VLOOKUP(INDIRECT(ADDRESS(ROW()+1,COLUMN(), 4)),Dex!$A$2:$C335,3,false),"")</f>
        <v/>
      </c>
      <c r="C149" s="22" t="str">
        <f t="array" ref="C149">iferror(VLOOKUP(INDIRECT(ADDRESS(ROW()+1,COLUMN(), 4)),Dex!$A$2:$C335,3,false),"")</f>
        <v/>
      </c>
      <c r="D149" s="22" t="str">
        <f t="array" ref="D149">iferror(VLOOKUP(INDIRECT(ADDRESS(ROW()+1,COLUMN(), 4)),Dex!$A$2:$C335,3,false),"")</f>
        <v/>
      </c>
      <c r="E149" s="22" t="str">
        <f t="array" ref="E149">iferror(VLOOKUP(INDIRECT(ADDRESS(ROW()+1,COLUMN(), 4)),Dex!$A$2:$C335,3,false),"")</f>
        <v/>
      </c>
      <c r="F149" s="22" t="str">
        <f t="array" ref="F149">iferror(VLOOKUP(INDIRECT(ADDRESS(ROW()+1,COLUMN(), 4)),Dex!$A$2:$C335,3,false),"")</f>
        <v/>
      </c>
      <c r="G149" s="22" t="str">
        <f t="array" ref="G149">iferror(VLOOKUP(INDIRECT(ADDRESS(ROW()+1,COLUMN(), 4)),Dex!$A$2:$C335,3,false),"")</f>
        <v/>
      </c>
      <c r="H149" s="23" t="str">
        <f t="array" ref="H149">iferror(VLOOKUP("TRAINER_PIC_VR_Wally",Sprites!$A$1:$B335,2,false),"")</f>
        <v/>
      </c>
      <c r="I149" s="24"/>
    </row>
    <row r="150">
      <c r="A150" s="25"/>
      <c r="B150" s="26" t="s">
        <v>1879</v>
      </c>
      <c r="C150" s="26" t="s">
        <v>1388</v>
      </c>
      <c r="D150" s="26" t="s">
        <v>798</v>
      </c>
      <c r="E150" s="26" t="s">
        <v>1764</v>
      </c>
      <c r="F150" s="26" t="s">
        <v>971</v>
      </c>
      <c r="G150" s="26" t="s">
        <v>1089</v>
      </c>
      <c r="H150" s="27"/>
    </row>
    <row r="151">
      <c r="A151" s="10" t="s">
        <v>199</v>
      </c>
      <c r="B151" s="22" t="s">
        <v>3231</v>
      </c>
      <c r="C151" s="22">
        <v>99.0</v>
      </c>
      <c r="D151" s="22">
        <v>98.0</v>
      </c>
      <c r="E151" s="22">
        <v>98.0</v>
      </c>
      <c r="F151" s="22">
        <v>99.0</v>
      </c>
      <c r="G151" s="22">
        <v>100.0</v>
      </c>
      <c r="H151" s="27"/>
    </row>
    <row r="152">
      <c r="A152" s="10" t="s">
        <v>201</v>
      </c>
      <c r="B152" s="29" t="s">
        <v>1279</v>
      </c>
      <c r="C152" s="29" t="s">
        <v>645</v>
      </c>
      <c r="D152" s="29" t="s">
        <v>206</v>
      </c>
      <c r="E152" s="29" t="s">
        <v>1242</v>
      </c>
      <c r="F152" s="29" t="s">
        <v>545</v>
      </c>
      <c r="G152" s="29" t="s">
        <v>3256</v>
      </c>
      <c r="H152" s="27"/>
    </row>
    <row r="153">
      <c r="A153" s="10" t="s">
        <v>209</v>
      </c>
      <c r="B153" s="22" t="s">
        <v>458</v>
      </c>
      <c r="C153" s="22" t="s">
        <v>352</v>
      </c>
      <c r="D153" s="22" t="s">
        <v>413</v>
      </c>
      <c r="E153" s="22" t="s">
        <v>3274</v>
      </c>
      <c r="F153" s="22" t="s">
        <v>541</v>
      </c>
      <c r="G153" s="22" t="s">
        <v>911</v>
      </c>
      <c r="H153" s="27"/>
    </row>
    <row r="154">
      <c r="A154" s="10" t="s">
        <v>215</v>
      </c>
      <c r="B154" s="29" t="s">
        <v>231</v>
      </c>
      <c r="C154" s="29" t="s">
        <v>904</v>
      </c>
      <c r="D154" s="29" t="s">
        <v>231</v>
      </c>
      <c r="E154" s="29" t="s">
        <v>222</v>
      </c>
      <c r="F154" s="29" t="s">
        <v>419</v>
      </c>
      <c r="G154" s="29" t="s">
        <v>231</v>
      </c>
      <c r="H154" s="27"/>
    </row>
    <row r="155">
      <c r="A155" s="15" t="s">
        <v>224</v>
      </c>
      <c r="B155" s="22" t="s">
        <v>1065</v>
      </c>
      <c r="C155" s="22" t="s">
        <v>476</v>
      </c>
      <c r="D155" s="22" t="s">
        <v>1460</v>
      </c>
      <c r="E155" s="22" t="s">
        <v>3248</v>
      </c>
      <c r="F155" s="22" t="s">
        <v>577</v>
      </c>
      <c r="G155" s="22" t="s">
        <v>1352</v>
      </c>
      <c r="H155" s="27"/>
    </row>
    <row r="156">
      <c r="A156" s="30"/>
      <c r="B156" s="22" t="s">
        <v>477</v>
      </c>
      <c r="C156" s="22" t="s">
        <v>2491</v>
      </c>
      <c r="D156" s="22" t="s">
        <v>356</v>
      </c>
      <c r="E156" s="22" t="s">
        <v>469</v>
      </c>
      <c r="F156" s="22" t="s">
        <v>355</v>
      </c>
      <c r="G156" s="22" t="s">
        <v>796</v>
      </c>
      <c r="H156" s="27"/>
    </row>
    <row r="157">
      <c r="A157" s="30"/>
      <c r="B157" s="22" t="s">
        <v>366</v>
      </c>
      <c r="C157" s="22" t="s">
        <v>1941</v>
      </c>
      <c r="D157" s="22" t="s">
        <v>2513</v>
      </c>
      <c r="E157" s="22" t="s">
        <v>1439</v>
      </c>
      <c r="F157" s="22" t="s">
        <v>2862</v>
      </c>
      <c r="G157" s="22" t="s">
        <v>477</v>
      </c>
      <c r="H157" s="27"/>
    </row>
    <row r="158">
      <c r="A158" s="25"/>
      <c r="B158" s="22" t="s">
        <v>1352</v>
      </c>
      <c r="C158" s="22" t="s">
        <v>1352</v>
      </c>
      <c r="D158" s="22" t="s">
        <v>811</v>
      </c>
      <c r="E158" s="22" t="s">
        <v>1048</v>
      </c>
      <c r="F158" s="22" t="s">
        <v>2584</v>
      </c>
      <c r="G158" s="22" t="s">
        <v>1541</v>
      </c>
      <c r="H158" s="31"/>
      <c r="I158" s="32"/>
    </row>
    <row r="159">
      <c r="A159" s="10" t="s">
        <v>5</v>
      </c>
      <c r="B159" s="11" t="s">
        <v>3275</v>
      </c>
      <c r="C159" s="9"/>
      <c r="D159" s="9"/>
      <c r="E159" s="9"/>
      <c r="F159" s="9"/>
      <c r="G159" s="9"/>
      <c r="H159" s="9"/>
      <c r="I159" s="14"/>
    </row>
    <row r="160" ht="60.0" customHeight="1">
      <c r="A160" s="15" t="s">
        <v>16</v>
      </c>
      <c r="B160" s="22" t="str">
        <f t="array" ref="B160">iferror(VLOOKUP(INDIRECT(ADDRESS(ROW()+1,COLUMN(), 4)),Dex!$A$2:$C335,3,false),"")</f>
        <v/>
      </c>
      <c r="C160" s="22" t="str">
        <f t="array" ref="C160">iferror(VLOOKUP(INDIRECT(ADDRESS(ROW()+1,COLUMN(), 4)),Dex!$A$2:$C335,3,false),"")</f>
        <v/>
      </c>
      <c r="D160" s="22" t="str">
        <f t="array" ref="D160">iferror(VLOOKUP(INDIRECT(ADDRESS(ROW()+1,COLUMN(), 4)),Dex!$A$2:$C335,3,false),"")</f>
        <v/>
      </c>
      <c r="E160" s="22" t="str">
        <f t="array" ref="E160">iferror(VLOOKUP(INDIRECT(ADDRESS(ROW()+1,COLUMN(), 4)),Dex!$A$2:$C335,3,false),"")</f>
        <v/>
      </c>
      <c r="F160" s="22" t="str">
        <f t="array" ref="F160">iferror(VLOOKUP(INDIRECT(ADDRESS(ROW()+1,COLUMN(), 4)),Dex!$A$2:$C335,3,false),"")</f>
        <v/>
      </c>
      <c r="G160" s="22" t="str">
        <f t="array" ref="G160">iferror(VLOOKUP(INDIRECT(ADDRESS(ROW()+1,COLUMN(), 4)),Dex!$A$2:$C335,3,false),"")</f>
        <v/>
      </c>
      <c r="H160" s="23" t="str">
        <f t="array" ref="H160">iferror(VLOOKUP("TRAINER_PIC_VR_Wally",Sprites!$A$1:$B335,2,false),"")</f>
        <v/>
      </c>
      <c r="I160" s="24"/>
    </row>
    <row r="161">
      <c r="A161" s="25"/>
      <c r="B161" s="26" t="s">
        <v>1879</v>
      </c>
      <c r="C161" s="26" t="s">
        <v>1305</v>
      </c>
      <c r="D161" s="26" t="s">
        <v>1012</v>
      </c>
      <c r="E161" s="26" t="s">
        <v>1419</v>
      </c>
      <c r="F161" s="26" t="s">
        <v>971</v>
      </c>
      <c r="G161" s="26" t="s">
        <v>2978</v>
      </c>
      <c r="H161" s="27"/>
    </row>
    <row r="162">
      <c r="A162" s="10" t="s">
        <v>199</v>
      </c>
      <c r="B162" s="22" t="s">
        <v>3231</v>
      </c>
      <c r="C162" s="22">
        <v>99.0</v>
      </c>
      <c r="D162" s="22">
        <v>98.0</v>
      </c>
      <c r="E162" s="22">
        <v>98.0</v>
      </c>
      <c r="F162" s="22">
        <v>99.0</v>
      </c>
      <c r="G162" s="22">
        <v>100.0</v>
      </c>
      <c r="H162" s="27"/>
    </row>
    <row r="163">
      <c r="A163" s="10" t="s">
        <v>201</v>
      </c>
      <c r="B163" s="29" t="s">
        <v>1521</v>
      </c>
      <c r="C163" s="29" t="s">
        <v>2409</v>
      </c>
      <c r="D163" s="29" t="s">
        <v>3141</v>
      </c>
      <c r="E163" s="29" t="s">
        <v>1242</v>
      </c>
      <c r="F163" s="29" t="s">
        <v>206</v>
      </c>
      <c r="G163" s="29" t="s">
        <v>2366</v>
      </c>
      <c r="H163" s="27"/>
    </row>
    <row r="164">
      <c r="A164" s="10" t="s">
        <v>209</v>
      </c>
      <c r="B164" s="22" t="s">
        <v>458</v>
      </c>
      <c r="C164" s="22" t="s">
        <v>683</v>
      </c>
      <c r="D164" s="22" t="s">
        <v>2391</v>
      </c>
      <c r="E164" s="22" t="s">
        <v>900</v>
      </c>
      <c r="F164" s="22" t="s">
        <v>541</v>
      </c>
      <c r="G164" s="22" t="s">
        <v>2361</v>
      </c>
      <c r="H164" s="27"/>
    </row>
    <row r="165">
      <c r="A165" s="10" t="s">
        <v>215</v>
      </c>
      <c r="B165" s="29" t="s">
        <v>231</v>
      </c>
      <c r="C165" s="29" t="s">
        <v>419</v>
      </c>
      <c r="D165" s="29" t="s">
        <v>419</v>
      </c>
      <c r="E165" s="29" t="s">
        <v>906</v>
      </c>
      <c r="F165" s="29" t="s">
        <v>419</v>
      </c>
      <c r="G165" s="29" t="s">
        <v>231</v>
      </c>
      <c r="H165" s="27"/>
    </row>
    <row r="166">
      <c r="A166" s="15" t="s">
        <v>224</v>
      </c>
      <c r="B166" s="22" t="s">
        <v>1065</v>
      </c>
      <c r="C166" s="22" t="s">
        <v>814</v>
      </c>
      <c r="D166" s="22" t="s">
        <v>2397</v>
      </c>
      <c r="E166" s="22" t="s">
        <v>3034</v>
      </c>
      <c r="F166" s="22" t="s">
        <v>577</v>
      </c>
      <c r="G166" s="22" t="s">
        <v>1352</v>
      </c>
      <c r="H166" s="27"/>
    </row>
    <row r="167">
      <c r="A167" s="30"/>
      <c r="B167" s="22" t="s">
        <v>477</v>
      </c>
      <c r="C167" s="22" t="s">
        <v>2115</v>
      </c>
      <c r="D167" s="22" t="s">
        <v>2555</v>
      </c>
      <c r="E167" s="22" t="s">
        <v>1873</v>
      </c>
      <c r="F167" s="22" t="s">
        <v>355</v>
      </c>
      <c r="G167" s="22" t="s">
        <v>2618</v>
      </c>
      <c r="H167" s="27"/>
    </row>
    <row r="168">
      <c r="A168" s="30"/>
      <c r="B168" s="22" t="s">
        <v>366</v>
      </c>
      <c r="C168" s="22" t="s">
        <v>1363</v>
      </c>
      <c r="D168" s="22" t="s">
        <v>694</v>
      </c>
      <c r="E168" s="22" t="s">
        <v>582</v>
      </c>
      <c r="F168" s="22" t="s">
        <v>2862</v>
      </c>
      <c r="G168" s="22" t="s">
        <v>477</v>
      </c>
      <c r="H168" s="27"/>
    </row>
    <row r="169">
      <c r="A169" s="25"/>
      <c r="B169" s="22" t="s">
        <v>1352</v>
      </c>
      <c r="C169" s="22" t="s">
        <v>226</v>
      </c>
      <c r="D169" s="22" t="s">
        <v>355</v>
      </c>
      <c r="E169" s="22" t="s">
        <v>1442</v>
      </c>
      <c r="F169" s="22" t="s">
        <v>2584</v>
      </c>
      <c r="G169" s="22" t="s">
        <v>1541</v>
      </c>
      <c r="H169" s="31"/>
      <c r="I169" s="32"/>
    </row>
    <row r="170">
      <c r="A170" s="10" t="s">
        <v>5</v>
      </c>
      <c r="B170" s="11" t="s">
        <v>3283</v>
      </c>
      <c r="C170" s="9"/>
      <c r="D170" s="9"/>
      <c r="E170" s="9"/>
      <c r="F170" s="9"/>
      <c r="G170" s="9"/>
      <c r="H170" s="9"/>
      <c r="I170" s="13"/>
    </row>
    <row r="171" ht="60.0" customHeight="1">
      <c r="A171" s="15" t="s">
        <v>16</v>
      </c>
      <c r="B171" s="22" t="str">
        <f t="array" ref="B171">iferror(VLOOKUP(INDIRECT(ADDRESS(ROW()+1,COLUMN(), 4)),Dex!$A$2:$C335,3,false),"")</f>
        <v/>
      </c>
      <c r="C171" s="22" t="str">
        <f t="array" ref="C171">iferror(VLOOKUP(INDIRECT(ADDRESS(ROW()+1,COLUMN(), 4)),Dex!$A$2:$C335,3,false),"")</f>
        <v/>
      </c>
      <c r="D171" s="22" t="str">
        <f t="array" ref="D171">iferror(VLOOKUP(INDIRECT(ADDRESS(ROW()+1,COLUMN(), 4)),Dex!$A$2:$C335,3,false),"")</f>
        <v/>
      </c>
      <c r="E171" s="22" t="str">
        <f t="array" ref="E171">iferror(VLOOKUP(INDIRECT(ADDRESS(ROW()+1,COLUMN(), 4)),Dex!$A$2:$C335,3,false),"")</f>
        <v/>
      </c>
      <c r="F171" s="22" t="str">
        <f t="array" ref="F171">iferror(VLOOKUP(INDIRECT(ADDRESS(ROW()+1,COLUMN(), 4)),Dex!$A$2:$C335,3,false),"")</f>
        <v/>
      </c>
      <c r="G171" s="22" t="str">
        <f t="array" ref="G171">iferror(VLOOKUP(INDIRECT(ADDRESS(ROW()+1,COLUMN(), 4)),Dex!$A$2:$C335,3,false),"")</f>
        <v/>
      </c>
      <c r="H171" s="23" t="str">
        <f t="array" ref="H171">iferror(VLOOKUP("TRAINER_PIC_Brandon",Sprites!$A$1:$B335,2,false),"")</f>
        <v/>
      </c>
      <c r="I171" s="24"/>
    </row>
    <row r="172">
      <c r="A172" s="25"/>
      <c r="B172" s="26" t="s">
        <v>3063</v>
      </c>
      <c r="C172" s="26" t="s">
        <v>3284</v>
      </c>
      <c r="D172" s="26" t="s">
        <v>1963</v>
      </c>
      <c r="E172" s="26" t="s">
        <v>1860</v>
      </c>
      <c r="F172" s="26" t="s">
        <v>686</v>
      </c>
      <c r="G172" s="26" t="s">
        <v>1591</v>
      </c>
      <c r="H172" s="27"/>
    </row>
    <row r="173">
      <c r="A173" s="10" t="s">
        <v>199</v>
      </c>
      <c r="B173" s="22">
        <v>100.0</v>
      </c>
      <c r="C173" s="22">
        <v>99.0</v>
      </c>
      <c r="D173" s="22">
        <v>99.0</v>
      </c>
      <c r="E173" s="22">
        <v>99.0</v>
      </c>
      <c r="F173" s="22">
        <v>99.0</v>
      </c>
      <c r="G173" s="22">
        <v>99.0</v>
      </c>
      <c r="H173" s="27"/>
    </row>
    <row r="174">
      <c r="A174" s="10" t="s">
        <v>201</v>
      </c>
      <c r="B174" s="29" t="s">
        <v>1054</v>
      </c>
      <c r="C174" s="29" t="s">
        <v>2366</v>
      </c>
      <c r="D174" s="29" t="s">
        <v>777</v>
      </c>
      <c r="E174" s="29" t="s">
        <v>408</v>
      </c>
      <c r="F174" s="29" t="s">
        <v>644</v>
      </c>
      <c r="G174" s="29" t="s">
        <v>3286</v>
      </c>
      <c r="H174" s="27"/>
    </row>
    <row r="175">
      <c r="A175" s="10" t="s">
        <v>209</v>
      </c>
      <c r="B175" s="22" t="s">
        <v>3064</v>
      </c>
      <c r="C175" s="22" t="s">
        <v>2361</v>
      </c>
      <c r="D175" s="22" t="s">
        <v>2718</v>
      </c>
      <c r="E175" s="22" t="s">
        <v>1866</v>
      </c>
      <c r="F175" s="22" t="s">
        <v>217</v>
      </c>
      <c r="G175" s="22" t="s">
        <v>2325</v>
      </c>
      <c r="H175" s="27"/>
    </row>
    <row r="176">
      <c r="A176" s="10" t="s">
        <v>215</v>
      </c>
      <c r="B176" s="29" t="s">
        <v>1343</v>
      </c>
      <c r="C176" s="29" t="s">
        <v>231</v>
      </c>
      <c r="D176" s="29" t="s">
        <v>222</v>
      </c>
      <c r="E176" s="29" t="s">
        <v>419</v>
      </c>
      <c r="F176" s="29" t="s">
        <v>417</v>
      </c>
      <c r="G176" s="29" t="s">
        <v>419</v>
      </c>
      <c r="H176" s="27"/>
    </row>
    <row r="177">
      <c r="A177" s="15" t="s">
        <v>224</v>
      </c>
      <c r="B177" s="22" t="s">
        <v>361</v>
      </c>
      <c r="C177" s="22" t="s">
        <v>567</v>
      </c>
      <c r="D177" s="22" t="s">
        <v>2721</v>
      </c>
      <c r="E177" s="22" t="s">
        <v>2659</v>
      </c>
      <c r="F177" s="22" t="s">
        <v>587</v>
      </c>
      <c r="G177" s="22" t="s">
        <v>3287</v>
      </c>
      <c r="H177" s="27"/>
    </row>
    <row r="178">
      <c r="A178" s="30"/>
      <c r="B178" s="22" t="s">
        <v>2742</v>
      </c>
      <c r="C178" s="22" t="s">
        <v>652</v>
      </c>
      <c r="D178" s="22" t="s">
        <v>357</v>
      </c>
      <c r="E178" s="22" t="s">
        <v>1769</v>
      </c>
      <c r="F178" s="22" t="s">
        <v>922</v>
      </c>
      <c r="G178" s="22" t="s">
        <v>357</v>
      </c>
      <c r="H178" s="27"/>
    </row>
    <row r="179">
      <c r="A179" s="30"/>
      <c r="B179" s="22" t="s">
        <v>565</v>
      </c>
      <c r="C179" s="22" t="s">
        <v>2406</v>
      </c>
      <c r="D179" s="22" t="s">
        <v>582</v>
      </c>
      <c r="E179" s="22" t="s">
        <v>577</v>
      </c>
      <c r="F179" s="22" t="s">
        <v>700</v>
      </c>
      <c r="G179" s="22" t="s">
        <v>465</v>
      </c>
      <c r="H179" s="27"/>
    </row>
    <row r="180">
      <c r="A180" s="25"/>
      <c r="B180" s="22" t="s">
        <v>3099</v>
      </c>
      <c r="C180" s="22" t="s">
        <v>1043</v>
      </c>
      <c r="D180" s="22" t="s">
        <v>2550</v>
      </c>
      <c r="E180" s="22" t="s">
        <v>357</v>
      </c>
      <c r="F180" s="22" t="s">
        <v>2041</v>
      </c>
      <c r="G180" s="22" t="s">
        <v>945</v>
      </c>
      <c r="H180" s="31"/>
      <c r="I180" s="32"/>
    </row>
    <row r="181">
      <c r="A181" s="10" t="s">
        <v>5</v>
      </c>
      <c r="B181" s="11" t="s">
        <v>3288</v>
      </c>
      <c r="C181" s="9"/>
      <c r="D181" s="9"/>
      <c r="E181" s="9"/>
      <c r="F181" s="9"/>
      <c r="G181" s="9"/>
      <c r="H181" s="9"/>
      <c r="I181" s="14"/>
    </row>
    <row r="182" ht="60.0" customHeight="1">
      <c r="A182" s="15" t="s">
        <v>16</v>
      </c>
      <c r="B182" s="22" t="str">
        <f t="array" ref="B182">iferror(VLOOKUP(INDIRECT(ADDRESS(ROW()+1,COLUMN(), 4)),Dex!$A$2:$C335,3,false),"")</f>
        <v/>
      </c>
      <c r="C182" s="22" t="str">
        <f t="array" ref="C182">iferror(VLOOKUP(INDIRECT(ADDRESS(ROW()+1,COLUMN(), 4)),Dex!$A$2:$C335,3,false),"")</f>
        <v/>
      </c>
      <c r="D182" s="22" t="str">
        <f t="array" ref="D182">iferror(VLOOKUP(INDIRECT(ADDRESS(ROW()+1,COLUMN(), 4)),Dex!$A$2:$C335,3,false),"")</f>
        <v/>
      </c>
      <c r="E182" s="22" t="str">
        <f t="array" ref="E182">iferror(VLOOKUP(INDIRECT(ADDRESS(ROW()+1,COLUMN(), 4)),Dex!$A$2:$C335,3,false),"")</f>
        <v/>
      </c>
      <c r="F182" s="22" t="str">
        <f t="array" ref="F182">iferror(VLOOKUP(INDIRECT(ADDRESS(ROW()+1,COLUMN(), 4)),Dex!$A$2:$C335,3,false),"")</f>
        <v/>
      </c>
      <c r="G182" s="22" t="str">
        <f t="array" ref="G182">iferror(VLOOKUP(INDIRECT(ADDRESS(ROW()+1,COLUMN(), 4)),Dex!$A$2:$C335,3,false),"")</f>
        <v/>
      </c>
      <c r="H182" s="23" t="str">
        <f t="array" ref="H182">iferror(VLOOKUP("TRAINER_PIC_Brandon",Sprites!$A$1:$B335,2,false),"")</f>
        <v/>
      </c>
      <c r="I182" s="24"/>
    </row>
    <row r="183">
      <c r="A183" s="25"/>
      <c r="B183" s="26" t="s">
        <v>3063</v>
      </c>
      <c r="C183" s="26" t="s">
        <v>2590</v>
      </c>
      <c r="D183" s="26" t="s">
        <v>1963</v>
      </c>
      <c r="E183" s="26" t="s">
        <v>1860</v>
      </c>
      <c r="F183" s="26" t="s">
        <v>686</v>
      </c>
      <c r="G183" s="26" t="s">
        <v>1591</v>
      </c>
      <c r="H183" s="27"/>
    </row>
    <row r="184">
      <c r="A184" s="10" t="s">
        <v>199</v>
      </c>
      <c r="B184" s="22">
        <v>100.0</v>
      </c>
      <c r="C184" s="22">
        <v>99.0</v>
      </c>
      <c r="D184" s="22">
        <v>99.0</v>
      </c>
      <c r="E184" s="22">
        <v>99.0</v>
      </c>
      <c r="F184" s="22">
        <v>99.0</v>
      </c>
      <c r="G184" s="22">
        <v>99.0</v>
      </c>
      <c r="H184" s="27"/>
    </row>
    <row r="185">
      <c r="A185" s="10" t="s">
        <v>201</v>
      </c>
      <c r="B185" s="29" t="s">
        <v>1054</v>
      </c>
      <c r="C185" s="29" t="s">
        <v>2366</v>
      </c>
      <c r="D185" s="29" t="s">
        <v>777</v>
      </c>
      <c r="E185" s="29" t="s">
        <v>408</v>
      </c>
      <c r="F185" s="29" t="s">
        <v>644</v>
      </c>
      <c r="G185" s="29" t="s">
        <v>3286</v>
      </c>
      <c r="H185" s="27"/>
    </row>
    <row r="186">
      <c r="A186" s="10" t="s">
        <v>209</v>
      </c>
      <c r="B186" s="22" t="s">
        <v>3064</v>
      </c>
      <c r="C186" s="22" t="s">
        <v>2368</v>
      </c>
      <c r="D186" s="22" t="s">
        <v>2718</v>
      </c>
      <c r="E186" s="22" t="s">
        <v>1866</v>
      </c>
      <c r="F186" s="22" t="s">
        <v>217</v>
      </c>
      <c r="G186" s="22" t="s">
        <v>2325</v>
      </c>
      <c r="H186" s="27"/>
    </row>
    <row r="187">
      <c r="A187" s="10" t="s">
        <v>215</v>
      </c>
      <c r="B187" s="29" t="s">
        <v>417</v>
      </c>
      <c r="C187" s="29" t="s">
        <v>231</v>
      </c>
      <c r="D187" s="29" t="s">
        <v>222</v>
      </c>
      <c r="E187" s="29" t="s">
        <v>419</v>
      </c>
      <c r="F187" s="29" t="s">
        <v>1343</v>
      </c>
      <c r="G187" s="29" t="s">
        <v>419</v>
      </c>
      <c r="H187" s="27"/>
    </row>
    <row r="188">
      <c r="A188" s="15" t="s">
        <v>224</v>
      </c>
      <c r="B188" s="22" t="s">
        <v>361</v>
      </c>
      <c r="C188" s="22" t="s">
        <v>1352</v>
      </c>
      <c r="D188" s="22" t="s">
        <v>2721</v>
      </c>
      <c r="E188" s="22" t="s">
        <v>2659</v>
      </c>
      <c r="F188" s="22" t="s">
        <v>587</v>
      </c>
      <c r="G188" s="22" t="s">
        <v>3287</v>
      </c>
      <c r="H188" s="27"/>
    </row>
    <row r="189">
      <c r="A189" s="30"/>
      <c r="B189" s="22" t="s">
        <v>2742</v>
      </c>
      <c r="C189" s="22" t="s">
        <v>2469</v>
      </c>
      <c r="D189" s="22" t="s">
        <v>357</v>
      </c>
      <c r="E189" s="22" t="s">
        <v>426</v>
      </c>
      <c r="F189" s="22" t="s">
        <v>922</v>
      </c>
      <c r="G189" s="22" t="s">
        <v>357</v>
      </c>
      <c r="H189" s="27"/>
    </row>
    <row r="190">
      <c r="A190" s="30"/>
      <c r="B190" s="22" t="s">
        <v>565</v>
      </c>
      <c r="C190" s="22" t="s">
        <v>2406</v>
      </c>
      <c r="D190" s="22" t="s">
        <v>697</v>
      </c>
      <c r="E190" s="22" t="s">
        <v>577</v>
      </c>
      <c r="F190" s="22" t="s">
        <v>1350</v>
      </c>
      <c r="G190" s="22" t="s">
        <v>465</v>
      </c>
      <c r="H190" s="27"/>
    </row>
    <row r="191">
      <c r="A191" s="25"/>
      <c r="B191" s="22" t="s">
        <v>3099</v>
      </c>
      <c r="C191" s="22" t="s">
        <v>1043</v>
      </c>
      <c r="D191" s="22" t="s">
        <v>1442</v>
      </c>
      <c r="E191" s="22" t="s">
        <v>357</v>
      </c>
      <c r="F191" s="22" t="s">
        <v>793</v>
      </c>
      <c r="G191" s="22" t="s">
        <v>803</v>
      </c>
      <c r="H191" s="31"/>
      <c r="I191" s="32"/>
    </row>
    <row r="192">
      <c r="A192" s="10" t="s">
        <v>5</v>
      </c>
      <c r="B192" s="11" t="s">
        <v>3292</v>
      </c>
      <c r="C192" s="9"/>
      <c r="D192" s="9"/>
      <c r="E192" s="9"/>
      <c r="F192" s="9"/>
      <c r="G192" s="9"/>
      <c r="H192" s="9"/>
      <c r="I192" s="13"/>
    </row>
    <row r="193" ht="60.0" customHeight="1">
      <c r="A193" s="15" t="s">
        <v>16</v>
      </c>
      <c r="B193" s="22" t="str">
        <f t="array" ref="B193">iferror(VLOOKUP(INDIRECT(ADDRESS(ROW()+1,COLUMN(), 4)),Dex!$A$2:$C335,3,false),"")</f>
        <v/>
      </c>
      <c r="C193" s="22" t="str">
        <f t="array" ref="C193">iferror(VLOOKUP(INDIRECT(ADDRESS(ROW()+1,COLUMN(), 4)),Dex!$A$2:$C335,3,false),"")</f>
        <v/>
      </c>
      <c r="D193" s="22" t="str">
        <f t="array" ref="D193">iferror(VLOOKUP(INDIRECT(ADDRESS(ROW()+1,COLUMN(), 4)),Dex!$A$2:$C335,3,false),"")</f>
        <v/>
      </c>
      <c r="E193" s="22" t="str">
        <f t="array" ref="E193">iferror(VLOOKUP(INDIRECT(ADDRESS(ROW()+1,COLUMN(), 4)),Dex!$A$2:$C335,3,false),"")</f>
        <v/>
      </c>
      <c r="F193" s="22" t="str">
        <f t="array" ref="F193">iferror(VLOOKUP(INDIRECT(ADDRESS(ROW()+1,COLUMN(), 4)),Dex!$A$2:$C335,3,false),"")</f>
        <v/>
      </c>
      <c r="G193" s="22" t="str">
        <f t="array" ref="G193">iferror(VLOOKUP(INDIRECT(ADDRESS(ROW()+1,COLUMN(), 4)),Dex!$A$2:$C335,3,false),"")</f>
        <v/>
      </c>
      <c r="H193" s="23" t="str">
        <f t="array" ref="H193">iferror(VLOOKUP("TRAINER_PIC_Greta",Sprites!$A$1:$B335,2,false),"")</f>
        <v/>
      </c>
      <c r="I193" s="24"/>
    </row>
    <row r="194">
      <c r="A194" s="25"/>
      <c r="B194" s="26" t="s">
        <v>1612</v>
      </c>
      <c r="C194" s="26" t="s">
        <v>1746</v>
      </c>
      <c r="D194" s="26" t="s">
        <v>610</v>
      </c>
      <c r="E194" s="26" t="s">
        <v>340</v>
      </c>
      <c r="F194" s="26" t="s">
        <v>1683</v>
      </c>
      <c r="G194" s="26" t="s">
        <v>1132</v>
      </c>
      <c r="H194" s="27"/>
    </row>
    <row r="195">
      <c r="A195" s="10" t="s">
        <v>199</v>
      </c>
      <c r="B195" s="22">
        <v>99.0</v>
      </c>
      <c r="C195" s="22">
        <v>100.0</v>
      </c>
      <c r="D195" s="22">
        <v>99.0</v>
      </c>
      <c r="E195" s="22">
        <v>99.0</v>
      </c>
      <c r="F195" s="22">
        <v>100.0</v>
      </c>
      <c r="G195" s="22">
        <v>99.0</v>
      </c>
      <c r="H195" s="27"/>
    </row>
    <row r="196">
      <c r="A196" s="10" t="s">
        <v>201</v>
      </c>
      <c r="B196" s="29" t="s">
        <v>344</v>
      </c>
      <c r="C196" s="29" t="s">
        <v>408</v>
      </c>
      <c r="D196" s="29" t="s">
        <v>2940</v>
      </c>
      <c r="E196" s="29" t="s">
        <v>206</v>
      </c>
      <c r="F196" s="29" t="s">
        <v>1054</v>
      </c>
      <c r="G196" s="29" t="s">
        <v>3297</v>
      </c>
      <c r="H196" s="27"/>
    </row>
    <row r="197">
      <c r="A197" s="10" t="s">
        <v>209</v>
      </c>
      <c r="B197" s="22" t="s">
        <v>413</v>
      </c>
      <c r="C197" s="22" t="s">
        <v>2035</v>
      </c>
      <c r="D197" s="22" t="s">
        <v>541</v>
      </c>
      <c r="E197" s="22" t="s">
        <v>681</v>
      </c>
      <c r="F197" s="22" t="s">
        <v>2828</v>
      </c>
      <c r="G197" s="22" t="s">
        <v>3187</v>
      </c>
      <c r="H197" s="27"/>
    </row>
    <row r="198">
      <c r="A198" s="10" t="s">
        <v>215</v>
      </c>
      <c r="B198" s="29" t="s">
        <v>222</v>
      </c>
      <c r="C198" s="29" t="s">
        <v>1346</v>
      </c>
      <c r="D198" s="29" t="s">
        <v>231</v>
      </c>
      <c r="E198" s="29" t="s">
        <v>231</v>
      </c>
      <c r="F198" s="29" t="s">
        <v>220</v>
      </c>
      <c r="G198" s="29" t="s">
        <v>419</v>
      </c>
      <c r="H198" s="27"/>
    </row>
    <row r="199">
      <c r="A199" s="15" t="s">
        <v>224</v>
      </c>
      <c r="B199" s="22" t="s">
        <v>806</v>
      </c>
      <c r="C199" s="22" t="s">
        <v>2634</v>
      </c>
      <c r="D199" s="22" t="s">
        <v>3240</v>
      </c>
      <c r="E199" s="22" t="s">
        <v>3021</v>
      </c>
      <c r="F199" s="22" t="s">
        <v>1159</v>
      </c>
      <c r="G199" s="22" t="s">
        <v>3278</v>
      </c>
      <c r="H199" s="27"/>
    </row>
    <row r="200">
      <c r="A200" s="30"/>
      <c r="B200" s="22" t="s">
        <v>1891</v>
      </c>
      <c r="C200" s="22" t="s">
        <v>360</v>
      </c>
      <c r="D200" s="22" t="s">
        <v>1353</v>
      </c>
      <c r="E200" s="22" t="s">
        <v>3188</v>
      </c>
      <c r="F200" s="22" t="s">
        <v>587</v>
      </c>
      <c r="G200" s="22" t="s">
        <v>357</v>
      </c>
      <c r="H200" s="27"/>
    </row>
    <row r="201">
      <c r="A201" s="30"/>
      <c r="B201" s="22" t="s">
        <v>360</v>
      </c>
      <c r="C201" s="22" t="s">
        <v>2111</v>
      </c>
      <c r="D201" s="22" t="s">
        <v>2845</v>
      </c>
      <c r="E201" s="22" t="s">
        <v>3015</v>
      </c>
      <c r="F201" s="22" t="s">
        <v>1163</v>
      </c>
      <c r="G201" s="22" t="s">
        <v>1891</v>
      </c>
      <c r="H201" s="27"/>
    </row>
    <row r="202">
      <c r="A202" s="25"/>
      <c r="B202" s="22" t="s">
        <v>805</v>
      </c>
      <c r="C202" s="22" t="s">
        <v>468</v>
      </c>
      <c r="D202" s="22" t="s">
        <v>549</v>
      </c>
      <c r="E202" s="22" t="s">
        <v>2450</v>
      </c>
      <c r="F202" s="22" t="s">
        <v>555</v>
      </c>
      <c r="G202" s="22" t="s">
        <v>367</v>
      </c>
      <c r="H202" s="31"/>
      <c r="I202" s="32"/>
    </row>
    <row r="203">
      <c r="A203" s="10" t="s">
        <v>5</v>
      </c>
      <c r="B203" s="11" t="s">
        <v>3298</v>
      </c>
      <c r="C203" s="9"/>
      <c r="D203" s="9"/>
      <c r="E203" s="9"/>
      <c r="F203" s="9"/>
      <c r="G203" s="9"/>
      <c r="H203" s="9"/>
      <c r="I203" s="14"/>
    </row>
    <row r="204" ht="60.0" customHeight="1">
      <c r="A204" s="15" t="s">
        <v>16</v>
      </c>
      <c r="B204" s="22" t="str">
        <f t="array" ref="B204">iferror(VLOOKUP(INDIRECT(ADDRESS(ROW()+1,COLUMN(), 4)),Dex!$A$2:$C335,3,false),"")</f>
        <v/>
      </c>
      <c r="C204" s="22" t="str">
        <f t="array" ref="C204">iferror(VLOOKUP(INDIRECT(ADDRESS(ROW()+1,COLUMN(), 4)),Dex!$A$2:$C335,3,false),"")</f>
        <v/>
      </c>
      <c r="D204" s="22" t="str">
        <f t="array" ref="D204">iferror(VLOOKUP(INDIRECT(ADDRESS(ROW()+1,COLUMN(), 4)),Dex!$A$2:$C335,3,false),"")</f>
        <v/>
      </c>
      <c r="E204" s="22" t="str">
        <f t="array" ref="E204">iferror(VLOOKUP(INDIRECT(ADDRESS(ROW()+1,COLUMN(), 4)),Dex!$A$2:$C335,3,false),"")</f>
        <v/>
      </c>
      <c r="F204" s="22" t="str">
        <f t="array" ref="F204">iferror(VLOOKUP(INDIRECT(ADDRESS(ROW()+1,COLUMN(), 4)),Dex!$A$2:$C335,3,false),"")</f>
        <v/>
      </c>
      <c r="G204" s="22" t="str">
        <f t="array" ref="G204">iferror(VLOOKUP(INDIRECT(ADDRESS(ROW()+1,COLUMN(), 4)),Dex!$A$2:$C335,3,false),"")</f>
        <v/>
      </c>
      <c r="H204" s="23" t="str">
        <f t="array" ref="H204">iferror(VLOOKUP("TRAINER_PIC_Greta",Sprites!$A$1:$B335,2,false),"")</f>
        <v/>
      </c>
      <c r="I204" s="24"/>
    </row>
    <row r="205">
      <c r="A205" s="25"/>
      <c r="B205" s="26" t="s">
        <v>1225</v>
      </c>
      <c r="C205" s="26" t="s">
        <v>1746</v>
      </c>
      <c r="D205" s="26" t="s">
        <v>609</v>
      </c>
      <c r="E205" s="26" t="s">
        <v>340</v>
      </c>
      <c r="F205" s="26" t="s">
        <v>1684</v>
      </c>
      <c r="G205" s="26" t="s">
        <v>1145</v>
      </c>
      <c r="H205" s="27"/>
    </row>
    <row r="206">
      <c r="A206" s="10" t="s">
        <v>199</v>
      </c>
      <c r="B206" s="22">
        <v>99.0</v>
      </c>
      <c r="C206" s="22">
        <v>100.0</v>
      </c>
      <c r="D206" s="22">
        <v>99.0</v>
      </c>
      <c r="E206" s="22">
        <v>99.0</v>
      </c>
      <c r="F206" s="22">
        <v>100.0</v>
      </c>
      <c r="G206" s="22">
        <v>99.0</v>
      </c>
      <c r="H206" s="27"/>
    </row>
    <row r="207">
      <c r="A207" s="10" t="s">
        <v>201</v>
      </c>
      <c r="B207" s="29" t="s">
        <v>1707</v>
      </c>
      <c r="C207" s="29" t="s">
        <v>408</v>
      </c>
      <c r="D207" s="29" t="s">
        <v>777</v>
      </c>
      <c r="E207" s="29" t="s">
        <v>1521</v>
      </c>
      <c r="F207" s="29" t="s">
        <v>3125</v>
      </c>
      <c r="G207" s="29" t="s">
        <v>3302</v>
      </c>
      <c r="H207" s="27"/>
    </row>
    <row r="208">
      <c r="A208" s="10" t="s">
        <v>209</v>
      </c>
      <c r="B208" s="22" t="s">
        <v>681</v>
      </c>
      <c r="C208" s="22" t="s">
        <v>2035</v>
      </c>
      <c r="D208" s="22" t="s">
        <v>541</v>
      </c>
      <c r="E208" s="22" t="s">
        <v>681</v>
      </c>
      <c r="F208" s="22" t="s">
        <v>2016</v>
      </c>
      <c r="G208" s="22" t="s">
        <v>3187</v>
      </c>
      <c r="H208" s="27"/>
    </row>
    <row r="209">
      <c r="A209" s="10" t="s">
        <v>215</v>
      </c>
      <c r="B209" s="29" t="s">
        <v>231</v>
      </c>
      <c r="C209" s="29" t="s">
        <v>1646</v>
      </c>
      <c r="D209" s="29" t="s">
        <v>220</v>
      </c>
      <c r="E209" s="29" t="s">
        <v>231</v>
      </c>
      <c r="F209" s="29" t="s">
        <v>220</v>
      </c>
      <c r="G209" s="29" t="s">
        <v>419</v>
      </c>
      <c r="H209" s="27"/>
    </row>
    <row r="210">
      <c r="A210" s="15" t="s">
        <v>224</v>
      </c>
      <c r="B210" s="22" t="s">
        <v>806</v>
      </c>
      <c r="C210" s="22" t="s">
        <v>582</v>
      </c>
      <c r="D210" s="22" t="s">
        <v>3240</v>
      </c>
      <c r="E210" s="22" t="s">
        <v>3021</v>
      </c>
      <c r="F210" s="22" t="s">
        <v>1159</v>
      </c>
      <c r="G210" s="22" t="s">
        <v>3278</v>
      </c>
      <c r="H210" s="27"/>
    </row>
    <row r="211">
      <c r="A211" s="30"/>
      <c r="B211" s="22" t="s">
        <v>1791</v>
      </c>
      <c r="C211" s="22" t="s">
        <v>360</v>
      </c>
      <c r="D211" s="22" t="s">
        <v>1353</v>
      </c>
      <c r="E211" s="22" t="s">
        <v>3188</v>
      </c>
      <c r="F211" s="22" t="s">
        <v>587</v>
      </c>
      <c r="G211" s="22" t="s">
        <v>1363</v>
      </c>
      <c r="H211" s="27"/>
    </row>
    <row r="212">
      <c r="A212" s="30"/>
      <c r="B212" s="22" t="s">
        <v>2879</v>
      </c>
      <c r="C212" s="22" t="s">
        <v>1363</v>
      </c>
      <c r="D212" s="22" t="s">
        <v>2845</v>
      </c>
      <c r="E212" s="22" t="s">
        <v>561</v>
      </c>
      <c r="F212" s="22" t="s">
        <v>1163</v>
      </c>
      <c r="G212" s="22" t="s">
        <v>2555</v>
      </c>
      <c r="H212" s="27"/>
    </row>
    <row r="213">
      <c r="A213" s="25"/>
      <c r="B213" s="22" t="s">
        <v>2450</v>
      </c>
      <c r="C213" s="22" t="s">
        <v>468</v>
      </c>
      <c r="D213" s="22" t="s">
        <v>549</v>
      </c>
      <c r="E213" s="22" t="s">
        <v>2450</v>
      </c>
      <c r="F213" s="22" t="s">
        <v>3055</v>
      </c>
      <c r="G213" s="22" t="s">
        <v>1442</v>
      </c>
      <c r="H213" s="31"/>
      <c r="I213" s="32"/>
    </row>
    <row r="214">
      <c r="A214" s="10" t="s">
        <v>5</v>
      </c>
      <c r="B214" s="11" t="s">
        <v>3303</v>
      </c>
      <c r="C214" s="9"/>
      <c r="D214" s="9"/>
      <c r="E214" s="9"/>
      <c r="F214" s="9"/>
      <c r="G214" s="9"/>
      <c r="H214" s="9"/>
      <c r="I214" s="13"/>
    </row>
    <row r="215" ht="60.0" customHeight="1">
      <c r="A215" s="15" t="s">
        <v>16</v>
      </c>
      <c r="B215" s="22" t="str">
        <f t="array" ref="B215">iferror(VLOOKUP(INDIRECT(ADDRESS(ROW()+1,COLUMN(), 4)),Dex!$A$2:$C335,3,false),"")</f>
        <v/>
      </c>
      <c r="C215" s="22" t="str">
        <f t="array" ref="C215">iferror(VLOOKUP(INDIRECT(ADDRESS(ROW()+1,COLUMN(), 4)),Dex!$A$2:$C335,3,false),"")</f>
        <v/>
      </c>
      <c r="D215" s="22" t="str">
        <f t="array" ref="D215">iferror(VLOOKUP(INDIRECT(ADDRESS(ROW()+1,COLUMN(), 4)),Dex!$A$2:$C335,3,false),"")</f>
        <v/>
      </c>
      <c r="E215" s="22" t="str">
        <f t="array" ref="E215">iferror(VLOOKUP(INDIRECT(ADDRESS(ROW()+1,COLUMN(), 4)),Dex!$A$2:$C335,3,false),"")</f>
        <v/>
      </c>
      <c r="F215" s="22" t="str">
        <f t="array" ref="F215">iferror(VLOOKUP(INDIRECT(ADDRESS(ROW()+1,COLUMN(), 4)),Dex!$A$2:$C335,3,false),"")</f>
        <v/>
      </c>
      <c r="G215" s="22" t="str">
        <f t="array" ref="G215">iferror(VLOOKUP(INDIRECT(ADDRESS(ROW()+1,COLUMN(), 4)),Dex!$A$2:$C335,3,false),"")</f>
        <v/>
      </c>
      <c r="H215" s="23" t="str">
        <f t="array" ref="H215">iferror(VLOOKUP("TRAINER_PIC_Spenser",Sprites!$A$1:$B335,2,false),"")</f>
        <v/>
      </c>
      <c r="I215" s="24"/>
    </row>
    <row r="216">
      <c r="A216" s="25"/>
      <c r="B216" s="26" t="s">
        <v>1795</v>
      </c>
      <c r="C216" s="26" t="s">
        <v>1750</v>
      </c>
      <c r="D216" s="26" t="s">
        <v>716</v>
      </c>
      <c r="E216" s="26" t="s">
        <v>2282</v>
      </c>
      <c r="F216" s="26" t="s">
        <v>63</v>
      </c>
      <c r="G216" s="26" t="s">
        <v>1144</v>
      </c>
      <c r="H216" s="27"/>
    </row>
    <row r="217">
      <c r="A217" s="10" t="s">
        <v>199</v>
      </c>
      <c r="B217" s="22">
        <v>99.0</v>
      </c>
      <c r="C217" s="22">
        <v>99.0</v>
      </c>
      <c r="D217" s="22">
        <v>99.0</v>
      </c>
      <c r="E217" s="22">
        <v>100.0</v>
      </c>
      <c r="F217" s="22">
        <v>100.0</v>
      </c>
      <c r="G217" s="22">
        <v>100.0</v>
      </c>
      <c r="H217" s="27"/>
    </row>
    <row r="218">
      <c r="A218" s="10" t="s">
        <v>201</v>
      </c>
      <c r="B218" s="29" t="s">
        <v>2408</v>
      </c>
      <c r="C218" s="29" t="s">
        <v>206</v>
      </c>
      <c r="D218" s="29" t="s">
        <v>408</v>
      </c>
      <c r="E218" s="29" t="s">
        <v>3175</v>
      </c>
      <c r="F218" s="29" t="s">
        <v>3134</v>
      </c>
      <c r="G218" s="29" t="s">
        <v>3305</v>
      </c>
      <c r="H218" s="27"/>
    </row>
    <row r="219">
      <c r="A219" s="10" t="s">
        <v>209</v>
      </c>
      <c r="B219" s="22" t="s">
        <v>2036</v>
      </c>
      <c r="C219" s="22" t="s">
        <v>2035</v>
      </c>
      <c r="D219" s="22" t="s">
        <v>2554</v>
      </c>
      <c r="E219" s="22" t="s">
        <v>538</v>
      </c>
      <c r="F219" s="22" t="s">
        <v>1527</v>
      </c>
      <c r="G219" s="22" t="s">
        <v>3187</v>
      </c>
      <c r="H219" s="27"/>
    </row>
    <row r="220">
      <c r="A220" s="10" t="s">
        <v>215</v>
      </c>
      <c r="B220" s="29" t="s">
        <v>231</v>
      </c>
      <c r="C220" s="29" t="s">
        <v>231</v>
      </c>
      <c r="D220" s="29" t="s">
        <v>220</v>
      </c>
      <c r="E220" s="29" t="s">
        <v>231</v>
      </c>
      <c r="F220" s="29" t="s">
        <v>564</v>
      </c>
      <c r="G220" s="29" t="s">
        <v>419</v>
      </c>
      <c r="H220" s="27"/>
    </row>
    <row r="221">
      <c r="A221" s="15" t="s">
        <v>224</v>
      </c>
      <c r="B221" s="22" t="s">
        <v>241</v>
      </c>
      <c r="C221" s="22" t="s">
        <v>1791</v>
      </c>
      <c r="D221" s="22" t="s">
        <v>938</v>
      </c>
      <c r="E221" s="22" t="s">
        <v>2751</v>
      </c>
      <c r="F221" s="22" t="s">
        <v>2705</v>
      </c>
      <c r="G221" s="22" t="s">
        <v>3278</v>
      </c>
      <c r="H221" s="27"/>
    </row>
    <row r="222">
      <c r="A222" s="30"/>
      <c r="B222" s="22" t="s">
        <v>1457</v>
      </c>
      <c r="C222" s="22" t="s">
        <v>587</v>
      </c>
      <c r="D222" s="22" t="s">
        <v>241</v>
      </c>
      <c r="E222" s="22" t="s">
        <v>549</v>
      </c>
      <c r="F222" s="22" t="s">
        <v>355</v>
      </c>
      <c r="G222" s="22" t="s">
        <v>814</v>
      </c>
      <c r="H222" s="27"/>
    </row>
    <row r="223">
      <c r="A223" s="30"/>
      <c r="B223" s="22" t="s">
        <v>567</v>
      </c>
      <c r="C223" s="22" t="s">
        <v>3042</v>
      </c>
      <c r="D223" s="22" t="s">
        <v>1791</v>
      </c>
      <c r="E223" s="22" t="s">
        <v>1848</v>
      </c>
      <c r="F223" s="22" t="s">
        <v>365</v>
      </c>
      <c r="G223" s="22" t="s">
        <v>2555</v>
      </c>
      <c r="H223" s="27"/>
    </row>
    <row r="224">
      <c r="A224" s="25"/>
      <c r="B224" s="22" t="s">
        <v>477</v>
      </c>
      <c r="C224" s="22" t="s">
        <v>2450</v>
      </c>
      <c r="D224" s="22" t="s">
        <v>477</v>
      </c>
      <c r="E224" s="22" t="s">
        <v>951</v>
      </c>
      <c r="F224" s="22" t="s">
        <v>357</v>
      </c>
      <c r="G224" s="22" t="s">
        <v>1363</v>
      </c>
      <c r="H224" s="31"/>
      <c r="I224" s="32"/>
    </row>
    <row r="225">
      <c r="A225" s="10" t="s">
        <v>5</v>
      </c>
      <c r="B225" s="11" t="s">
        <v>3306</v>
      </c>
      <c r="C225" s="9"/>
      <c r="D225" s="9"/>
      <c r="E225" s="9"/>
      <c r="F225" s="9"/>
      <c r="G225" s="9"/>
      <c r="H225" s="9"/>
      <c r="I225" s="14"/>
    </row>
    <row r="226" ht="60.0" customHeight="1">
      <c r="A226" s="15" t="s">
        <v>16</v>
      </c>
      <c r="B226" s="22" t="str">
        <f t="array" ref="B226">iferror(VLOOKUP(INDIRECT(ADDRESS(ROW()+1,COLUMN(), 4)),Dex!$A$2:$C335,3,false),"")</f>
        <v/>
      </c>
      <c r="C226" s="22" t="str">
        <f t="array" ref="C226">iferror(VLOOKUP(INDIRECT(ADDRESS(ROW()+1,COLUMN(), 4)),Dex!$A$2:$C335,3,false),"")</f>
        <v/>
      </c>
      <c r="D226" s="22" t="str">
        <f t="array" ref="D226">iferror(VLOOKUP(INDIRECT(ADDRESS(ROW()+1,COLUMN(), 4)),Dex!$A$2:$C335,3,false),"")</f>
        <v/>
      </c>
      <c r="E226" s="22" t="str">
        <f t="array" ref="E226">iferror(VLOOKUP(INDIRECT(ADDRESS(ROW()+1,COLUMN(), 4)),Dex!$A$2:$C335,3,false),"")</f>
        <v/>
      </c>
      <c r="F226" s="22" t="str">
        <f t="array" ref="F226">iferror(VLOOKUP(INDIRECT(ADDRESS(ROW()+1,COLUMN(), 4)),Dex!$A$2:$C335,3,false),"")</f>
        <v/>
      </c>
      <c r="G226" s="22" t="str">
        <f t="array" ref="G226">iferror(VLOOKUP(INDIRECT(ADDRESS(ROW()+1,COLUMN(), 4)),Dex!$A$2:$C335,3,false),"")</f>
        <v/>
      </c>
      <c r="H226" s="23" t="str">
        <f t="array" ref="H226">iferror(VLOOKUP("TRAINER_PIC_Spenser",Sprites!$A$1:$B335,2,false),"")</f>
        <v/>
      </c>
      <c r="I226" s="24"/>
    </row>
    <row r="227">
      <c r="A227" s="25"/>
      <c r="B227" s="26" t="s">
        <v>1795</v>
      </c>
      <c r="C227" s="26" t="s">
        <v>1750</v>
      </c>
      <c r="D227" s="26" t="s">
        <v>1142</v>
      </c>
      <c r="E227" s="26" t="s">
        <v>2282</v>
      </c>
      <c r="F227" s="26" t="s">
        <v>63</v>
      </c>
      <c r="G227" s="26" t="s">
        <v>1157</v>
      </c>
      <c r="H227" s="27"/>
    </row>
    <row r="228">
      <c r="A228" s="10" t="s">
        <v>199</v>
      </c>
      <c r="B228" s="22">
        <v>99.0</v>
      </c>
      <c r="C228" s="22">
        <v>99.0</v>
      </c>
      <c r="D228" s="22">
        <v>99.0</v>
      </c>
      <c r="E228" s="22">
        <v>100.0</v>
      </c>
      <c r="F228" s="22">
        <v>100.0</v>
      </c>
      <c r="G228" s="22">
        <v>100.0</v>
      </c>
      <c r="H228" s="27"/>
    </row>
    <row r="229">
      <c r="A229" s="10" t="s">
        <v>201</v>
      </c>
      <c r="B229" s="29" t="s">
        <v>2408</v>
      </c>
      <c r="C229" s="29" t="s">
        <v>2351</v>
      </c>
      <c r="D229" s="29" t="s">
        <v>408</v>
      </c>
      <c r="E229" s="29" t="s">
        <v>3175</v>
      </c>
      <c r="F229" s="29" t="s">
        <v>3134</v>
      </c>
      <c r="G229" s="29" t="s">
        <v>3310</v>
      </c>
      <c r="H229" s="27"/>
    </row>
    <row r="230">
      <c r="A230" s="10" t="s">
        <v>209</v>
      </c>
      <c r="B230" s="22" t="s">
        <v>2036</v>
      </c>
      <c r="C230" s="22" t="s">
        <v>2035</v>
      </c>
      <c r="D230" s="22" t="s">
        <v>2473</v>
      </c>
      <c r="E230" s="22" t="s">
        <v>538</v>
      </c>
      <c r="F230" s="22" t="s">
        <v>1527</v>
      </c>
      <c r="G230" s="22" t="s">
        <v>3187</v>
      </c>
      <c r="H230" s="27"/>
    </row>
    <row r="231">
      <c r="A231" s="10" t="s">
        <v>215</v>
      </c>
      <c r="B231" s="29" t="s">
        <v>231</v>
      </c>
      <c r="C231" s="29" t="s">
        <v>231</v>
      </c>
      <c r="D231" s="29" t="s">
        <v>231</v>
      </c>
      <c r="E231" s="29" t="s">
        <v>231</v>
      </c>
      <c r="F231" s="29" t="s">
        <v>564</v>
      </c>
      <c r="G231" s="29" t="s">
        <v>419</v>
      </c>
      <c r="H231" s="27"/>
    </row>
    <row r="232">
      <c r="A232" s="15" t="s">
        <v>224</v>
      </c>
      <c r="B232" s="22" t="s">
        <v>241</v>
      </c>
      <c r="C232" s="22" t="s">
        <v>2042</v>
      </c>
      <c r="D232" s="22" t="s">
        <v>2599</v>
      </c>
      <c r="E232" s="22" t="s">
        <v>2751</v>
      </c>
      <c r="F232" s="22" t="s">
        <v>2705</v>
      </c>
      <c r="G232" s="22" t="s">
        <v>3278</v>
      </c>
      <c r="H232" s="27"/>
    </row>
    <row r="233">
      <c r="A233" s="30"/>
      <c r="B233" s="22" t="s">
        <v>1457</v>
      </c>
      <c r="C233" s="22" t="s">
        <v>587</v>
      </c>
      <c r="D233" s="22" t="s">
        <v>477</v>
      </c>
      <c r="E233" s="22" t="s">
        <v>549</v>
      </c>
      <c r="F233" s="22" t="s">
        <v>355</v>
      </c>
      <c r="G233" s="22" t="s">
        <v>2332</v>
      </c>
      <c r="H233" s="27"/>
    </row>
    <row r="234">
      <c r="A234" s="30"/>
      <c r="B234" s="22" t="s">
        <v>473</v>
      </c>
      <c r="C234" s="22" t="s">
        <v>3042</v>
      </c>
      <c r="D234" s="22" t="s">
        <v>2111</v>
      </c>
      <c r="E234" s="22" t="s">
        <v>1848</v>
      </c>
      <c r="F234" s="22" t="s">
        <v>365</v>
      </c>
      <c r="G234" s="22" t="s">
        <v>1363</v>
      </c>
      <c r="H234" s="27"/>
    </row>
    <row r="235">
      <c r="A235" s="25"/>
      <c r="B235" s="22" t="s">
        <v>477</v>
      </c>
      <c r="C235" s="22" t="s">
        <v>2450</v>
      </c>
      <c r="D235" s="22" t="s">
        <v>2550</v>
      </c>
      <c r="E235" s="22" t="s">
        <v>244</v>
      </c>
      <c r="F235" s="22" t="s">
        <v>357</v>
      </c>
      <c r="G235" s="22" t="s">
        <v>1039</v>
      </c>
      <c r="H235" s="31"/>
      <c r="I235" s="32"/>
    </row>
    <row r="236">
      <c r="A236" s="10" t="s">
        <v>5</v>
      </c>
      <c r="B236" s="11" t="s">
        <v>3312</v>
      </c>
      <c r="C236" s="9"/>
      <c r="D236" s="9"/>
      <c r="E236" s="9"/>
      <c r="F236" s="9"/>
      <c r="G236" s="9"/>
      <c r="H236" s="9"/>
      <c r="I236" s="13"/>
    </row>
    <row r="237" ht="60.0" customHeight="1">
      <c r="A237" s="15" t="s">
        <v>16</v>
      </c>
      <c r="B237" s="22" t="str">
        <f t="array" ref="B237">iferror(VLOOKUP(INDIRECT(ADDRESS(ROW()+1,COLUMN(), 4)),Dex!$A$2:$C335,3,false),"")</f>
        <v/>
      </c>
      <c r="C237" s="22" t="str">
        <f t="array" ref="C237">iferror(VLOOKUP(INDIRECT(ADDRESS(ROW()+1,COLUMN(), 4)),Dex!$A$2:$C335,3,false),"")</f>
        <v/>
      </c>
      <c r="D237" s="22" t="str">
        <f t="array" ref="D237">iferror(VLOOKUP(INDIRECT(ADDRESS(ROW()+1,COLUMN(), 4)),Dex!$A$2:$C335,3,false),"")</f>
        <v/>
      </c>
      <c r="E237" s="22" t="str">
        <f t="array" ref="E237">iferror(VLOOKUP(INDIRECT(ADDRESS(ROW()+1,COLUMN(), 4)),Dex!$A$2:$C335,3,false),"")</f>
        <v/>
      </c>
      <c r="F237" s="22" t="str">
        <f t="array" ref="F237">iferror(VLOOKUP(INDIRECT(ADDRESS(ROW()+1,COLUMN(), 4)),Dex!$A$2:$C335,3,false),"")</f>
        <v/>
      </c>
      <c r="G237" s="22" t="str">
        <f t="array" ref="G237">iferror(VLOOKUP(INDIRECT(ADDRESS(ROW()+1,COLUMN(), 4)),Dex!$A$2:$C335,3,false),"")</f>
        <v/>
      </c>
      <c r="H237" s="23" t="str">
        <f t="array" ref="H237">iferror(VLOOKUP("TRAINER_PIC_Lucy",Sprites!$A$1:$B335,2,false),"")</f>
        <v/>
      </c>
      <c r="I237" s="24"/>
    </row>
    <row r="238">
      <c r="A238" s="25"/>
      <c r="B238" s="26" t="s">
        <v>823</v>
      </c>
      <c r="C238" s="26" t="s">
        <v>316</v>
      </c>
      <c r="D238" s="26" t="s">
        <v>513</v>
      </c>
      <c r="E238" s="26" t="s">
        <v>2269</v>
      </c>
      <c r="F238" s="26" t="s">
        <v>323</v>
      </c>
      <c r="G238" s="26" t="s">
        <v>1925</v>
      </c>
      <c r="H238" s="27"/>
    </row>
    <row r="239">
      <c r="A239" s="10" t="s">
        <v>199</v>
      </c>
      <c r="B239" s="22">
        <v>99.0</v>
      </c>
      <c r="C239" s="22">
        <v>99.0</v>
      </c>
      <c r="D239" s="22">
        <v>100.0</v>
      </c>
      <c r="E239" s="22">
        <v>100.0</v>
      </c>
      <c r="F239" s="22">
        <v>100.0</v>
      </c>
      <c r="G239" s="22">
        <v>100.0</v>
      </c>
      <c r="H239" s="27"/>
    </row>
    <row r="240">
      <c r="A240" s="10" t="s">
        <v>201</v>
      </c>
      <c r="B240" s="29" t="s">
        <v>1015</v>
      </c>
      <c r="C240" s="29" t="s">
        <v>1022</v>
      </c>
      <c r="D240" s="29" t="s">
        <v>206</v>
      </c>
      <c r="E240" s="29" t="s">
        <v>2474</v>
      </c>
      <c r="F240" s="29" t="s">
        <v>2730</v>
      </c>
      <c r="G240" s="29" t="s">
        <v>2099</v>
      </c>
      <c r="H240" s="27"/>
    </row>
    <row r="241">
      <c r="A241" s="10" t="s">
        <v>209</v>
      </c>
      <c r="B241" s="22" t="s">
        <v>1124</v>
      </c>
      <c r="C241" s="22" t="s">
        <v>212</v>
      </c>
      <c r="D241" s="22" t="s">
        <v>911</v>
      </c>
      <c r="E241" s="22" t="s">
        <v>2482</v>
      </c>
      <c r="F241" s="22" t="s">
        <v>1642</v>
      </c>
      <c r="G241" s="22" t="s">
        <v>2377</v>
      </c>
      <c r="H241" s="27"/>
    </row>
    <row r="242">
      <c r="A242" s="10" t="s">
        <v>215</v>
      </c>
      <c r="B242" s="29" t="s">
        <v>220</v>
      </c>
      <c r="C242" s="29" t="s">
        <v>220</v>
      </c>
      <c r="D242" s="29" t="s">
        <v>1346</v>
      </c>
      <c r="E242" s="29" t="s">
        <v>419</v>
      </c>
      <c r="F242" s="29" t="s">
        <v>419</v>
      </c>
      <c r="G242" s="29" t="s">
        <v>218</v>
      </c>
      <c r="H242" s="27"/>
    </row>
    <row r="243">
      <c r="A243" s="15" t="s">
        <v>224</v>
      </c>
      <c r="B243" s="22" t="s">
        <v>2220</v>
      </c>
      <c r="C243" s="22" t="s">
        <v>1844</v>
      </c>
      <c r="D243" s="22" t="s">
        <v>552</v>
      </c>
      <c r="E243" s="22" t="s">
        <v>3314</v>
      </c>
      <c r="F243" s="22" t="s">
        <v>3077</v>
      </c>
      <c r="G243" s="22" t="s">
        <v>3315</v>
      </c>
      <c r="H243" s="27"/>
    </row>
    <row r="244">
      <c r="A244" s="30"/>
      <c r="B244" s="22" t="s">
        <v>2214</v>
      </c>
      <c r="C244" s="22" t="s">
        <v>1366</v>
      </c>
      <c r="D244" s="22" t="s">
        <v>2491</v>
      </c>
      <c r="E244" s="22" t="s">
        <v>3034</v>
      </c>
      <c r="F244" s="22" t="s">
        <v>2040</v>
      </c>
      <c r="G244" s="22" t="s">
        <v>246</v>
      </c>
      <c r="H244" s="27"/>
    </row>
    <row r="245">
      <c r="A245" s="30"/>
      <c r="B245" s="22" t="s">
        <v>366</v>
      </c>
      <c r="C245" s="22" t="s">
        <v>2220</v>
      </c>
      <c r="D245" s="22" t="s">
        <v>926</v>
      </c>
      <c r="E245" s="22" t="s">
        <v>582</v>
      </c>
      <c r="F245" s="22" t="s">
        <v>582</v>
      </c>
      <c r="G245" s="22" t="s">
        <v>367</v>
      </c>
      <c r="H245" s="27"/>
    </row>
    <row r="246">
      <c r="A246" s="25"/>
      <c r="B246" s="22" t="s">
        <v>808</v>
      </c>
      <c r="C246" s="22" t="s">
        <v>477</v>
      </c>
      <c r="D246" s="22" t="s">
        <v>236</v>
      </c>
      <c r="E246" s="22" t="s">
        <v>1227</v>
      </c>
      <c r="F246" s="22" t="s">
        <v>694</v>
      </c>
      <c r="G246" s="22" t="s">
        <v>1958</v>
      </c>
      <c r="H246" s="31"/>
      <c r="I246" s="32"/>
    </row>
    <row r="247">
      <c r="A247" s="10" t="s">
        <v>5</v>
      </c>
      <c r="B247" s="11" t="s">
        <v>3316</v>
      </c>
      <c r="C247" s="9"/>
      <c r="D247" s="9"/>
      <c r="E247" s="9"/>
      <c r="F247" s="9"/>
      <c r="G247" s="9"/>
      <c r="H247" s="9"/>
      <c r="I247" s="14"/>
    </row>
    <row r="248" ht="60.0" customHeight="1">
      <c r="A248" s="15" t="s">
        <v>16</v>
      </c>
      <c r="B248" s="22" t="str">
        <f t="array" ref="B248">iferror(VLOOKUP(INDIRECT(ADDRESS(ROW()+1,COLUMN(), 4)),Dex!$A$2:$C335,3,false),"")</f>
        <v/>
      </c>
      <c r="C248" s="22" t="str">
        <f t="array" ref="C248">iferror(VLOOKUP(INDIRECT(ADDRESS(ROW()+1,COLUMN(), 4)),Dex!$A$2:$C335,3,false),"")</f>
        <v/>
      </c>
      <c r="D248" s="22" t="str">
        <f t="array" ref="D248">iferror(VLOOKUP(INDIRECT(ADDRESS(ROW()+1,COLUMN(), 4)),Dex!$A$2:$C335,3,false),"")</f>
        <v/>
      </c>
      <c r="E248" s="22" t="str">
        <f t="array" ref="E248">iferror(VLOOKUP(INDIRECT(ADDRESS(ROW()+1,COLUMN(), 4)),Dex!$A$2:$C335,3,false),"")</f>
        <v/>
      </c>
      <c r="F248" s="22" t="str">
        <f t="array" ref="F248">iferror(VLOOKUP(INDIRECT(ADDRESS(ROW()+1,COLUMN(), 4)),Dex!$A$2:$C335,3,false),"")</f>
        <v/>
      </c>
      <c r="G248" s="22" t="str">
        <f t="array" ref="G248">iferror(VLOOKUP(INDIRECT(ADDRESS(ROW()+1,COLUMN(), 4)),Dex!$A$2:$C335,3,false),"")</f>
        <v/>
      </c>
      <c r="H248" s="23" t="str">
        <f t="array" ref="H248">iferror(VLOOKUP("TRAINER_PIC_Lucy",Sprites!$A$1:$B335,2,false),"")</f>
        <v/>
      </c>
      <c r="I248" s="24"/>
    </row>
    <row r="249">
      <c r="A249" s="25"/>
      <c r="B249" s="26" t="s">
        <v>823</v>
      </c>
      <c r="C249" s="26" t="s">
        <v>316</v>
      </c>
      <c r="D249" s="26" t="s">
        <v>2269</v>
      </c>
      <c r="E249" s="26" t="s">
        <v>513</v>
      </c>
      <c r="F249" s="26" t="s">
        <v>323</v>
      </c>
      <c r="G249" s="26" t="s">
        <v>1925</v>
      </c>
      <c r="H249" s="27"/>
    </row>
    <row r="250">
      <c r="A250" s="10" t="s">
        <v>199</v>
      </c>
      <c r="B250" s="22">
        <v>99.0</v>
      </c>
      <c r="C250" s="22">
        <v>99.0</v>
      </c>
      <c r="D250" s="22">
        <v>100.0</v>
      </c>
      <c r="E250" s="22">
        <v>100.0</v>
      </c>
      <c r="F250" s="22">
        <v>100.0</v>
      </c>
      <c r="G250" s="22">
        <v>100.0</v>
      </c>
      <c r="H250" s="27"/>
    </row>
    <row r="251">
      <c r="A251" s="10" t="s">
        <v>201</v>
      </c>
      <c r="B251" s="29" t="s">
        <v>3073</v>
      </c>
      <c r="C251" s="29" t="s">
        <v>1022</v>
      </c>
      <c r="D251" s="29" t="s">
        <v>1279</v>
      </c>
      <c r="E251" s="29" t="s">
        <v>206</v>
      </c>
      <c r="F251" s="29" t="s">
        <v>2730</v>
      </c>
      <c r="G251" s="29" t="s">
        <v>2099</v>
      </c>
      <c r="H251" s="27"/>
    </row>
    <row r="252">
      <c r="A252" s="10" t="s">
        <v>209</v>
      </c>
      <c r="B252" s="22" t="s">
        <v>1124</v>
      </c>
      <c r="C252" s="22" t="s">
        <v>212</v>
      </c>
      <c r="D252" s="22" t="s">
        <v>2482</v>
      </c>
      <c r="E252" s="22" t="s">
        <v>911</v>
      </c>
      <c r="F252" s="22" t="s">
        <v>1642</v>
      </c>
      <c r="G252" s="22" t="s">
        <v>2377</v>
      </c>
      <c r="H252" s="27"/>
    </row>
    <row r="253">
      <c r="A253" s="10" t="s">
        <v>215</v>
      </c>
      <c r="B253" s="29" t="s">
        <v>220</v>
      </c>
      <c r="C253" s="29" t="s">
        <v>220</v>
      </c>
      <c r="D253" s="29" t="s">
        <v>419</v>
      </c>
      <c r="E253" s="29" t="s">
        <v>419</v>
      </c>
      <c r="F253" s="29" t="s">
        <v>419</v>
      </c>
      <c r="G253" s="29" t="s">
        <v>1346</v>
      </c>
      <c r="H253" s="27"/>
    </row>
    <row r="254">
      <c r="A254" s="15" t="s">
        <v>224</v>
      </c>
      <c r="B254" s="22" t="s">
        <v>2220</v>
      </c>
      <c r="C254" s="22" t="s">
        <v>1844</v>
      </c>
      <c r="D254" s="22" t="s">
        <v>3314</v>
      </c>
      <c r="E254" s="22" t="s">
        <v>694</v>
      </c>
      <c r="F254" s="22" t="s">
        <v>3077</v>
      </c>
      <c r="G254" s="22" t="s">
        <v>3315</v>
      </c>
      <c r="H254" s="27"/>
    </row>
    <row r="255">
      <c r="A255" s="30"/>
      <c r="B255" s="22" t="s">
        <v>2214</v>
      </c>
      <c r="C255" s="22" t="s">
        <v>1366</v>
      </c>
      <c r="D255" s="22" t="s">
        <v>3034</v>
      </c>
      <c r="E255" s="22" t="s">
        <v>2115</v>
      </c>
      <c r="F255" s="22" t="s">
        <v>2040</v>
      </c>
      <c r="G255" s="22" t="s">
        <v>1759</v>
      </c>
      <c r="H255" s="27"/>
    </row>
    <row r="256">
      <c r="A256" s="30"/>
      <c r="B256" s="22" t="s">
        <v>366</v>
      </c>
      <c r="C256" s="22" t="s">
        <v>2220</v>
      </c>
      <c r="D256" s="22" t="s">
        <v>582</v>
      </c>
      <c r="E256" s="22" t="s">
        <v>926</v>
      </c>
      <c r="F256" s="22" t="s">
        <v>582</v>
      </c>
      <c r="G256" s="22" t="s">
        <v>355</v>
      </c>
      <c r="H256" s="27"/>
    </row>
    <row r="257">
      <c r="A257" s="25"/>
      <c r="B257" s="22" t="s">
        <v>356</v>
      </c>
      <c r="C257" s="22" t="s">
        <v>477</v>
      </c>
      <c r="D257" s="22" t="s">
        <v>1227</v>
      </c>
      <c r="E257" s="22" t="s">
        <v>236</v>
      </c>
      <c r="F257" s="22" t="s">
        <v>1541</v>
      </c>
      <c r="G257" s="22" t="s">
        <v>1958</v>
      </c>
      <c r="H257" s="31"/>
      <c r="I257" s="32"/>
    </row>
    <row r="258">
      <c r="A258" s="10" t="s">
        <v>5</v>
      </c>
      <c r="B258" s="11" t="s">
        <v>3317</v>
      </c>
      <c r="C258" s="9"/>
      <c r="D258" s="9"/>
      <c r="E258" s="9"/>
      <c r="F258" s="9"/>
      <c r="G258" s="9"/>
      <c r="H258" s="9"/>
      <c r="I258" s="13"/>
    </row>
    <row r="259" ht="60.0" customHeight="1">
      <c r="A259" s="15" t="s">
        <v>16</v>
      </c>
      <c r="B259" s="22" t="str">
        <f t="array" ref="B259">iferror(VLOOKUP(INDIRECT(ADDRESS(ROW()+1,COLUMN(), 4)),Dex!$A$2:$C335,3,false),"")</f>
        <v/>
      </c>
      <c r="C259" s="22" t="str">
        <f t="array" ref="C259">iferror(VLOOKUP(INDIRECT(ADDRESS(ROW()+1,COLUMN(), 4)),Dex!$A$2:$C335,3,false),"")</f>
        <v/>
      </c>
      <c r="D259" s="22" t="str">
        <f t="array" ref="D259">iferror(VLOOKUP(INDIRECT(ADDRESS(ROW()+1,COLUMN(), 4)),Dex!$A$2:$C335,3,false),"")</f>
        <v/>
      </c>
      <c r="E259" s="22" t="str">
        <f t="array" ref="E259">iferror(VLOOKUP(INDIRECT(ADDRESS(ROW()+1,COLUMN(), 4)),Dex!$A$2:$C335,3,false),"")</f>
        <v/>
      </c>
      <c r="F259" s="22" t="str">
        <f t="array" ref="F259">iferror(VLOOKUP(INDIRECT(ADDRESS(ROW()+1,COLUMN(), 4)),Dex!$A$2:$C335,3,false),"")</f>
        <v/>
      </c>
      <c r="G259" s="22" t="str">
        <f t="array" ref="G259">iferror(VLOOKUP(INDIRECT(ADDRESS(ROW()+1,COLUMN(), 4)),Dex!$A$2:$C335,3,false),"")</f>
        <v/>
      </c>
      <c r="H259" s="23" t="str">
        <f t="array" ref="H259">iferror(VLOOKUP("TRAINER_PIC_Dome_Ace_Tucker",Sprites!$A$1:$B335,2,false),"")</f>
        <v/>
      </c>
      <c r="I259" s="24"/>
    </row>
    <row r="260">
      <c r="A260" s="25"/>
      <c r="B260" s="26" t="s">
        <v>1566</v>
      </c>
      <c r="C260" s="26" t="s">
        <v>2978</v>
      </c>
      <c r="D260" s="26" t="s">
        <v>1606</v>
      </c>
      <c r="E260" s="26" t="s">
        <v>1766</v>
      </c>
      <c r="F260" s="26" t="s">
        <v>1717</v>
      </c>
      <c r="G260" s="26" t="s">
        <v>1584</v>
      </c>
      <c r="H260" s="27"/>
    </row>
    <row r="261">
      <c r="A261" s="10" t="s">
        <v>199</v>
      </c>
      <c r="B261" s="22">
        <v>99.0</v>
      </c>
      <c r="C261" s="22">
        <v>100.0</v>
      </c>
      <c r="D261" s="22">
        <v>100.0</v>
      </c>
      <c r="E261" s="22">
        <v>100.0</v>
      </c>
      <c r="F261" s="22">
        <v>100.0</v>
      </c>
      <c r="G261" s="22">
        <v>100.0</v>
      </c>
      <c r="H261" s="27"/>
    </row>
    <row r="262">
      <c r="A262" s="10" t="s">
        <v>201</v>
      </c>
      <c r="B262" s="29" t="s">
        <v>2714</v>
      </c>
      <c r="C262" s="29" t="s">
        <v>2366</v>
      </c>
      <c r="D262" s="29" t="s">
        <v>2410</v>
      </c>
      <c r="E262" s="29" t="s">
        <v>3156</v>
      </c>
      <c r="F262" s="29" t="s">
        <v>206</v>
      </c>
      <c r="G262" s="29" t="s">
        <v>1928</v>
      </c>
      <c r="H262" s="27"/>
    </row>
    <row r="263">
      <c r="A263" s="10" t="s">
        <v>209</v>
      </c>
      <c r="B263" s="22" t="s">
        <v>538</v>
      </c>
      <c r="C263" s="22" t="s">
        <v>2361</v>
      </c>
      <c r="D263" s="22" t="s">
        <v>217</v>
      </c>
      <c r="E263" s="22" t="s">
        <v>2508</v>
      </c>
      <c r="F263" s="22" t="s">
        <v>1996</v>
      </c>
      <c r="G263" s="22" t="s">
        <v>3186</v>
      </c>
      <c r="H263" s="27"/>
    </row>
    <row r="264">
      <c r="A264" s="10" t="s">
        <v>215</v>
      </c>
      <c r="B264" s="29" t="s">
        <v>1343</v>
      </c>
      <c r="C264" s="29" t="s">
        <v>231</v>
      </c>
      <c r="D264" s="29" t="s">
        <v>222</v>
      </c>
      <c r="E264" s="29" t="s">
        <v>419</v>
      </c>
      <c r="F264" s="29" t="s">
        <v>231</v>
      </c>
      <c r="G264" s="29" t="s">
        <v>419</v>
      </c>
      <c r="H264" s="27"/>
    </row>
    <row r="265">
      <c r="A265" s="15" t="s">
        <v>224</v>
      </c>
      <c r="B265" s="22" t="s">
        <v>361</v>
      </c>
      <c r="C265" s="22" t="s">
        <v>799</v>
      </c>
      <c r="D265" s="22" t="s">
        <v>3174</v>
      </c>
      <c r="E265" s="22" t="s">
        <v>697</v>
      </c>
      <c r="F265" s="22" t="s">
        <v>549</v>
      </c>
      <c r="G265" s="22" t="s">
        <v>3235</v>
      </c>
      <c r="H265" s="27"/>
    </row>
    <row r="266">
      <c r="A266" s="30"/>
      <c r="B266" s="22" t="s">
        <v>2853</v>
      </c>
      <c r="C266" s="22" t="s">
        <v>1352</v>
      </c>
      <c r="D266" s="22" t="s">
        <v>1551</v>
      </c>
      <c r="E266" s="22" t="s">
        <v>469</v>
      </c>
      <c r="F266" s="22" t="s">
        <v>799</v>
      </c>
      <c r="G266" s="22" t="s">
        <v>697</v>
      </c>
      <c r="H266" s="27"/>
    </row>
    <row r="267">
      <c r="A267" s="30"/>
      <c r="B267" s="22" t="s">
        <v>565</v>
      </c>
      <c r="C267" s="22" t="s">
        <v>477</v>
      </c>
      <c r="D267" s="22" t="s">
        <v>2786</v>
      </c>
      <c r="E267" s="22" t="s">
        <v>582</v>
      </c>
      <c r="F267" s="22" t="s">
        <v>2907</v>
      </c>
      <c r="G267" s="22" t="s">
        <v>582</v>
      </c>
      <c r="H267" s="27"/>
    </row>
    <row r="268">
      <c r="A268" s="25"/>
      <c r="B268" s="22" t="s">
        <v>2370</v>
      </c>
      <c r="C268" s="22" t="s">
        <v>549</v>
      </c>
      <c r="D268" s="22" t="s">
        <v>1436</v>
      </c>
      <c r="E268" s="22" t="s">
        <v>1442</v>
      </c>
      <c r="F268" s="22" t="s">
        <v>1999</v>
      </c>
      <c r="G268" s="22" t="s">
        <v>2370</v>
      </c>
      <c r="H268" s="31"/>
      <c r="I268" s="32"/>
    </row>
    <row r="269">
      <c r="A269" s="10" t="s">
        <v>5</v>
      </c>
      <c r="B269" s="11" t="s">
        <v>3318</v>
      </c>
      <c r="C269" s="9"/>
      <c r="D269" s="9"/>
      <c r="E269" s="9"/>
      <c r="F269" s="9"/>
      <c r="G269" s="9"/>
      <c r="H269" s="9"/>
      <c r="I269" s="14"/>
    </row>
    <row r="270" ht="60.0" customHeight="1">
      <c r="A270" s="15" t="s">
        <v>16</v>
      </c>
      <c r="B270" s="22" t="str">
        <f t="array" ref="B270">iferror(VLOOKUP(INDIRECT(ADDRESS(ROW()+1,COLUMN(), 4)),Dex!$A$2:$C335,3,false),"")</f>
        <v/>
      </c>
      <c r="C270" s="22" t="str">
        <f t="array" ref="C270">iferror(VLOOKUP(INDIRECT(ADDRESS(ROW()+1,COLUMN(), 4)),Dex!$A$2:$C335,3,false),"")</f>
        <v/>
      </c>
      <c r="D270" s="22" t="str">
        <f t="array" ref="D270">iferror(VLOOKUP(INDIRECT(ADDRESS(ROW()+1,COLUMN(), 4)),Dex!$A$2:$C335,3,false),"")</f>
        <v/>
      </c>
      <c r="E270" s="22" t="str">
        <f t="array" ref="E270">iferror(VLOOKUP(INDIRECT(ADDRESS(ROW()+1,COLUMN(), 4)),Dex!$A$2:$C335,3,false),"")</f>
        <v/>
      </c>
      <c r="F270" s="22" t="str">
        <f t="array" ref="F270">iferror(VLOOKUP(INDIRECT(ADDRESS(ROW()+1,COLUMN(), 4)),Dex!$A$2:$C335,3,false),"")</f>
        <v/>
      </c>
      <c r="G270" s="22" t="str">
        <f t="array" ref="G270">iferror(VLOOKUP(INDIRECT(ADDRESS(ROW()+1,COLUMN(), 4)),Dex!$A$2:$C335,3,false),"")</f>
        <v/>
      </c>
      <c r="H270" s="23" t="str">
        <f t="array" ref="H270">iferror(VLOOKUP("TRAINER_PIC_Dome_Ace_Tucker",Sprites!$A$1:$B335,2,false),"")</f>
        <v/>
      </c>
      <c r="I270" s="24"/>
    </row>
    <row r="271">
      <c r="A271" s="25"/>
      <c r="B271" s="26" t="s">
        <v>1566</v>
      </c>
      <c r="C271" s="26" t="s">
        <v>2978</v>
      </c>
      <c r="D271" s="26" t="s">
        <v>1606</v>
      </c>
      <c r="E271" s="26" t="s">
        <v>747</v>
      </c>
      <c r="F271" s="26" t="s">
        <v>1717</v>
      </c>
      <c r="G271" s="26" t="s">
        <v>1584</v>
      </c>
      <c r="H271" s="27"/>
    </row>
    <row r="272">
      <c r="A272" s="10" t="s">
        <v>199</v>
      </c>
      <c r="B272" s="22">
        <v>99.0</v>
      </c>
      <c r="C272" s="22">
        <v>100.0</v>
      </c>
      <c r="D272" s="22">
        <v>100.0</v>
      </c>
      <c r="E272" s="22">
        <v>100.0</v>
      </c>
      <c r="F272" s="22">
        <v>100.0</v>
      </c>
      <c r="G272" s="22">
        <v>100.0</v>
      </c>
      <c r="H272" s="27"/>
    </row>
    <row r="273">
      <c r="A273" s="10" t="s">
        <v>201</v>
      </c>
      <c r="B273" s="29" t="s">
        <v>2032</v>
      </c>
      <c r="C273" s="29" t="s">
        <v>2366</v>
      </c>
      <c r="D273" s="29" t="s">
        <v>2750</v>
      </c>
      <c r="E273" s="29" t="s">
        <v>2570</v>
      </c>
      <c r="F273" s="29" t="s">
        <v>206</v>
      </c>
      <c r="G273" s="29" t="s">
        <v>1928</v>
      </c>
      <c r="H273" s="27"/>
    </row>
    <row r="274">
      <c r="A274" s="10" t="s">
        <v>209</v>
      </c>
      <c r="B274" s="22" t="s">
        <v>538</v>
      </c>
      <c r="C274" s="22" t="s">
        <v>2361</v>
      </c>
      <c r="D274" s="22" t="s">
        <v>217</v>
      </c>
      <c r="E274" s="22" t="s">
        <v>2404</v>
      </c>
      <c r="F274" s="22" t="s">
        <v>1996</v>
      </c>
      <c r="G274" s="22" t="s">
        <v>3186</v>
      </c>
      <c r="H274" s="27"/>
    </row>
    <row r="275">
      <c r="A275" s="10" t="s">
        <v>215</v>
      </c>
      <c r="B275" s="29" t="s">
        <v>1343</v>
      </c>
      <c r="C275" s="29" t="s">
        <v>419</v>
      </c>
      <c r="D275" s="29" t="s">
        <v>906</v>
      </c>
      <c r="E275" s="29" t="s">
        <v>220</v>
      </c>
      <c r="F275" s="29" t="s">
        <v>231</v>
      </c>
      <c r="G275" s="29" t="s">
        <v>419</v>
      </c>
      <c r="H275" s="27"/>
    </row>
    <row r="276">
      <c r="A276" s="15" t="s">
        <v>224</v>
      </c>
      <c r="B276" s="22" t="s">
        <v>361</v>
      </c>
      <c r="C276" s="22" t="s">
        <v>697</v>
      </c>
      <c r="D276" s="22" t="s">
        <v>362</v>
      </c>
      <c r="E276" s="22" t="s">
        <v>549</v>
      </c>
      <c r="F276" s="22" t="s">
        <v>549</v>
      </c>
      <c r="G276" s="22" t="s">
        <v>3235</v>
      </c>
      <c r="H276" s="27"/>
    </row>
    <row r="277">
      <c r="A277" s="30"/>
      <c r="B277" s="22" t="s">
        <v>2853</v>
      </c>
      <c r="C277" s="22" t="s">
        <v>582</v>
      </c>
      <c r="D277" s="22" t="s">
        <v>1250</v>
      </c>
      <c r="E277" s="22" t="s">
        <v>3240</v>
      </c>
      <c r="F277" s="22" t="s">
        <v>799</v>
      </c>
      <c r="G277" s="22" t="s">
        <v>697</v>
      </c>
      <c r="H277" s="27"/>
    </row>
    <row r="278">
      <c r="A278" s="30"/>
      <c r="B278" s="22" t="s">
        <v>565</v>
      </c>
      <c r="C278" s="22" t="s">
        <v>3034</v>
      </c>
      <c r="D278" s="22" t="s">
        <v>1761</v>
      </c>
      <c r="E278" s="22" t="s">
        <v>799</v>
      </c>
      <c r="F278" s="22" t="s">
        <v>2907</v>
      </c>
      <c r="G278" s="22" t="s">
        <v>582</v>
      </c>
      <c r="H278" s="27"/>
    </row>
    <row r="279">
      <c r="A279" s="25"/>
      <c r="B279" s="22" t="s">
        <v>2370</v>
      </c>
      <c r="C279" s="22" t="s">
        <v>1442</v>
      </c>
      <c r="D279" s="22" t="s">
        <v>2370</v>
      </c>
      <c r="E279" s="22" t="s">
        <v>366</v>
      </c>
      <c r="F279" s="22" t="s">
        <v>1999</v>
      </c>
      <c r="G279" s="22" t="s">
        <v>1891</v>
      </c>
      <c r="H279" s="31"/>
      <c r="I279" s="32"/>
    </row>
    <row r="280">
      <c r="A280" s="10" t="s">
        <v>5</v>
      </c>
      <c r="B280" s="11" t="s">
        <v>3319</v>
      </c>
      <c r="C280" s="9"/>
      <c r="D280" s="9"/>
      <c r="E280" s="9"/>
      <c r="F280" s="9"/>
      <c r="G280" s="9"/>
      <c r="H280" s="9"/>
      <c r="I280" s="14"/>
    </row>
    <row r="281" ht="60.0" customHeight="1">
      <c r="A281" s="15" t="s">
        <v>16</v>
      </c>
      <c r="B281" s="22" t="str">
        <f t="array" ref="B281">iferror(VLOOKUP(INDIRECT(ADDRESS(ROW()+1,COLUMN(), 4)),Dex!$A$2:$C335,3,false),"")</f>
        <v/>
      </c>
      <c r="C281" s="22" t="str">
        <f t="array" ref="C281">iferror(VLOOKUP(INDIRECT(ADDRESS(ROW()+1,COLUMN(), 4)),Dex!$A$2:$C335,3,false),"")</f>
        <v/>
      </c>
      <c r="D281" s="22" t="str">
        <f t="array" ref="D281">iferror(VLOOKUP(INDIRECT(ADDRESS(ROW()+1,COLUMN(), 4)),Dex!$A$2:$C335,3,false),"")</f>
        <v/>
      </c>
      <c r="E281" s="22" t="str">
        <f t="array" ref="E281">iferror(VLOOKUP(INDIRECT(ADDRESS(ROW()+1,COLUMN(), 4)),Dex!$A$2:$C335,3,false),"")</f>
        <v/>
      </c>
      <c r="F281" s="22" t="str">
        <f t="array" ref="F281">iferror(VLOOKUP(INDIRECT(ADDRESS(ROW()+1,COLUMN(), 4)),Dex!$A$2:$C335,3,false),"")</f>
        <v/>
      </c>
      <c r="G281" s="22" t="str">
        <f t="array" ref="G281">iferror(VLOOKUP(INDIRECT(ADDRESS(ROW()+1,COLUMN(), 4)),Dex!$A$2:$C335,3,false),"")</f>
        <v/>
      </c>
      <c r="H281" s="23" t="str">
        <f t="array" ref="H281">iferror(VLOOKUP("TRAINER_PIC_Magma_Leader_Maxie",Sprites!$A$1:$B335,2,false),"")</f>
        <v/>
      </c>
      <c r="I281" s="24"/>
    </row>
    <row r="282">
      <c r="A282" s="25"/>
      <c r="B282" s="26" t="s">
        <v>892</v>
      </c>
      <c r="C282" s="26" t="s">
        <v>1097</v>
      </c>
      <c r="D282" s="26" t="s">
        <v>908</v>
      </c>
      <c r="E282" s="26" t="s">
        <v>782</v>
      </c>
      <c r="F282" s="26"/>
      <c r="G282" s="26"/>
      <c r="H282" s="27"/>
    </row>
    <row r="283">
      <c r="A283" s="10" t="s">
        <v>199</v>
      </c>
      <c r="B283" s="22">
        <v>100.0</v>
      </c>
      <c r="C283" s="22">
        <v>100.0</v>
      </c>
      <c r="D283" s="22">
        <v>100.0</v>
      </c>
      <c r="E283" s="22">
        <v>100.0</v>
      </c>
      <c r="F283" s="22"/>
      <c r="G283" s="22"/>
      <c r="H283" s="27"/>
    </row>
    <row r="284">
      <c r="A284" s="10" t="s">
        <v>201</v>
      </c>
      <c r="B284" s="29" t="s">
        <v>3320</v>
      </c>
      <c r="C284" s="29" t="s">
        <v>408</v>
      </c>
      <c r="D284" s="29" t="s">
        <v>1546</v>
      </c>
      <c r="E284" s="29" t="s">
        <v>2455</v>
      </c>
      <c r="F284" s="29"/>
      <c r="G284" s="29"/>
      <c r="H284" s="27"/>
    </row>
    <row r="285">
      <c r="A285" s="10" t="s">
        <v>209</v>
      </c>
      <c r="B285" s="22" t="s">
        <v>2353</v>
      </c>
      <c r="C285" s="22" t="s">
        <v>413</v>
      </c>
      <c r="D285" s="22" t="s">
        <v>900</v>
      </c>
      <c r="E285" s="22" t="s">
        <v>352</v>
      </c>
      <c r="F285" s="22"/>
      <c r="G285" s="22"/>
      <c r="H285" s="27"/>
    </row>
    <row r="286">
      <c r="A286" s="10" t="s">
        <v>215</v>
      </c>
      <c r="B286" s="29" t="s">
        <v>231</v>
      </c>
      <c r="C286" s="29" t="s">
        <v>419</v>
      </c>
      <c r="D286" s="29" t="s">
        <v>419</v>
      </c>
      <c r="E286" s="29" t="s">
        <v>222</v>
      </c>
      <c r="F286" s="29"/>
      <c r="G286" s="29"/>
      <c r="H286" s="27"/>
    </row>
    <row r="287">
      <c r="A287" s="15" t="s">
        <v>224</v>
      </c>
      <c r="B287" s="22" t="s">
        <v>2498</v>
      </c>
      <c r="C287" s="22" t="s">
        <v>2332</v>
      </c>
      <c r="D287" s="22" t="s">
        <v>3321</v>
      </c>
      <c r="E287" s="22" t="s">
        <v>2601</v>
      </c>
      <c r="F287" s="22"/>
      <c r="G287" s="22"/>
      <c r="H287" s="27"/>
    </row>
    <row r="288">
      <c r="A288" s="30"/>
      <c r="B288" s="22" t="s">
        <v>2608</v>
      </c>
      <c r="C288" s="22" t="s">
        <v>1891</v>
      </c>
      <c r="D288" s="22" t="s">
        <v>1891</v>
      </c>
      <c r="E288" s="22" t="s">
        <v>236</v>
      </c>
      <c r="F288" s="22"/>
      <c r="G288" s="22"/>
      <c r="H288" s="27"/>
    </row>
    <row r="289">
      <c r="A289" s="30"/>
      <c r="B289" s="22" t="s">
        <v>363</v>
      </c>
      <c r="C289" s="22" t="s">
        <v>1955</v>
      </c>
      <c r="D289" s="22" t="s">
        <v>3034</v>
      </c>
      <c r="E289" s="22" t="s">
        <v>2555</v>
      </c>
      <c r="F289" s="22"/>
      <c r="G289" s="22"/>
      <c r="H289" s="27"/>
    </row>
    <row r="290">
      <c r="A290" s="25"/>
      <c r="B290" s="22" t="s">
        <v>476</v>
      </c>
      <c r="C290" s="22" t="s">
        <v>924</v>
      </c>
      <c r="D290" s="22" t="s">
        <v>2954</v>
      </c>
      <c r="E290" s="22" t="s">
        <v>3099</v>
      </c>
      <c r="F290" s="22"/>
      <c r="G290" s="22"/>
      <c r="H290" s="31"/>
      <c r="I290" s="32"/>
    </row>
    <row r="291">
      <c r="A291" s="10" t="s">
        <v>5</v>
      </c>
      <c r="B291" s="11" t="s">
        <v>3322</v>
      </c>
      <c r="C291" s="9"/>
      <c r="D291" s="9"/>
      <c r="E291" s="9"/>
      <c r="F291" s="9"/>
      <c r="G291" s="9"/>
      <c r="H291" s="9"/>
      <c r="I291" s="14"/>
    </row>
    <row r="292" ht="60.0" customHeight="1">
      <c r="A292" s="15" t="s">
        <v>16</v>
      </c>
      <c r="B292" s="22" t="str">
        <f t="array" ref="B292">iferror(VLOOKUP(INDIRECT(ADDRESS(ROW()+1,COLUMN(), 4)),Dex!$A$2:$C335,3,false),"")</f>
        <v/>
      </c>
      <c r="C292" s="22" t="str">
        <f t="array" ref="C292">iferror(VLOOKUP(INDIRECT(ADDRESS(ROW()+1,COLUMN(), 4)),Dex!$A$2:$C335,3,false),"")</f>
        <v/>
      </c>
      <c r="D292" s="22" t="str">
        <f t="array" ref="D292">iferror(VLOOKUP(INDIRECT(ADDRESS(ROW()+1,COLUMN(), 4)),Dex!$A$2:$C335,3,false),"")</f>
        <v/>
      </c>
      <c r="E292" s="22" t="str">
        <f t="array" ref="E292">iferror(VLOOKUP(INDIRECT(ADDRESS(ROW()+1,COLUMN(), 4)),Dex!$A$2:$C335,3,false),"")</f>
        <v/>
      </c>
      <c r="F292" s="22" t="str">
        <f t="array" ref="F292">iferror(VLOOKUP(INDIRECT(ADDRESS(ROW()+1,COLUMN(), 4)),Dex!$A$2:$C335,3,false),"")</f>
        <v/>
      </c>
      <c r="G292" s="22" t="str">
        <f t="array" ref="G292">iferror(VLOOKUP(INDIRECT(ADDRESS(ROW()+1,COLUMN(), 4)),Dex!$A$2:$C335,3,false),"")</f>
        <v/>
      </c>
      <c r="H292" s="23" t="str">
        <f t="array" ref="H292">iferror(VLOOKUP("TRAINER_PIC_Aqua_Leader_Archie",Sprites!$A$1:$B335,2,false),"")</f>
        <v/>
      </c>
      <c r="I292" s="24"/>
    </row>
    <row r="293">
      <c r="A293" s="25"/>
      <c r="B293" s="26" t="s">
        <v>2857</v>
      </c>
      <c r="C293" s="26" t="s">
        <v>885</v>
      </c>
      <c r="D293" s="26" t="s">
        <v>3115</v>
      </c>
      <c r="E293" s="26" t="s">
        <v>770</v>
      </c>
      <c r="F293" s="26"/>
      <c r="G293" s="26"/>
      <c r="H293" s="27"/>
    </row>
    <row r="294">
      <c r="A294" s="10" t="s">
        <v>199</v>
      </c>
      <c r="B294" s="22">
        <v>100.0</v>
      </c>
      <c r="C294" s="22">
        <v>100.0</v>
      </c>
      <c r="D294" s="22">
        <v>100.0</v>
      </c>
      <c r="E294" s="22">
        <v>100.0</v>
      </c>
      <c r="F294" s="22"/>
      <c r="G294" s="22"/>
      <c r="H294" s="27"/>
    </row>
    <row r="295">
      <c r="A295" s="10" t="s">
        <v>201</v>
      </c>
      <c r="B295" s="29" t="s">
        <v>206</v>
      </c>
      <c r="C295" s="29" t="s">
        <v>3323</v>
      </c>
      <c r="D295" s="29" t="s">
        <v>1928</v>
      </c>
      <c r="E295" s="29" t="s">
        <v>2835</v>
      </c>
      <c r="F295" s="29"/>
      <c r="G295" s="29"/>
      <c r="H295" s="27"/>
    </row>
    <row r="296">
      <c r="A296" s="10" t="s">
        <v>209</v>
      </c>
      <c r="B296" s="22" t="s">
        <v>2368</v>
      </c>
      <c r="C296" s="22" t="s">
        <v>2101</v>
      </c>
      <c r="D296" s="22" t="s">
        <v>2368</v>
      </c>
      <c r="E296" s="22" t="s">
        <v>2205</v>
      </c>
      <c r="F296" s="22"/>
      <c r="G296" s="22"/>
      <c r="H296" s="27"/>
    </row>
    <row r="297">
      <c r="A297" s="10" t="s">
        <v>215</v>
      </c>
      <c r="B297" s="29" t="s">
        <v>419</v>
      </c>
      <c r="C297" s="29" t="s">
        <v>419</v>
      </c>
      <c r="D297" s="29" t="s">
        <v>220</v>
      </c>
      <c r="E297" s="29" t="s">
        <v>231</v>
      </c>
      <c r="F297" s="29"/>
      <c r="G297" s="29"/>
      <c r="H297" s="27"/>
    </row>
    <row r="298">
      <c r="A298" s="15" t="s">
        <v>224</v>
      </c>
      <c r="B298" s="22" t="s">
        <v>2578</v>
      </c>
      <c r="C298" s="22" t="s">
        <v>3163</v>
      </c>
      <c r="D298" s="22" t="s">
        <v>1954</v>
      </c>
      <c r="E298" s="22" t="s">
        <v>1650</v>
      </c>
      <c r="F298" s="22"/>
      <c r="G298" s="22"/>
      <c r="H298" s="27"/>
    </row>
    <row r="299">
      <c r="A299" s="30"/>
      <c r="B299" s="22" t="s">
        <v>2555</v>
      </c>
      <c r="C299" s="22" t="s">
        <v>1891</v>
      </c>
      <c r="D299" s="22" t="s">
        <v>477</v>
      </c>
      <c r="E299" s="22" t="s">
        <v>431</v>
      </c>
      <c r="F299" s="22"/>
      <c r="G299" s="22"/>
      <c r="H299" s="27"/>
    </row>
    <row r="300">
      <c r="A300" s="30"/>
      <c r="B300" s="22" t="s">
        <v>2864</v>
      </c>
      <c r="C300" s="22" t="s">
        <v>234</v>
      </c>
      <c r="D300" s="22" t="s">
        <v>244</v>
      </c>
      <c r="E300" s="22" t="s">
        <v>1352</v>
      </c>
      <c r="F300" s="22"/>
      <c r="G300" s="22"/>
      <c r="H300" s="27"/>
    </row>
    <row r="301">
      <c r="A301" s="25"/>
      <c r="B301" s="22" t="s">
        <v>1043</v>
      </c>
      <c r="C301" s="22" t="s">
        <v>1442</v>
      </c>
      <c r="D301" s="22" t="s">
        <v>2659</v>
      </c>
      <c r="E301" s="22" t="s">
        <v>465</v>
      </c>
      <c r="F301" s="22"/>
      <c r="G301" s="22"/>
      <c r="H301" s="31"/>
      <c r="I301" s="32"/>
    </row>
    <row r="302">
      <c r="A302" s="10" t="s">
        <v>5</v>
      </c>
      <c r="B302" s="11" t="s">
        <v>3324</v>
      </c>
      <c r="C302" s="9"/>
      <c r="D302" s="9"/>
      <c r="E302" s="9"/>
      <c r="F302" s="9"/>
      <c r="G302" s="9"/>
      <c r="H302" s="9"/>
      <c r="I302" s="13"/>
    </row>
    <row r="303" ht="60.0" customHeight="1">
      <c r="A303" s="15" t="s">
        <v>16</v>
      </c>
      <c r="B303" s="22" t="str">
        <f t="array" ref="B303">iferror(VLOOKUP(INDIRECT(ADDRESS(ROW()+1,COLUMN(), 4)),Dex!$A$2:$C335,3,false),"")</f>
        <v/>
      </c>
      <c r="C303" s="22" t="str">
        <f t="array" ref="C303">iferror(VLOOKUP(INDIRECT(ADDRESS(ROW()+1,COLUMN(), 4)),Dex!$A$2:$C335,3,false),"")</f>
        <v/>
      </c>
      <c r="D303" s="22" t="str">
        <f t="array" ref="D303">iferror(VLOOKUP(INDIRECT(ADDRESS(ROW()+1,COLUMN(), 4)),Dex!$A$2:$C335,3,false),"")</f>
        <v/>
      </c>
      <c r="E303" s="22" t="str">
        <f t="array" ref="E303">iferror(VLOOKUP(INDIRECT(ADDRESS(ROW()+1,COLUMN(), 4)),Dex!$A$2:$C335,3,false),"")</f>
        <v/>
      </c>
      <c r="F303" s="22" t="str">
        <f t="array" ref="F303">iferror(VLOOKUP(INDIRECT(ADDRESS(ROW()+1,COLUMN(), 4)),Dex!$A$2:$C335,3,false),"")</f>
        <v/>
      </c>
      <c r="G303" s="22" t="str">
        <f t="array" ref="G303">iferror(VLOOKUP(INDIRECT(ADDRESS(ROW()+1,COLUMN(), 4)),Dex!$A$2:$C335,3,false),"")</f>
        <v/>
      </c>
      <c r="H303" s="23" t="str">
        <f t="array" ref="H303">iferror(VLOOKUP("TRAINER_PIC_Anabel",Sprites!$A$1:$B335,2,false),"")</f>
        <v/>
      </c>
      <c r="I303" s="24"/>
    </row>
    <row r="304">
      <c r="A304" s="25"/>
      <c r="B304" s="26" t="s">
        <v>1743</v>
      </c>
      <c r="C304" s="26" t="s">
        <v>868</v>
      </c>
      <c r="D304" s="26" t="s">
        <v>1679</v>
      </c>
      <c r="E304" s="26" t="s">
        <v>992</v>
      </c>
      <c r="F304" s="26" t="s">
        <v>449</v>
      </c>
      <c r="G304" s="26" t="s">
        <v>488</v>
      </c>
      <c r="H304" s="27"/>
    </row>
    <row r="305">
      <c r="A305" s="10" t="s">
        <v>199</v>
      </c>
      <c r="B305" s="22">
        <v>100.0</v>
      </c>
      <c r="C305" s="22">
        <v>100.0</v>
      </c>
      <c r="D305" s="22">
        <v>100.0</v>
      </c>
      <c r="E305" s="22">
        <v>100.0</v>
      </c>
      <c r="F305" s="22">
        <v>100.0</v>
      </c>
      <c r="G305" s="22">
        <v>100.0</v>
      </c>
      <c r="H305" s="27"/>
    </row>
    <row r="306">
      <c r="A306" s="10" t="s">
        <v>201</v>
      </c>
      <c r="B306" s="29" t="s">
        <v>1546</v>
      </c>
      <c r="C306" s="29" t="s">
        <v>1635</v>
      </c>
      <c r="D306" s="29" t="s">
        <v>1635</v>
      </c>
      <c r="E306" s="29" t="s">
        <v>206</v>
      </c>
      <c r="F306" s="29" t="s">
        <v>1022</v>
      </c>
      <c r="G306" s="29" t="s">
        <v>3325</v>
      </c>
      <c r="H306" s="27"/>
    </row>
    <row r="307">
      <c r="A307" s="10" t="s">
        <v>209</v>
      </c>
      <c r="B307" s="22" t="s">
        <v>1641</v>
      </c>
      <c r="C307" s="22" t="s">
        <v>219</v>
      </c>
      <c r="D307" s="22" t="s">
        <v>2687</v>
      </c>
      <c r="E307" s="22" t="s">
        <v>413</v>
      </c>
      <c r="F307" s="22" t="s">
        <v>212</v>
      </c>
      <c r="G307" s="22" t="s">
        <v>1341</v>
      </c>
      <c r="H307" s="27"/>
    </row>
    <row r="308">
      <c r="A308" s="10" t="s">
        <v>215</v>
      </c>
      <c r="B308" s="29" t="s">
        <v>419</v>
      </c>
      <c r="C308" s="29" t="s">
        <v>231</v>
      </c>
      <c r="D308" s="29" t="s">
        <v>220</v>
      </c>
      <c r="E308" s="29" t="s">
        <v>419</v>
      </c>
      <c r="F308" s="29" t="s">
        <v>220</v>
      </c>
      <c r="G308" s="29" t="s">
        <v>419</v>
      </c>
      <c r="H308" s="27"/>
    </row>
    <row r="309">
      <c r="A309" s="15" t="s">
        <v>224</v>
      </c>
      <c r="B309" s="22" t="s">
        <v>2320</v>
      </c>
      <c r="C309" s="22" t="s">
        <v>795</v>
      </c>
      <c r="D309" s="22" t="s">
        <v>2603</v>
      </c>
      <c r="E309" s="22" t="s">
        <v>3077</v>
      </c>
      <c r="F309" s="22" t="s">
        <v>1466</v>
      </c>
      <c r="G309" s="22" t="s">
        <v>1442</v>
      </c>
      <c r="H309" s="27"/>
    </row>
    <row r="310">
      <c r="A310" s="30"/>
      <c r="B310" s="22" t="s">
        <v>2040</v>
      </c>
      <c r="C310" s="22" t="s">
        <v>2624</v>
      </c>
      <c r="D310" s="22" t="s">
        <v>1033</v>
      </c>
      <c r="E310" s="22" t="s">
        <v>1541</v>
      </c>
      <c r="F310" s="22" t="s">
        <v>2704</v>
      </c>
      <c r="G310" s="22" t="s">
        <v>2557</v>
      </c>
      <c r="H310" s="27"/>
    </row>
    <row r="311">
      <c r="A311" s="30"/>
      <c r="B311" s="22" t="s">
        <v>253</v>
      </c>
      <c r="C311" s="22" t="s">
        <v>1460</v>
      </c>
      <c r="D311" s="22" t="s">
        <v>2688</v>
      </c>
      <c r="E311" s="22" t="s">
        <v>229</v>
      </c>
      <c r="F311" s="22" t="s">
        <v>1844</v>
      </c>
      <c r="G311" s="22" t="s">
        <v>234</v>
      </c>
      <c r="H311" s="27"/>
    </row>
    <row r="312">
      <c r="A312" s="25"/>
      <c r="B312" s="22" t="s">
        <v>1934</v>
      </c>
      <c r="C312" s="22" t="s">
        <v>2583</v>
      </c>
      <c r="D312" s="22" t="s">
        <v>477</v>
      </c>
      <c r="E312" s="22" t="s">
        <v>924</v>
      </c>
      <c r="F312" s="22" t="s">
        <v>2608</v>
      </c>
      <c r="G312" s="22" t="s">
        <v>246</v>
      </c>
      <c r="H312" s="31"/>
      <c r="I312" s="32"/>
    </row>
    <row r="313">
      <c r="A313" s="10" t="s">
        <v>5</v>
      </c>
      <c r="B313" s="11" t="s">
        <v>3326</v>
      </c>
      <c r="C313" s="9"/>
      <c r="D313" s="9"/>
      <c r="E313" s="9"/>
      <c r="F313" s="9"/>
      <c r="G313" s="9"/>
      <c r="H313" s="9"/>
      <c r="I313" s="13"/>
    </row>
    <row r="314" ht="60.0" customHeight="1">
      <c r="A314" s="15" t="s">
        <v>16</v>
      </c>
      <c r="B314" s="22" t="str">
        <f t="array" ref="B314">iferror(VLOOKUP(INDIRECT(ADDRESS(ROW()+1,COLUMN(), 4)),Dex!$A$2:$C335,3,false),"")</f>
        <v/>
      </c>
      <c r="C314" s="22" t="str">
        <f t="array" ref="C314">iferror(VLOOKUP(INDIRECT(ADDRESS(ROW()+1,COLUMN(), 4)),Dex!$A$2:$C335,3,false),"")</f>
        <v/>
      </c>
      <c r="D314" s="22" t="str">
        <f t="array" ref="D314">iferror(VLOOKUP(INDIRECT(ADDRESS(ROW()+1,COLUMN(), 4)),Dex!$A$2:$C335,3,false),"")</f>
        <v/>
      </c>
      <c r="E314" s="22" t="str">
        <f t="array" ref="E314">iferror(VLOOKUP(INDIRECT(ADDRESS(ROW()+1,COLUMN(), 4)),Dex!$A$2:$C335,3,false),"")</f>
        <v/>
      </c>
      <c r="F314" s="22" t="str">
        <f t="array" ref="F314">iferror(VLOOKUP(INDIRECT(ADDRESS(ROW()+1,COLUMN(), 4)),Dex!$A$2:$C335,3,false),"")</f>
        <v/>
      </c>
      <c r="G314" s="22" t="str">
        <f t="array" ref="G314">iferror(VLOOKUP(INDIRECT(ADDRESS(ROW()+1,COLUMN(), 4)),Dex!$A$2:$C335,3,false),"")</f>
        <v/>
      </c>
      <c r="H314" s="23" t="str">
        <f t="array" ref="H314">iferror(VLOOKUP("TRAINER_PIC_Noland",Sprites!$A$1:$B335,2,false),"")</f>
        <v/>
      </c>
      <c r="I314" s="24"/>
    </row>
    <row r="315">
      <c r="A315" s="25"/>
      <c r="B315" s="26" t="s">
        <v>1756</v>
      </c>
      <c r="C315" s="26" t="s">
        <v>872</v>
      </c>
      <c r="D315" s="26" t="s">
        <v>454</v>
      </c>
      <c r="E315" s="26" t="s">
        <v>746</v>
      </c>
      <c r="F315" s="26" t="s">
        <v>731</v>
      </c>
      <c r="G315" s="26" t="s">
        <v>486</v>
      </c>
      <c r="H315" s="27"/>
    </row>
    <row r="316">
      <c r="A316" s="10" t="s">
        <v>199</v>
      </c>
      <c r="B316" s="22">
        <v>100.0</v>
      </c>
      <c r="C316" s="22">
        <v>100.0</v>
      </c>
      <c r="D316" s="22">
        <v>100.0</v>
      </c>
      <c r="E316" s="22">
        <v>100.0</v>
      </c>
      <c r="F316" s="22">
        <v>100.0</v>
      </c>
      <c r="G316" s="22">
        <v>100.0</v>
      </c>
      <c r="H316" s="27"/>
    </row>
    <row r="317">
      <c r="A317" s="10" t="s">
        <v>201</v>
      </c>
      <c r="B317" s="29" t="s">
        <v>1429</v>
      </c>
      <c r="C317" s="29" t="s">
        <v>344</v>
      </c>
      <c r="D317" s="29" t="s">
        <v>1635</v>
      </c>
      <c r="E317" s="29" t="s">
        <v>2090</v>
      </c>
      <c r="F317" s="29" t="s">
        <v>1760</v>
      </c>
      <c r="G317" s="29" t="s">
        <v>3327</v>
      </c>
      <c r="H317" s="27"/>
    </row>
    <row r="318">
      <c r="A318" s="10" t="s">
        <v>209</v>
      </c>
      <c r="B318" s="22" t="s">
        <v>2709</v>
      </c>
      <c r="C318" s="22" t="s">
        <v>1216</v>
      </c>
      <c r="D318" s="22" t="s">
        <v>2377</v>
      </c>
      <c r="E318" s="22" t="s">
        <v>219</v>
      </c>
      <c r="F318" s="22" t="s">
        <v>2733</v>
      </c>
      <c r="G318" s="22" t="s">
        <v>2533</v>
      </c>
      <c r="H318" s="27"/>
    </row>
    <row r="319">
      <c r="A319" s="10" t="s">
        <v>215</v>
      </c>
      <c r="B319" s="29" t="s">
        <v>222</v>
      </c>
      <c r="C319" s="29" t="s">
        <v>220</v>
      </c>
      <c r="D319" s="29" t="s">
        <v>906</v>
      </c>
      <c r="E319" s="29" t="s">
        <v>542</v>
      </c>
      <c r="F319" s="29" t="s">
        <v>231</v>
      </c>
      <c r="G319" s="29" t="s">
        <v>231</v>
      </c>
      <c r="H319" s="27"/>
    </row>
    <row r="320">
      <c r="A320" s="15" t="s">
        <v>224</v>
      </c>
      <c r="B320" s="22" t="s">
        <v>3010</v>
      </c>
      <c r="C320" s="22" t="s">
        <v>3055</v>
      </c>
      <c r="D320" s="22" t="s">
        <v>1348</v>
      </c>
      <c r="E320" s="22" t="s">
        <v>799</v>
      </c>
      <c r="F320" s="22" t="s">
        <v>804</v>
      </c>
      <c r="G320" s="22" t="s">
        <v>951</v>
      </c>
      <c r="H320" s="27"/>
    </row>
    <row r="321">
      <c r="A321" s="30"/>
      <c r="B321" s="22" t="s">
        <v>2720</v>
      </c>
      <c r="C321" s="22" t="s">
        <v>796</v>
      </c>
      <c r="D321" s="22" t="s">
        <v>234</v>
      </c>
      <c r="E321" s="22" t="s">
        <v>366</v>
      </c>
      <c r="F321" s="22" t="s">
        <v>476</v>
      </c>
      <c r="G321" s="22" t="s">
        <v>477</v>
      </c>
      <c r="H321" s="27"/>
    </row>
    <row r="322">
      <c r="A322" s="30"/>
      <c r="B322" s="22" t="s">
        <v>697</v>
      </c>
      <c r="C322" s="22" t="s">
        <v>356</v>
      </c>
      <c r="D322" s="22" t="s">
        <v>232</v>
      </c>
      <c r="E322" s="22" t="s">
        <v>1169</v>
      </c>
      <c r="F322" s="22" t="s">
        <v>1466</v>
      </c>
      <c r="G322" s="22" t="s">
        <v>809</v>
      </c>
      <c r="H322" s="27"/>
    </row>
    <row r="323">
      <c r="A323" s="25"/>
      <c r="B323" s="22" t="s">
        <v>3328</v>
      </c>
      <c r="C323" s="22" t="s">
        <v>361</v>
      </c>
      <c r="D323" s="22" t="s">
        <v>1354</v>
      </c>
      <c r="E323" s="22" t="s">
        <v>1662</v>
      </c>
      <c r="F323" s="22" t="s">
        <v>356</v>
      </c>
      <c r="G323" s="22" t="s">
        <v>476</v>
      </c>
      <c r="H323" s="31"/>
      <c r="I323" s="32"/>
    </row>
    <row r="324">
      <c r="A324" s="53" t="s">
        <v>3329</v>
      </c>
      <c r="B324" s="9"/>
      <c r="C324" s="9"/>
      <c r="D324" s="9"/>
      <c r="E324" s="9"/>
      <c r="F324" s="9"/>
      <c r="G324" s="9"/>
      <c r="H324" s="9"/>
      <c r="I324" s="34"/>
    </row>
    <row r="325">
      <c r="A325" s="10" t="s">
        <v>5</v>
      </c>
      <c r="B325" s="11" t="s">
        <v>3330</v>
      </c>
      <c r="C325" s="9"/>
      <c r="D325" s="9"/>
      <c r="E325" s="9"/>
      <c r="F325" s="9"/>
      <c r="G325" s="9"/>
      <c r="H325" s="9"/>
      <c r="I325" s="13"/>
    </row>
    <row r="326" ht="60.0" customHeight="1">
      <c r="A326" s="10" t="s">
        <v>16</v>
      </c>
      <c r="B326" s="22" t="str">
        <f t="array" ref="B326">iferror(VLOOKUP(INDIRECT(ADDRESS(ROW()+1,COLUMN(), 4)),Dex!$A$2:$C335,3,false),"")</f>
        <v/>
      </c>
      <c r="C326" s="22" t="str">
        <f t="array" ref="C326">iferror(VLOOKUP(INDIRECT(ADDRESS(ROW()+1,COLUMN(), 4)),Dex!$A$2:$C335,3,false),"")</f>
        <v/>
      </c>
      <c r="D326" s="22" t="str">
        <f t="array" ref="D326">iferror(VLOOKUP(INDIRECT(ADDRESS(ROW()+1,COLUMN(), 4)),Dex!$A$2:$C335,3,false),"")</f>
        <v/>
      </c>
      <c r="E326" s="22" t="str">
        <f t="array" ref="E326">iferror(VLOOKUP(INDIRECT(ADDRESS(ROW()+1,COLUMN(), 4)),Dex!$A$2:$C335,3,false),"")</f>
        <v/>
      </c>
      <c r="F326" s="22" t="str">
        <f t="array" ref="F326">iferror(VLOOKUP(INDIRECT(ADDRESS(ROW()+1,COLUMN(), 4)),Dex!$A$2:$C335,3,false),"")</f>
        <v/>
      </c>
      <c r="G326" s="22" t="str">
        <f t="array" ref="G326">iferror(VLOOKUP(INDIRECT(ADDRESS(ROW()+1,COLUMN(), 4)),Dex!$A$2:$C335,3,false),"")</f>
        <v/>
      </c>
      <c r="H326" s="23" t="str">
        <f t="array" ref="H326">iferror(VLOOKUP("TRAINER_PIC_Pokemaniac",Sprites!$A$1:$B335,2,false),"")</f>
        <v/>
      </c>
      <c r="I326" s="24"/>
    </row>
    <row r="327">
      <c r="A327" s="47"/>
      <c r="B327" s="26" t="s">
        <v>1258</v>
      </c>
      <c r="C327" s="26" t="s">
        <v>1261</v>
      </c>
      <c r="D327" s="26" t="s">
        <v>1257</v>
      </c>
      <c r="E327" s="26" t="s">
        <v>1262</v>
      </c>
      <c r="F327" s="26" t="s">
        <v>2232</v>
      </c>
      <c r="G327" s="26" t="s">
        <v>1130</v>
      </c>
      <c r="H327" s="27"/>
    </row>
    <row r="328">
      <c r="A328" s="10" t="s">
        <v>199</v>
      </c>
      <c r="B328" s="22">
        <v>100.0</v>
      </c>
      <c r="C328" s="22">
        <v>100.0</v>
      </c>
      <c r="D328" s="22">
        <v>100.0</v>
      </c>
      <c r="E328" s="22">
        <v>100.0</v>
      </c>
      <c r="F328" s="22">
        <v>100.0</v>
      </c>
      <c r="G328" s="22">
        <v>100.0</v>
      </c>
      <c r="H328" s="27"/>
    </row>
    <row r="329">
      <c r="A329" s="10" t="s">
        <v>201</v>
      </c>
      <c r="B329" s="29" t="s">
        <v>777</v>
      </c>
      <c r="C329" s="29" t="s">
        <v>1122</v>
      </c>
      <c r="D329" s="29" t="s">
        <v>779</v>
      </c>
      <c r="E329" s="29" t="s">
        <v>2351</v>
      </c>
      <c r="F329" s="29" t="s">
        <v>3299</v>
      </c>
      <c r="G329" s="29" t="s">
        <v>406</v>
      </c>
      <c r="H329" s="27"/>
    </row>
    <row r="330">
      <c r="A330" s="10" t="s">
        <v>209</v>
      </c>
      <c r="B330" s="22" t="s">
        <v>352</v>
      </c>
      <c r="C330" s="22" t="s">
        <v>3289</v>
      </c>
      <c r="D330" s="22" t="s">
        <v>352</v>
      </c>
      <c r="E330" s="22" t="s">
        <v>911</v>
      </c>
      <c r="F330" s="22" t="s">
        <v>2508</v>
      </c>
      <c r="G330" s="22" t="s">
        <v>3187</v>
      </c>
      <c r="H330" s="27"/>
    </row>
    <row r="331">
      <c r="A331" s="10" t="s">
        <v>215</v>
      </c>
      <c r="B331" s="29" t="s">
        <v>222</v>
      </c>
      <c r="C331" s="29" t="s">
        <v>231</v>
      </c>
      <c r="D331" s="29" t="s">
        <v>231</v>
      </c>
      <c r="E331" s="29" t="s">
        <v>231</v>
      </c>
      <c r="F331" s="29" t="s">
        <v>231</v>
      </c>
      <c r="G331" s="29" t="s">
        <v>231</v>
      </c>
      <c r="H331" s="27"/>
    </row>
    <row r="332">
      <c r="A332" s="15" t="s">
        <v>224</v>
      </c>
      <c r="B332" s="22" t="s">
        <v>2555</v>
      </c>
      <c r="C332" s="22" t="s">
        <v>2640</v>
      </c>
      <c r="D332" s="22" t="s">
        <v>2327</v>
      </c>
      <c r="E332" s="22" t="s">
        <v>1549</v>
      </c>
      <c r="F332" s="22" t="s">
        <v>1460</v>
      </c>
      <c r="G332" s="22" t="s">
        <v>549</v>
      </c>
      <c r="H332" s="27"/>
    </row>
    <row r="333">
      <c r="A333" s="30"/>
      <c r="B333" s="22" t="s">
        <v>1458</v>
      </c>
      <c r="C333" s="22" t="s">
        <v>356</v>
      </c>
      <c r="D333" s="22" t="s">
        <v>652</v>
      </c>
      <c r="E333" s="22" t="s">
        <v>931</v>
      </c>
      <c r="F333" s="22" t="s">
        <v>3300</v>
      </c>
      <c r="G333" s="22" t="s">
        <v>233</v>
      </c>
      <c r="H333" s="27"/>
    </row>
    <row r="334">
      <c r="A334" s="30"/>
      <c r="B334" s="22" t="s">
        <v>253</v>
      </c>
      <c r="C334" s="22" t="s">
        <v>473</v>
      </c>
      <c r="D334" s="22" t="s">
        <v>796</v>
      </c>
      <c r="E334" s="22" t="s">
        <v>356</v>
      </c>
      <c r="F334" s="22" t="s">
        <v>2640</v>
      </c>
      <c r="G334" s="22" t="s">
        <v>2327</v>
      </c>
      <c r="H334" s="27"/>
    </row>
    <row r="335">
      <c r="A335" s="25"/>
      <c r="B335" s="22" t="s">
        <v>793</v>
      </c>
      <c r="C335" s="22" t="s">
        <v>1162</v>
      </c>
      <c r="D335" s="22" t="s">
        <v>476</v>
      </c>
      <c r="E335" s="22" t="s">
        <v>698</v>
      </c>
      <c r="F335" s="22" t="s">
        <v>356</v>
      </c>
      <c r="G335" s="22" t="s">
        <v>1125</v>
      </c>
      <c r="H335" s="31"/>
      <c r="I335" s="32"/>
    </row>
  </sheetData>
  <mergeCells count="124">
    <mergeCell ref="A55:A58"/>
    <mergeCell ref="A60:A61"/>
    <mergeCell ref="A66:A69"/>
    <mergeCell ref="A71:A72"/>
    <mergeCell ref="A77:A80"/>
    <mergeCell ref="A82:A83"/>
    <mergeCell ref="A88:A91"/>
    <mergeCell ref="B37:H37"/>
    <mergeCell ref="B48:H48"/>
    <mergeCell ref="B59:H59"/>
    <mergeCell ref="B70:H70"/>
    <mergeCell ref="B81:H81"/>
    <mergeCell ref="B92:H92"/>
    <mergeCell ref="B103:H103"/>
    <mergeCell ref="B114:H114"/>
    <mergeCell ref="B125:H125"/>
    <mergeCell ref="A136:I136"/>
    <mergeCell ref="B137:H137"/>
    <mergeCell ref="B148:H148"/>
    <mergeCell ref="B159:H159"/>
    <mergeCell ref="B170:H170"/>
    <mergeCell ref="A132:A135"/>
    <mergeCell ref="A138:A139"/>
    <mergeCell ref="A144:A147"/>
    <mergeCell ref="A149:A150"/>
    <mergeCell ref="A155:A158"/>
    <mergeCell ref="A160:A161"/>
    <mergeCell ref="A166:A169"/>
    <mergeCell ref="A199:A202"/>
    <mergeCell ref="B203:H203"/>
    <mergeCell ref="A204:A205"/>
    <mergeCell ref="A171:A172"/>
    <mergeCell ref="A177:A180"/>
    <mergeCell ref="B181:H181"/>
    <mergeCell ref="A182:A183"/>
    <mergeCell ref="A188:A191"/>
    <mergeCell ref="B192:H192"/>
    <mergeCell ref="A193:A194"/>
    <mergeCell ref="H226:I235"/>
    <mergeCell ref="B236:H236"/>
    <mergeCell ref="H171:I180"/>
    <mergeCell ref="H182:I191"/>
    <mergeCell ref="H193:I202"/>
    <mergeCell ref="H204:I213"/>
    <mergeCell ref="B214:H214"/>
    <mergeCell ref="H215:I224"/>
    <mergeCell ref="B225:H225"/>
    <mergeCell ref="H16:I25"/>
    <mergeCell ref="H27:I36"/>
    <mergeCell ref="H38:I47"/>
    <mergeCell ref="H49:I58"/>
    <mergeCell ref="H60:I69"/>
    <mergeCell ref="H71:I80"/>
    <mergeCell ref="H82:I91"/>
    <mergeCell ref="H93:I102"/>
    <mergeCell ref="H104:I113"/>
    <mergeCell ref="H115:I124"/>
    <mergeCell ref="H126:I135"/>
    <mergeCell ref="H138:I147"/>
    <mergeCell ref="H149:I158"/>
    <mergeCell ref="H160:I169"/>
    <mergeCell ref="A281:A282"/>
    <mergeCell ref="A287:A290"/>
    <mergeCell ref="A292:A293"/>
    <mergeCell ref="A303:A304"/>
    <mergeCell ref="A314:A315"/>
    <mergeCell ref="A332:A335"/>
    <mergeCell ref="A243:A246"/>
    <mergeCell ref="A248:A249"/>
    <mergeCell ref="A254:A257"/>
    <mergeCell ref="A259:A260"/>
    <mergeCell ref="A265:A268"/>
    <mergeCell ref="A270:A271"/>
    <mergeCell ref="A276:A279"/>
    <mergeCell ref="H314:I323"/>
    <mergeCell ref="H326:I335"/>
    <mergeCell ref="H237:I246"/>
    <mergeCell ref="H248:I257"/>
    <mergeCell ref="H259:I268"/>
    <mergeCell ref="H270:I279"/>
    <mergeCell ref="H281:I290"/>
    <mergeCell ref="H292:I301"/>
    <mergeCell ref="H303:I312"/>
    <mergeCell ref="A10:A13"/>
    <mergeCell ref="A16:A17"/>
    <mergeCell ref="B1:H1"/>
    <mergeCell ref="A2:I2"/>
    <mergeCell ref="B3:H3"/>
    <mergeCell ref="H4:I13"/>
    <mergeCell ref="A14:I14"/>
    <mergeCell ref="B15:H15"/>
    <mergeCell ref="B26:H26"/>
    <mergeCell ref="A4:A5"/>
    <mergeCell ref="A22:A25"/>
    <mergeCell ref="A27:A28"/>
    <mergeCell ref="A33:A36"/>
    <mergeCell ref="A38:A39"/>
    <mergeCell ref="A44:A47"/>
    <mergeCell ref="A49:A50"/>
    <mergeCell ref="A93:A94"/>
    <mergeCell ref="A99:A102"/>
    <mergeCell ref="A104:A105"/>
    <mergeCell ref="A110:A113"/>
    <mergeCell ref="A115:A116"/>
    <mergeCell ref="A121:A124"/>
    <mergeCell ref="A126:A127"/>
    <mergeCell ref="A210:A213"/>
    <mergeCell ref="A215:A216"/>
    <mergeCell ref="A221:A224"/>
    <mergeCell ref="A226:A227"/>
    <mergeCell ref="A232:A235"/>
    <mergeCell ref="A237:A238"/>
    <mergeCell ref="B247:H247"/>
    <mergeCell ref="A309:A312"/>
    <mergeCell ref="A320:A323"/>
    <mergeCell ref="A324:I324"/>
    <mergeCell ref="B325:H325"/>
    <mergeCell ref="B258:H258"/>
    <mergeCell ref="B269:H269"/>
    <mergeCell ref="B280:H280"/>
    <mergeCell ref="B291:H291"/>
    <mergeCell ref="A298:A301"/>
    <mergeCell ref="B302:H302"/>
    <mergeCell ref="B313:H313"/>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3"/>
      <c r="B1" s="5"/>
      <c r="C1" s="5"/>
      <c r="D1" s="5"/>
      <c r="E1" s="5"/>
      <c r="F1" s="5"/>
      <c r="G1" s="5"/>
      <c r="H1" s="5"/>
      <c r="I1" s="5"/>
    </row>
    <row r="2">
      <c r="A2" s="8" t="s">
        <v>3122</v>
      </c>
      <c r="B2" s="9"/>
      <c r="C2" s="9"/>
      <c r="D2" s="9"/>
      <c r="E2" s="9"/>
      <c r="F2" s="9"/>
      <c r="G2" s="9"/>
      <c r="H2" s="9"/>
      <c r="I2" s="34"/>
    </row>
    <row r="3">
      <c r="A3" s="10" t="s">
        <v>5</v>
      </c>
      <c r="B3" s="11" t="s">
        <v>3123</v>
      </c>
      <c r="C3" s="9"/>
      <c r="D3" s="9"/>
      <c r="E3" s="9"/>
      <c r="F3" s="9"/>
      <c r="G3" s="9"/>
      <c r="H3" s="9"/>
      <c r="I3" s="13"/>
    </row>
    <row r="4" ht="60.0" customHeight="1">
      <c r="A4" s="15" t="s">
        <v>16</v>
      </c>
      <c r="B4" s="22" t="str">
        <f t="array" ref="B4">iferror(VLOOKUP(INDIRECT(ADDRESS(ROW()+1,COLUMN(), 4)),Dex!$A$2:$C101,3,false),"")</f>
        <v/>
      </c>
      <c r="C4" s="22" t="str">
        <f t="array" ref="C4">iferror(VLOOKUP(INDIRECT(ADDRESS(ROW()+1,COLUMN(), 4)),Dex!$A$2:$C101,3,false),"")</f>
        <v/>
      </c>
      <c r="D4" s="22" t="str">
        <f t="array" ref="D4">iferror(VLOOKUP(INDIRECT(ADDRESS(ROW()+1,COLUMN(), 4)),Dex!$A$2:$C101,3,false),"")</f>
        <v/>
      </c>
      <c r="E4" s="22" t="str">
        <f t="array" ref="E4">iferror(VLOOKUP(INDIRECT(ADDRESS(ROW()+1,COLUMN(), 4)),Dex!$A$2:$C101,3,false),"")</f>
        <v/>
      </c>
      <c r="F4" s="22" t="str">
        <f t="array" ref="F4">iferror(VLOOKUP(INDIRECT(ADDRESS(ROW()+1,COLUMN(), 4)),Dex!$A$2:$C101,3,false),"")</f>
        <v/>
      </c>
      <c r="G4" s="22" t="str">
        <f t="array" ref="G4">iferror(VLOOKUP(INDIRECT(ADDRESS(ROW()+1,COLUMN(), 4)),Dex!$A$2:$C101,3,false),"")</f>
        <v/>
      </c>
      <c r="H4" s="23" t="str">
        <f t="array" ref="H4">iferror(VLOOKUP("TRAINER_PIC_Elite_Four_Sidney",Sprites!$A$1:$B101,2,false),"")</f>
        <v/>
      </c>
      <c r="I4" s="24"/>
    </row>
    <row r="5">
      <c r="A5" s="25"/>
      <c r="B5" s="26" t="s">
        <v>1463</v>
      </c>
      <c r="C5" s="26" t="s">
        <v>1968</v>
      </c>
      <c r="D5" s="26" t="s">
        <v>1876</v>
      </c>
      <c r="E5" s="26" t="s">
        <v>3129</v>
      </c>
      <c r="F5" s="26" t="s">
        <v>1585</v>
      </c>
      <c r="G5" s="26" t="s">
        <v>2184</v>
      </c>
      <c r="H5" s="27"/>
    </row>
    <row r="6">
      <c r="A6" s="10" t="s">
        <v>199</v>
      </c>
      <c r="B6" s="22">
        <v>100.0</v>
      </c>
      <c r="C6" s="22">
        <v>100.0</v>
      </c>
      <c r="D6" s="22">
        <v>100.0</v>
      </c>
      <c r="E6" s="22">
        <v>100.0</v>
      </c>
      <c r="F6" s="22">
        <v>100.0</v>
      </c>
      <c r="G6" s="22">
        <v>100.0</v>
      </c>
      <c r="H6" s="27"/>
    </row>
    <row r="7">
      <c r="A7" s="10" t="s">
        <v>201</v>
      </c>
      <c r="B7" s="29" t="s">
        <v>2511</v>
      </c>
      <c r="C7" s="29" t="s">
        <v>1521</v>
      </c>
      <c r="D7" s="29" t="s">
        <v>1342</v>
      </c>
      <c r="E7" s="29" t="s">
        <v>1635</v>
      </c>
      <c r="F7" s="29" t="s">
        <v>2861</v>
      </c>
      <c r="G7" s="29" t="s">
        <v>406</v>
      </c>
      <c r="H7" s="27"/>
    </row>
    <row r="8">
      <c r="A8" s="10" t="s">
        <v>209</v>
      </c>
      <c r="B8" s="22" t="s">
        <v>1339</v>
      </c>
      <c r="C8" s="22" t="s">
        <v>219</v>
      </c>
      <c r="D8" s="22" t="s">
        <v>221</v>
      </c>
      <c r="E8" s="22" t="s">
        <v>3130</v>
      </c>
      <c r="F8" s="22" t="s">
        <v>2931</v>
      </c>
      <c r="G8" s="22" t="s">
        <v>2527</v>
      </c>
      <c r="H8" s="27"/>
    </row>
    <row r="9">
      <c r="A9" s="10" t="s">
        <v>215</v>
      </c>
      <c r="B9" s="29" t="s">
        <v>419</v>
      </c>
      <c r="C9" s="29" t="s">
        <v>220</v>
      </c>
      <c r="D9" s="29" t="s">
        <v>542</v>
      </c>
      <c r="E9" s="29" t="s">
        <v>419</v>
      </c>
      <c r="F9" s="29" t="s">
        <v>419</v>
      </c>
      <c r="G9" s="29" t="s">
        <v>461</v>
      </c>
      <c r="H9" s="27"/>
    </row>
    <row r="10">
      <c r="A10" s="15" t="s">
        <v>224</v>
      </c>
      <c r="B10" s="22" t="s">
        <v>2512</v>
      </c>
      <c r="C10" s="22" t="s">
        <v>2220</v>
      </c>
      <c r="D10" s="22" t="s">
        <v>1040</v>
      </c>
      <c r="E10" s="22" t="s">
        <v>246</v>
      </c>
      <c r="F10" s="22" t="s">
        <v>585</v>
      </c>
      <c r="G10" s="22" t="s">
        <v>477</v>
      </c>
      <c r="H10" s="27"/>
    </row>
    <row r="11">
      <c r="A11" s="30"/>
      <c r="B11" s="22" t="s">
        <v>2617</v>
      </c>
      <c r="C11" s="22" t="s">
        <v>431</v>
      </c>
      <c r="D11" s="22" t="s">
        <v>1037</v>
      </c>
      <c r="E11" s="22" t="s">
        <v>2936</v>
      </c>
      <c r="F11" s="22" t="s">
        <v>3131</v>
      </c>
      <c r="G11" s="22" t="s">
        <v>366</v>
      </c>
      <c r="H11" s="27"/>
    </row>
    <row r="12">
      <c r="A12" s="30"/>
      <c r="B12" s="22" t="s">
        <v>570</v>
      </c>
      <c r="C12" s="22" t="s">
        <v>587</v>
      </c>
      <c r="D12" s="22" t="s">
        <v>2618</v>
      </c>
      <c r="E12" s="22" t="s">
        <v>249</v>
      </c>
      <c r="F12" s="22" t="s">
        <v>236</v>
      </c>
      <c r="G12" s="22" t="s">
        <v>652</v>
      </c>
      <c r="H12" s="27"/>
    </row>
    <row r="13">
      <c r="A13" s="25"/>
      <c r="B13" s="22" t="s">
        <v>576</v>
      </c>
      <c r="C13" s="22" t="s">
        <v>1366</v>
      </c>
      <c r="D13" s="22" t="s">
        <v>1227</v>
      </c>
      <c r="E13" s="22" t="s">
        <v>694</v>
      </c>
      <c r="F13" s="22" t="s">
        <v>3023</v>
      </c>
      <c r="G13" s="22" t="s">
        <v>549</v>
      </c>
      <c r="H13" s="31"/>
      <c r="I13" s="32"/>
    </row>
    <row r="14">
      <c r="A14" s="10" t="s">
        <v>5</v>
      </c>
      <c r="B14" s="11" t="s">
        <v>3132</v>
      </c>
      <c r="C14" s="9"/>
      <c r="D14" s="9"/>
      <c r="E14" s="9"/>
      <c r="F14" s="9"/>
      <c r="G14" s="9"/>
      <c r="H14" s="9"/>
      <c r="I14" s="14"/>
    </row>
    <row r="15" ht="60.0" customHeight="1">
      <c r="A15" s="15" t="s">
        <v>16</v>
      </c>
      <c r="B15" s="22" t="str">
        <f t="array" ref="B15">iferror(VLOOKUP(INDIRECT(ADDRESS(ROW()+1,COLUMN(), 4)),Dex!$A$2:$C101,3,false),"")</f>
        <v/>
      </c>
      <c r="C15" s="22" t="str">
        <f t="array" ref="C15">iferror(VLOOKUP(INDIRECT(ADDRESS(ROW()+1,COLUMN(), 4)),Dex!$A$2:$C101,3,false),"")</f>
        <v/>
      </c>
      <c r="D15" s="22" t="str">
        <f t="array" ref="D15">iferror(VLOOKUP(INDIRECT(ADDRESS(ROW()+1,COLUMN(), 4)),Dex!$A$2:$C101,3,false),"")</f>
        <v/>
      </c>
      <c r="E15" s="22" t="str">
        <f t="array" ref="E15">iferror(VLOOKUP(INDIRECT(ADDRESS(ROW()+1,COLUMN(), 4)),Dex!$A$2:$C101,3,false),"")</f>
        <v/>
      </c>
      <c r="F15" s="22" t="str">
        <f t="array" ref="F15">iferror(VLOOKUP(INDIRECT(ADDRESS(ROW()+1,COLUMN(), 4)),Dex!$A$2:$C101,3,false),"")</f>
        <v/>
      </c>
      <c r="G15" s="22" t="str">
        <f t="array" ref="G15">iferror(VLOOKUP(INDIRECT(ADDRESS(ROW()+1,COLUMN(), 4)),Dex!$A$2:$C101,3,false),"")</f>
        <v/>
      </c>
      <c r="H15" s="23" t="str">
        <f t="array" ref="H15">iferror(VLOOKUP("TRAINER_PIC_Elite_Four_Sidney",Sprites!$A$1:$B101,2,false),"")</f>
        <v/>
      </c>
      <c r="I15" s="24"/>
    </row>
    <row r="16">
      <c r="A16" s="25"/>
      <c r="B16" s="26" t="s">
        <v>1268</v>
      </c>
      <c r="C16" s="26" t="s">
        <v>3110</v>
      </c>
      <c r="D16" s="26" t="s">
        <v>1968</v>
      </c>
      <c r="E16" s="26" t="s">
        <v>1585</v>
      </c>
      <c r="F16" s="26" t="s">
        <v>425</v>
      </c>
      <c r="G16" s="26" t="s">
        <v>2184</v>
      </c>
      <c r="H16" s="27"/>
    </row>
    <row r="17">
      <c r="A17" s="10" t="s">
        <v>199</v>
      </c>
      <c r="B17" s="22">
        <v>100.0</v>
      </c>
      <c r="C17" s="22">
        <v>100.0</v>
      </c>
      <c r="D17" s="22">
        <v>100.0</v>
      </c>
      <c r="E17" s="22">
        <v>100.0</v>
      </c>
      <c r="F17" s="22">
        <v>100.0</v>
      </c>
      <c r="G17" s="22">
        <v>100.0</v>
      </c>
      <c r="H17" s="27"/>
    </row>
    <row r="18">
      <c r="A18" s="10" t="s">
        <v>201</v>
      </c>
      <c r="B18" s="29" t="s">
        <v>2032</v>
      </c>
      <c r="C18" s="29" t="s">
        <v>408</v>
      </c>
      <c r="D18" s="29" t="s">
        <v>1521</v>
      </c>
      <c r="E18" s="29" t="s">
        <v>2861</v>
      </c>
      <c r="F18" s="29" t="s">
        <v>3137</v>
      </c>
      <c r="G18" s="29" t="s">
        <v>406</v>
      </c>
      <c r="H18" s="27"/>
    </row>
    <row r="19">
      <c r="A19" s="10" t="s">
        <v>209</v>
      </c>
      <c r="B19" s="22" t="s">
        <v>219</v>
      </c>
      <c r="C19" s="22" t="s">
        <v>3111</v>
      </c>
      <c r="D19" s="22" t="s">
        <v>219</v>
      </c>
      <c r="E19" s="22" t="s">
        <v>2931</v>
      </c>
      <c r="F19" s="22" t="s">
        <v>2840</v>
      </c>
      <c r="G19" s="22" t="s">
        <v>2527</v>
      </c>
      <c r="H19" s="27"/>
    </row>
    <row r="20">
      <c r="A20" s="10" t="s">
        <v>215</v>
      </c>
      <c r="B20" s="29" t="s">
        <v>904</v>
      </c>
      <c r="C20" s="29" t="s">
        <v>231</v>
      </c>
      <c r="D20" s="29" t="s">
        <v>220</v>
      </c>
      <c r="E20" s="29" t="s">
        <v>419</v>
      </c>
      <c r="F20" s="29" t="s">
        <v>231</v>
      </c>
      <c r="G20" s="29" t="s">
        <v>220</v>
      </c>
      <c r="H20" s="27"/>
    </row>
    <row r="21">
      <c r="A21" s="15" t="s">
        <v>224</v>
      </c>
      <c r="B21" s="22" t="s">
        <v>241</v>
      </c>
      <c r="C21" s="22" t="s">
        <v>2640</v>
      </c>
      <c r="D21" s="22" t="s">
        <v>2220</v>
      </c>
      <c r="E21" s="22" t="s">
        <v>585</v>
      </c>
      <c r="F21" s="22" t="s">
        <v>1460</v>
      </c>
      <c r="G21" s="22" t="s">
        <v>477</v>
      </c>
      <c r="H21" s="27"/>
    </row>
    <row r="22">
      <c r="A22" s="30"/>
      <c r="B22" s="22" t="s">
        <v>463</v>
      </c>
      <c r="C22" s="22" t="s">
        <v>468</v>
      </c>
      <c r="D22" s="22" t="s">
        <v>3138</v>
      </c>
      <c r="E22" s="22" t="s">
        <v>3131</v>
      </c>
      <c r="F22" s="22" t="s">
        <v>587</v>
      </c>
      <c r="G22" s="22" t="s">
        <v>366</v>
      </c>
      <c r="H22" s="27"/>
    </row>
    <row r="23">
      <c r="A23" s="30"/>
      <c r="B23" s="22" t="s">
        <v>428</v>
      </c>
      <c r="C23" s="22" t="s">
        <v>1352</v>
      </c>
      <c r="D23" s="22" t="s">
        <v>587</v>
      </c>
      <c r="E23" s="22" t="s">
        <v>236</v>
      </c>
      <c r="F23" s="22" t="s">
        <v>431</v>
      </c>
      <c r="G23" s="22" t="s">
        <v>652</v>
      </c>
      <c r="H23" s="27"/>
    </row>
    <row r="24">
      <c r="A24" s="25"/>
      <c r="B24" s="22" t="s">
        <v>2560</v>
      </c>
      <c r="C24" s="22" t="s">
        <v>465</v>
      </c>
      <c r="D24" s="22" t="s">
        <v>1158</v>
      </c>
      <c r="E24" s="22" t="s">
        <v>938</v>
      </c>
      <c r="F24" s="22" t="s">
        <v>1848</v>
      </c>
      <c r="G24" s="22" t="s">
        <v>951</v>
      </c>
      <c r="H24" s="31"/>
      <c r="I24" s="32"/>
    </row>
    <row r="25">
      <c r="A25" s="10" t="s">
        <v>5</v>
      </c>
      <c r="B25" s="11" t="s">
        <v>3142</v>
      </c>
      <c r="C25" s="9"/>
      <c r="D25" s="9"/>
      <c r="E25" s="9"/>
      <c r="F25" s="9"/>
      <c r="G25" s="9"/>
      <c r="H25" s="9"/>
      <c r="I25" s="14"/>
    </row>
    <row r="26" ht="60.0" customHeight="1">
      <c r="A26" s="15" t="s">
        <v>16</v>
      </c>
      <c r="B26" s="22" t="str">
        <f t="array" ref="B26">iferror(VLOOKUP(INDIRECT(ADDRESS(ROW()+1,COLUMN(), 4)),Dex!$A$2:$C101,3,false),"")</f>
        <v/>
      </c>
      <c r="C26" s="22" t="str">
        <f t="array" ref="C26">iferror(VLOOKUP(INDIRECT(ADDRESS(ROW()+1,COLUMN(), 4)),Dex!$A$2:$C101,3,false),"")</f>
        <v/>
      </c>
      <c r="D26" s="22" t="str">
        <f t="array" ref="D26">iferror(VLOOKUP(INDIRECT(ADDRESS(ROW()+1,COLUMN(), 4)),Dex!$A$2:$C101,3,false),"")</f>
        <v/>
      </c>
      <c r="E26" s="22" t="str">
        <f t="array" ref="E26">iferror(VLOOKUP(INDIRECT(ADDRESS(ROW()+1,COLUMN(), 4)),Dex!$A$2:$C101,3,false),"")</f>
        <v/>
      </c>
      <c r="F26" s="22" t="str">
        <f t="array" ref="F26">iferror(VLOOKUP(INDIRECT(ADDRESS(ROW()+1,COLUMN(), 4)),Dex!$A$2:$C101,3,false),"")</f>
        <v/>
      </c>
      <c r="G26" s="22" t="str">
        <f t="array" ref="G26">iferror(VLOOKUP(INDIRECT(ADDRESS(ROW()+1,COLUMN(), 4)),Dex!$A$2:$C101,3,false),"")</f>
        <v/>
      </c>
      <c r="H26" s="23" t="str">
        <f t="array" ref="H26">iferror(VLOOKUP("TRAINER_PIC_Elite_Four_Phoebe",Sprites!$A$1:$B101,2,false),"")</f>
        <v/>
      </c>
      <c r="I26" s="24"/>
    </row>
    <row r="27">
      <c r="A27" s="25"/>
      <c r="B27" s="26" t="s">
        <v>1290</v>
      </c>
      <c r="C27" s="26" t="s">
        <v>1367</v>
      </c>
      <c r="D27" s="26" t="s">
        <v>1967</v>
      </c>
      <c r="E27" s="26" t="s">
        <v>2973</v>
      </c>
      <c r="F27" s="26" t="s">
        <v>341</v>
      </c>
      <c r="G27" s="26" t="s">
        <v>1113</v>
      </c>
      <c r="H27" s="27"/>
    </row>
    <row r="28">
      <c r="A28" s="10" t="s">
        <v>199</v>
      </c>
      <c r="B28" s="22">
        <v>100.0</v>
      </c>
      <c r="C28" s="22">
        <v>100.0</v>
      </c>
      <c r="D28" s="22">
        <v>100.0</v>
      </c>
      <c r="E28" s="22">
        <v>100.0</v>
      </c>
      <c r="F28" s="22">
        <v>100.0</v>
      </c>
      <c r="G28" s="22">
        <v>100.0</v>
      </c>
      <c r="H28" s="27"/>
    </row>
    <row r="29">
      <c r="A29" s="10" t="s">
        <v>201</v>
      </c>
      <c r="B29" s="29" t="s">
        <v>408</v>
      </c>
      <c r="C29" s="29" t="s">
        <v>2950</v>
      </c>
      <c r="D29" s="29" t="s">
        <v>2324</v>
      </c>
      <c r="E29" s="29" t="s">
        <v>2366</v>
      </c>
      <c r="F29" s="29" t="s">
        <v>675</v>
      </c>
      <c r="G29" s="29" t="s">
        <v>3152</v>
      </c>
      <c r="H29" s="27"/>
    </row>
    <row r="30">
      <c r="A30" s="10" t="s">
        <v>209</v>
      </c>
      <c r="B30" s="22" t="s">
        <v>2945</v>
      </c>
      <c r="C30" s="22" t="s">
        <v>541</v>
      </c>
      <c r="D30" s="22" t="s">
        <v>1763</v>
      </c>
      <c r="E30" s="22" t="s">
        <v>2368</v>
      </c>
      <c r="F30" s="22" t="s">
        <v>2262</v>
      </c>
      <c r="G30" s="22" t="s">
        <v>413</v>
      </c>
      <c r="H30" s="27"/>
    </row>
    <row r="31">
      <c r="A31" s="10" t="s">
        <v>215</v>
      </c>
      <c r="B31" s="29" t="s">
        <v>419</v>
      </c>
      <c r="C31" s="29" t="s">
        <v>419</v>
      </c>
      <c r="D31" s="29" t="s">
        <v>231</v>
      </c>
      <c r="E31" s="29" t="s">
        <v>419</v>
      </c>
      <c r="F31" s="29" t="s">
        <v>461</v>
      </c>
      <c r="G31" s="29" t="s">
        <v>231</v>
      </c>
      <c r="H31" s="27"/>
    </row>
    <row r="32">
      <c r="A32" s="15" t="s">
        <v>224</v>
      </c>
      <c r="B32" s="22" t="s">
        <v>1873</v>
      </c>
      <c r="C32" s="22" t="s">
        <v>2555</v>
      </c>
      <c r="D32" s="22" t="s">
        <v>1352</v>
      </c>
      <c r="E32" s="22" t="s">
        <v>2720</v>
      </c>
      <c r="F32" s="22" t="s">
        <v>2469</v>
      </c>
      <c r="G32" s="22" t="s">
        <v>795</v>
      </c>
      <c r="H32" s="27"/>
    </row>
    <row r="33">
      <c r="A33" s="30"/>
      <c r="B33" s="22" t="s">
        <v>246</v>
      </c>
      <c r="C33" s="22" t="s">
        <v>1435</v>
      </c>
      <c r="D33" s="22" t="s">
        <v>1893</v>
      </c>
      <c r="E33" s="22" t="s">
        <v>697</v>
      </c>
      <c r="F33" s="22" t="s">
        <v>2268</v>
      </c>
      <c r="G33" s="22" t="s">
        <v>809</v>
      </c>
      <c r="H33" s="27"/>
    </row>
    <row r="34">
      <c r="A34" s="30"/>
      <c r="B34" s="22" t="s">
        <v>253</v>
      </c>
      <c r="C34" s="22" t="s">
        <v>805</v>
      </c>
      <c r="D34" s="22" t="s">
        <v>477</v>
      </c>
      <c r="E34" s="22" t="s">
        <v>701</v>
      </c>
      <c r="F34" s="22" t="s">
        <v>2406</v>
      </c>
      <c r="G34" s="22" t="s">
        <v>927</v>
      </c>
      <c r="H34" s="27"/>
    </row>
    <row r="35">
      <c r="A35" s="25"/>
      <c r="B35" s="22" t="s">
        <v>581</v>
      </c>
      <c r="C35" s="22" t="s">
        <v>3153</v>
      </c>
      <c r="D35" s="22" t="s">
        <v>549</v>
      </c>
      <c r="E35" s="22" t="s">
        <v>1442</v>
      </c>
      <c r="F35" s="22" t="s">
        <v>917</v>
      </c>
      <c r="G35" s="22" t="s">
        <v>1460</v>
      </c>
      <c r="H35" s="31"/>
      <c r="I35" s="32"/>
    </row>
    <row r="36">
      <c r="A36" s="10" t="s">
        <v>5</v>
      </c>
      <c r="B36" s="11" t="s">
        <v>3154</v>
      </c>
      <c r="C36" s="9"/>
      <c r="D36" s="9"/>
      <c r="E36" s="9"/>
      <c r="F36" s="9"/>
      <c r="G36" s="9"/>
      <c r="H36" s="9"/>
      <c r="I36" s="14"/>
    </row>
    <row r="37" ht="60.0" customHeight="1">
      <c r="A37" s="15" t="s">
        <v>16</v>
      </c>
      <c r="B37" s="22" t="str">
        <f t="array" ref="B37">iferror(VLOOKUP(INDIRECT(ADDRESS(ROW()+1,COLUMN(), 4)),Dex!$A$2:$C101,3,false),"")</f>
        <v/>
      </c>
      <c r="C37" s="22" t="str">
        <f t="array" ref="C37">iferror(VLOOKUP(INDIRECT(ADDRESS(ROW()+1,COLUMN(), 4)),Dex!$A$2:$C101,3,false),"")</f>
        <v/>
      </c>
      <c r="D37" s="22" t="str">
        <f t="array" ref="D37">iferror(VLOOKUP(INDIRECT(ADDRESS(ROW()+1,COLUMN(), 4)),Dex!$A$2:$C101,3,false),"")</f>
        <v/>
      </c>
      <c r="E37" s="22" t="str">
        <f t="array" ref="E37">iferror(VLOOKUP(INDIRECT(ADDRESS(ROW()+1,COLUMN(), 4)),Dex!$A$2:$C101,3,false),"")</f>
        <v/>
      </c>
      <c r="F37" s="22" t="str">
        <f t="array" ref="F37">iferror(VLOOKUP(INDIRECT(ADDRESS(ROW()+1,COLUMN(), 4)),Dex!$A$2:$C101,3,false),"")</f>
        <v/>
      </c>
      <c r="G37" s="22" t="str">
        <f t="array" ref="G37">iferror(VLOOKUP(INDIRECT(ADDRESS(ROW()+1,COLUMN(), 4)),Dex!$A$2:$C101,3,false),"")</f>
        <v/>
      </c>
      <c r="H37" s="23" t="str">
        <f t="array" ref="H37">iferror(VLOOKUP("TRAINER_PIC_Elite_Four_Phoebe",Sprites!$A$1:$B101,2,false),"")</f>
        <v/>
      </c>
      <c r="I37" s="24"/>
    </row>
    <row r="38">
      <c r="A38" s="25"/>
      <c r="B38" s="26" t="s">
        <v>949</v>
      </c>
      <c r="C38" s="26" t="s">
        <v>323</v>
      </c>
      <c r="D38" s="26" t="s">
        <v>2263</v>
      </c>
      <c r="E38" s="26" t="s">
        <v>1957</v>
      </c>
      <c r="F38" s="26" t="s">
        <v>341</v>
      </c>
      <c r="G38" s="26" t="s">
        <v>2973</v>
      </c>
      <c r="H38" s="27"/>
    </row>
    <row r="39">
      <c r="A39" s="10" t="s">
        <v>199</v>
      </c>
      <c r="B39" s="22">
        <v>100.0</v>
      </c>
      <c r="C39" s="22">
        <v>100.0</v>
      </c>
      <c r="D39" s="22">
        <v>100.0</v>
      </c>
      <c r="E39" s="22">
        <v>100.0</v>
      </c>
      <c r="F39" s="22">
        <v>100.0</v>
      </c>
      <c r="G39" s="22">
        <v>100.0</v>
      </c>
      <c r="H39" s="27"/>
    </row>
    <row r="40">
      <c r="A40" s="10" t="s">
        <v>201</v>
      </c>
      <c r="B40" s="29" t="s">
        <v>545</v>
      </c>
      <c r="C40" s="29" t="s">
        <v>2730</v>
      </c>
      <c r="D40" s="29" t="s">
        <v>3162</v>
      </c>
      <c r="E40" s="29" t="s">
        <v>2792</v>
      </c>
      <c r="F40" s="29" t="s">
        <v>675</v>
      </c>
      <c r="G40" s="29" t="s">
        <v>2366</v>
      </c>
      <c r="H40" s="27"/>
    </row>
    <row r="41">
      <c r="A41" s="10" t="s">
        <v>209</v>
      </c>
      <c r="B41" s="22" t="s">
        <v>2369</v>
      </c>
      <c r="C41" s="22" t="s">
        <v>1642</v>
      </c>
      <c r="D41" s="22" t="s">
        <v>2739</v>
      </c>
      <c r="E41" s="22" t="s">
        <v>3164</v>
      </c>
      <c r="F41" s="22" t="s">
        <v>2262</v>
      </c>
      <c r="G41" s="22" t="s">
        <v>2368</v>
      </c>
      <c r="H41" s="27"/>
    </row>
    <row r="42">
      <c r="A42" s="10" t="s">
        <v>215</v>
      </c>
      <c r="B42" s="29" t="s">
        <v>218</v>
      </c>
      <c r="C42" s="29" t="s">
        <v>419</v>
      </c>
      <c r="D42" s="29" t="s">
        <v>564</v>
      </c>
      <c r="E42" s="29" t="s">
        <v>419</v>
      </c>
      <c r="F42" s="29" t="s">
        <v>461</v>
      </c>
      <c r="G42" s="29" t="s">
        <v>419</v>
      </c>
      <c r="H42" s="27"/>
    </row>
    <row r="43">
      <c r="A43" s="15" t="s">
        <v>224</v>
      </c>
      <c r="B43" s="22" t="s">
        <v>241</v>
      </c>
      <c r="C43" s="22" t="s">
        <v>355</v>
      </c>
      <c r="D43" s="22" t="s">
        <v>815</v>
      </c>
      <c r="E43" s="22" t="s">
        <v>3077</v>
      </c>
      <c r="F43" s="22" t="s">
        <v>241</v>
      </c>
      <c r="G43" s="22" t="s">
        <v>2720</v>
      </c>
      <c r="H43" s="27"/>
    </row>
    <row r="44">
      <c r="A44" s="30"/>
      <c r="B44" s="22" t="s">
        <v>2332</v>
      </c>
      <c r="C44" s="22" t="s">
        <v>1435</v>
      </c>
      <c r="D44" s="22" t="s">
        <v>2741</v>
      </c>
      <c r="E44" s="22" t="s">
        <v>3034</v>
      </c>
      <c r="F44" s="22" t="s">
        <v>2469</v>
      </c>
      <c r="G44" s="22" t="s">
        <v>697</v>
      </c>
      <c r="H44" s="27"/>
    </row>
    <row r="45">
      <c r="A45" s="30"/>
      <c r="B45" s="22" t="s">
        <v>1352</v>
      </c>
      <c r="C45" s="22" t="s">
        <v>582</v>
      </c>
      <c r="D45" s="22" t="s">
        <v>2659</v>
      </c>
      <c r="E45" s="22" t="s">
        <v>467</v>
      </c>
      <c r="F45" s="22" t="s">
        <v>2268</v>
      </c>
      <c r="G45" s="22" t="s">
        <v>229</v>
      </c>
      <c r="H45" s="27"/>
    </row>
    <row r="46">
      <c r="A46" s="25"/>
      <c r="B46" s="22" t="s">
        <v>2560</v>
      </c>
      <c r="C46" s="22" t="s">
        <v>3168</v>
      </c>
      <c r="D46" s="22" t="s">
        <v>2550</v>
      </c>
      <c r="E46" s="22" t="s">
        <v>1458</v>
      </c>
      <c r="F46" s="22" t="s">
        <v>366</v>
      </c>
      <c r="G46" s="22" t="s">
        <v>1158</v>
      </c>
      <c r="H46" s="31"/>
      <c r="I46" s="32"/>
    </row>
    <row r="47">
      <c r="A47" s="10" t="s">
        <v>5</v>
      </c>
      <c r="B47" s="11" t="s">
        <v>3169</v>
      </c>
      <c r="C47" s="9"/>
      <c r="D47" s="9"/>
      <c r="E47" s="9"/>
      <c r="F47" s="9"/>
      <c r="G47" s="9"/>
      <c r="H47" s="9"/>
      <c r="I47" s="14"/>
    </row>
    <row r="48" ht="60.0" customHeight="1">
      <c r="A48" s="15" t="s">
        <v>16</v>
      </c>
      <c r="B48" s="22" t="str">
        <f t="array" ref="B48">iferror(VLOOKUP(INDIRECT(ADDRESS(ROW()+1,COLUMN(), 4)),Dex!$A$2:$C101,3,false),"")</f>
        <v/>
      </c>
      <c r="C48" s="22" t="str">
        <f t="array" ref="C48">iferror(VLOOKUP(INDIRECT(ADDRESS(ROW()+1,COLUMN(), 4)),Dex!$A$2:$C101,3,false),"")</f>
        <v/>
      </c>
      <c r="D48" s="22" t="str">
        <f t="array" ref="D48">iferror(VLOOKUP(INDIRECT(ADDRESS(ROW()+1,COLUMN(), 4)),Dex!$A$2:$C101,3,false),"")</f>
        <v/>
      </c>
      <c r="E48" s="22" t="str">
        <f t="array" ref="E48">iferror(VLOOKUP(INDIRECT(ADDRESS(ROW()+1,COLUMN(), 4)),Dex!$A$2:$C101,3,false),"")</f>
        <v/>
      </c>
      <c r="F48" s="22" t="str">
        <f t="array" ref="F48">iferror(VLOOKUP(INDIRECT(ADDRESS(ROW()+1,COLUMN(), 4)),Dex!$A$2:$C101,3,false),"")</f>
        <v/>
      </c>
      <c r="G48" s="22" t="str">
        <f t="array" ref="G48">iferror(VLOOKUP(INDIRECT(ADDRESS(ROW()+1,COLUMN(), 4)),Dex!$A$2:$C101,3,false),"")</f>
        <v/>
      </c>
      <c r="H48" s="23" t="str">
        <f t="array" ref="H48">iferror(VLOOKUP("TRAINER_PIC_E4_Brendan",Sprites!$A$1:$B101,2,false),"")</f>
        <v/>
      </c>
      <c r="I48" s="24"/>
    </row>
    <row r="49">
      <c r="A49" s="25"/>
      <c r="B49" s="26" t="s">
        <v>1180</v>
      </c>
      <c r="C49" s="26" t="s">
        <v>2280</v>
      </c>
      <c r="D49" s="26" t="s">
        <v>2590</v>
      </c>
      <c r="E49" s="26" t="s">
        <v>1690</v>
      </c>
      <c r="F49" s="26" t="s">
        <v>485</v>
      </c>
      <c r="G49" s="26" t="s">
        <v>1024</v>
      </c>
      <c r="H49" s="27"/>
    </row>
    <row r="50">
      <c r="A50" s="10" t="s">
        <v>199</v>
      </c>
      <c r="B50" s="22">
        <v>100.0</v>
      </c>
      <c r="C50" s="22">
        <v>100.0</v>
      </c>
      <c r="D50" s="22">
        <v>100.0</v>
      </c>
      <c r="E50" s="22">
        <v>100.0</v>
      </c>
      <c r="F50" s="22">
        <v>100.0</v>
      </c>
      <c r="G50" s="22">
        <v>100.0</v>
      </c>
      <c r="H50" s="27"/>
    </row>
    <row r="51">
      <c r="A51" s="10" t="s">
        <v>201</v>
      </c>
      <c r="B51" s="29" t="s">
        <v>408</v>
      </c>
      <c r="C51" s="29" t="s">
        <v>3178</v>
      </c>
      <c r="D51" s="29" t="s">
        <v>645</v>
      </c>
      <c r="E51" s="29" t="s">
        <v>2756</v>
      </c>
      <c r="F51" s="29" t="s">
        <v>1635</v>
      </c>
      <c r="G51" s="29" t="s">
        <v>2668</v>
      </c>
      <c r="H51" s="27"/>
    </row>
    <row r="52">
      <c r="A52" s="10" t="s">
        <v>209</v>
      </c>
      <c r="B52" s="22" t="s">
        <v>681</v>
      </c>
      <c r="C52" s="22" t="s">
        <v>2840</v>
      </c>
      <c r="D52" s="22" t="s">
        <v>2368</v>
      </c>
      <c r="E52" s="22" t="s">
        <v>2669</v>
      </c>
      <c r="F52" s="22" t="s">
        <v>1641</v>
      </c>
      <c r="G52" s="22" t="s">
        <v>2593</v>
      </c>
      <c r="H52" s="23" t="str">
        <f t="array" ref="H52">IFERROR(VLOOKUP("TRAINER_PIC_E4_May",Sprites!$A$1:$B101,2,FALSE),"")</f>
        <v/>
      </c>
      <c r="I52" s="24"/>
    </row>
    <row r="53">
      <c r="A53" s="10" t="s">
        <v>215</v>
      </c>
      <c r="B53" s="29" t="s">
        <v>231</v>
      </c>
      <c r="C53" s="29" t="s">
        <v>231</v>
      </c>
      <c r="D53" s="29" t="s">
        <v>231</v>
      </c>
      <c r="E53" s="29" t="s">
        <v>231</v>
      </c>
      <c r="F53" s="29" t="s">
        <v>419</v>
      </c>
      <c r="G53" s="29" t="s">
        <v>1346</v>
      </c>
      <c r="H53" s="27"/>
    </row>
    <row r="54">
      <c r="A54" s="15" t="s">
        <v>224</v>
      </c>
      <c r="B54" s="22" t="s">
        <v>2711</v>
      </c>
      <c r="C54" s="22" t="s">
        <v>2751</v>
      </c>
      <c r="D54" s="22" t="s">
        <v>2469</v>
      </c>
      <c r="E54" s="22" t="s">
        <v>2670</v>
      </c>
      <c r="F54" s="22" t="s">
        <v>2557</v>
      </c>
      <c r="G54" s="22" t="s">
        <v>582</v>
      </c>
      <c r="H54" s="27"/>
    </row>
    <row r="55">
      <c r="A55" s="30"/>
      <c r="B55" s="22" t="s">
        <v>247</v>
      </c>
      <c r="C55" s="22" t="s">
        <v>1457</v>
      </c>
      <c r="D55" s="22" t="s">
        <v>1352</v>
      </c>
      <c r="E55" s="22" t="s">
        <v>356</v>
      </c>
      <c r="F55" s="22" t="s">
        <v>234</v>
      </c>
      <c r="G55" s="22" t="s">
        <v>2566</v>
      </c>
      <c r="H55" s="27"/>
    </row>
    <row r="56">
      <c r="A56" s="30"/>
      <c r="B56" s="22" t="s">
        <v>561</v>
      </c>
      <c r="C56" s="22" t="s">
        <v>244</v>
      </c>
      <c r="D56" s="22" t="s">
        <v>363</v>
      </c>
      <c r="E56" s="22" t="s">
        <v>249</v>
      </c>
      <c r="F56" s="22" t="s">
        <v>246</v>
      </c>
      <c r="G56" s="22" t="s">
        <v>1029</v>
      </c>
      <c r="H56" s="27"/>
    </row>
    <row r="57">
      <c r="A57" s="25"/>
      <c r="B57" s="22" t="s">
        <v>432</v>
      </c>
      <c r="C57" s="22" t="s">
        <v>549</v>
      </c>
      <c r="D57" s="22" t="s">
        <v>361</v>
      </c>
      <c r="E57" s="22" t="s">
        <v>549</v>
      </c>
      <c r="F57" s="22" t="s">
        <v>805</v>
      </c>
      <c r="G57" s="22" t="s">
        <v>431</v>
      </c>
      <c r="H57" s="27"/>
    </row>
    <row r="58">
      <c r="A58" s="10" t="s">
        <v>5</v>
      </c>
      <c r="B58" s="11" t="s">
        <v>3182</v>
      </c>
      <c r="C58" s="9"/>
      <c r="D58" s="9"/>
      <c r="E58" s="9"/>
      <c r="F58" s="9"/>
      <c r="G58" s="9"/>
      <c r="H58" s="9"/>
      <c r="I58" s="14"/>
    </row>
    <row r="59" ht="60.0" customHeight="1">
      <c r="A59" s="15" t="s">
        <v>16</v>
      </c>
      <c r="B59" s="22" t="str">
        <f t="array" ref="B59">iferror(VLOOKUP(INDIRECT(ADDRESS(ROW()+1,COLUMN(), 4)),Dex!$A$2:$C101,3,false),"")</f>
        <v/>
      </c>
      <c r="C59" s="22" t="str">
        <f t="array" ref="C59">iferror(VLOOKUP(INDIRECT(ADDRESS(ROW()+1,COLUMN(), 4)),Dex!$A$2:$C101,3,false),"")</f>
        <v/>
      </c>
      <c r="D59" s="22" t="str">
        <f t="array" ref="D59">iferror(VLOOKUP(INDIRECT(ADDRESS(ROW()+1,COLUMN(), 4)),Dex!$A$2:$C101,3,false),"")</f>
        <v/>
      </c>
      <c r="E59" s="22" t="str">
        <f t="array" ref="E59">iferror(VLOOKUP(INDIRECT(ADDRESS(ROW()+1,COLUMN(), 4)),Dex!$A$2:$C101,3,false),"")</f>
        <v/>
      </c>
      <c r="F59" s="22" t="str">
        <f t="array" ref="F59">iferror(VLOOKUP(INDIRECT(ADDRESS(ROW()+1,COLUMN(), 4)),Dex!$A$2:$C101,3,false),"")</f>
        <v/>
      </c>
      <c r="G59" s="22" t="str">
        <f t="array" ref="G59">iferror(VLOOKUP(INDIRECT(ADDRESS(ROW()+1,COLUMN(), 4)),Dex!$A$2:$C101,3,false),"")</f>
        <v/>
      </c>
      <c r="H59" s="57" t="str">
        <f t="array" ref="H59">iferror(VLOOKUP("TRAINER_PIC_E4_Brendan",Sprites!$A$1:$B101,2,false),"")</f>
        <v/>
      </c>
      <c r="I59" s="24"/>
    </row>
    <row r="60">
      <c r="A60" s="25"/>
      <c r="B60" s="26" t="s">
        <v>2359</v>
      </c>
      <c r="C60" s="26" t="s">
        <v>2277</v>
      </c>
      <c r="D60" s="26" t="s">
        <v>1603</v>
      </c>
      <c r="E60" s="26" t="s">
        <v>1695</v>
      </c>
      <c r="F60" s="26" t="s">
        <v>485</v>
      </c>
      <c r="G60" s="26" t="s">
        <v>1024</v>
      </c>
      <c r="H60" s="27"/>
    </row>
    <row r="61">
      <c r="A61" s="10" t="s">
        <v>199</v>
      </c>
      <c r="B61" s="22">
        <v>100.0</v>
      </c>
      <c r="C61" s="22">
        <v>100.0</v>
      </c>
      <c r="D61" s="22">
        <v>100.0</v>
      </c>
      <c r="E61" s="22">
        <v>100.0</v>
      </c>
      <c r="F61" s="22">
        <v>100.0</v>
      </c>
      <c r="G61" s="22">
        <v>100.0</v>
      </c>
      <c r="H61" s="27"/>
    </row>
    <row r="62">
      <c r="A62" s="10" t="s">
        <v>201</v>
      </c>
      <c r="B62" s="29" t="s">
        <v>1521</v>
      </c>
      <c r="C62" s="29" t="s">
        <v>3074</v>
      </c>
      <c r="D62" s="29" t="s">
        <v>2032</v>
      </c>
      <c r="E62" s="29" t="s">
        <v>3195</v>
      </c>
      <c r="F62" s="29" t="s">
        <v>206</v>
      </c>
      <c r="G62" s="29" t="s">
        <v>2668</v>
      </c>
      <c r="H62" s="27"/>
    </row>
    <row r="63">
      <c r="A63" s="10" t="s">
        <v>209</v>
      </c>
      <c r="B63" s="22" t="s">
        <v>2361</v>
      </c>
      <c r="C63" s="22" t="s">
        <v>901</v>
      </c>
      <c r="D63" s="22" t="s">
        <v>219</v>
      </c>
      <c r="E63" s="22" t="s">
        <v>2669</v>
      </c>
      <c r="F63" s="22" t="s">
        <v>1641</v>
      </c>
      <c r="G63" s="22" t="s">
        <v>2593</v>
      </c>
      <c r="H63" s="57" t="str">
        <f t="array" ref="H63">IFERROR(VLOOKUP("TRAINER_PIC_E4_May",Sprites!$A$1:$B101,2,FALSE),"")</f>
        <v/>
      </c>
      <c r="I63" s="24"/>
    </row>
    <row r="64">
      <c r="A64" s="10" t="s">
        <v>215</v>
      </c>
      <c r="B64" s="29" t="s">
        <v>461</v>
      </c>
      <c r="C64" s="29" t="s">
        <v>231</v>
      </c>
      <c r="D64" s="29" t="s">
        <v>904</v>
      </c>
      <c r="E64" s="29" t="s">
        <v>218</v>
      </c>
      <c r="F64" s="29" t="s">
        <v>419</v>
      </c>
      <c r="G64" s="29" t="s">
        <v>1346</v>
      </c>
      <c r="H64" s="27"/>
    </row>
    <row r="65">
      <c r="A65" s="15" t="s">
        <v>224</v>
      </c>
      <c r="B65" s="22" t="s">
        <v>241</v>
      </c>
      <c r="C65" s="22" t="s">
        <v>1039</v>
      </c>
      <c r="D65" s="22" t="s">
        <v>241</v>
      </c>
      <c r="E65" s="22" t="s">
        <v>2670</v>
      </c>
      <c r="F65" s="22" t="s">
        <v>2557</v>
      </c>
      <c r="G65" s="22" t="s">
        <v>582</v>
      </c>
      <c r="H65" s="27"/>
    </row>
    <row r="66">
      <c r="A66" s="30"/>
      <c r="B66" s="22" t="s">
        <v>1352</v>
      </c>
      <c r="C66" s="22" t="s">
        <v>2751</v>
      </c>
      <c r="D66" s="22" t="s">
        <v>477</v>
      </c>
      <c r="E66" s="22" t="s">
        <v>246</v>
      </c>
      <c r="F66" s="22" t="s">
        <v>582</v>
      </c>
      <c r="G66" s="22" t="s">
        <v>2566</v>
      </c>
      <c r="H66" s="27"/>
    </row>
    <row r="67">
      <c r="A67" s="30"/>
      <c r="B67" s="22" t="s">
        <v>2679</v>
      </c>
      <c r="C67" s="22" t="s">
        <v>1457</v>
      </c>
      <c r="D67" s="22" t="s">
        <v>931</v>
      </c>
      <c r="E67" s="22" t="s">
        <v>1227</v>
      </c>
      <c r="F67" s="22" t="s">
        <v>1363</v>
      </c>
      <c r="G67" s="22" t="s">
        <v>585</v>
      </c>
      <c r="H67" s="27"/>
    </row>
    <row r="68">
      <c r="A68" s="25"/>
      <c r="B68" s="22" t="s">
        <v>700</v>
      </c>
      <c r="C68" s="22" t="s">
        <v>952</v>
      </c>
      <c r="D68" s="22" t="s">
        <v>1043</v>
      </c>
      <c r="E68" s="22" t="s">
        <v>938</v>
      </c>
      <c r="F68" s="22" t="s">
        <v>2550</v>
      </c>
      <c r="G68" s="22" t="s">
        <v>2773</v>
      </c>
      <c r="H68" s="27"/>
    </row>
    <row r="69">
      <c r="A69" s="10" t="s">
        <v>5</v>
      </c>
      <c r="B69" s="11" t="s">
        <v>3196</v>
      </c>
      <c r="C69" s="9"/>
      <c r="D69" s="9"/>
      <c r="E69" s="9"/>
      <c r="F69" s="9"/>
      <c r="G69" s="9"/>
      <c r="H69" s="9"/>
      <c r="I69" s="14"/>
    </row>
    <row r="70" ht="60.0" customHeight="1">
      <c r="A70" s="15" t="s">
        <v>16</v>
      </c>
      <c r="B70" s="22" t="str">
        <f t="array" ref="B70">iferror(VLOOKUP(INDIRECT(ADDRESS(ROW()+1,COLUMN(), 4)),Dex!$A$2:$C101,3,false),"")</f>
        <v/>
      </c>
      <c r="C70" s="22" t="str">
        <f t="array" ref="C70">iferror(VLOOKUP(INDIRECT(ADDRESS(ROW()+1,COLUMN(), 4)),Dex!$A$2:$C101,3,false),"")</f>
        <v/>
      </c>
      <c r="D70" s="22" t="str">
        <f t="array" ref="D70">iferror(VLOOKUP(INDIRECT(ADDRESS(ROW()+1,COLUMN(), 4)),Dex!$A$2:$C101,3,false),"")</f>
        <v/>
      </c>
      <c r="E70" s="22" t="str">
        <f t="array" ref="E70">iferror(VLOOKUP(INDIRECT(ADDRESS(ROW()+1,COLUMN(), 4)),Dex!$A$2:$C101,3,false),"")</f>
        <v/>
      </c>
      <c r="F70" s="22" t="str">
        <f t="array" ref="F70">iferror(VLOOKUP(INDIRECT(ADDRESS(ROW()+1,COLUMN(), 4)),Dex!$A$2:$C101,3,false),"")</f>
        <v/>
      </c>
      <c r="G70" s="22" t="str">
        <f t="array" ref="G70">iferror(VLOOKUP(INDIRECT(ADDRESS(ROW()+1,COLUMN(), 4)),Dex!$A$2:$C101,3,false),"")</f>
        <v/>
      </c>
      <c r="H70" s="23" t="str">
        <f t="array" ref="H70">iferror(VLOOKUP("TRAINER_PIC_Elite_Four_Drake",Sprites!$A$1:$B101,2,false),"")</f>
        <v/>
      </c>
      <c r="I70" s="24"/>
    </row>
    <row r="71">
      <c r="A71" s="25"/>
      <c r="B71" s="26" t="s">
        <v>445</v>
      </c>
      <c r="C71" s="26" t="s">
        <v>2288</v>
      </c>
      <c r="D71" s="26" t="s">
        <v>1104</v>
      </c>
      <c r="E71" s="26" t="s">
        <v>1606</v>
      </c>
      <c r="F71" s="26" t="s">
        <v>3087</v>
      </c>
      <c r="G71" s="26" t="s">
        <v>483</v>
      </c>
      <c r="H71" s="27"/>
    </row>
    <row r="72">
      <c r="A72" s="10" t="s">
        <v>199</v>
      </c>
      <c r="B72" s="22">
        <v>100.0</v>
      </c>
      <c r="C72" s="22">
        <v>100.0</v>
      </c>
      <c r="D72" s="22">
        <v>100.0</v>
      </c>
      <c r="E72" s="22">
        <v>100.0</v>
      </c>
      <c r="F72" s="22">
        <v>100.0</v>
      </c>
      <c r="G72" s="22">
        <v>100.0</v>
      </c>
      <c r="H72" s="27"/>
    </row>
    <row r="73">
      <c r="A73" s="10" t="s">
        <v>201</v>
      </c>
      <c r="B73" s="29" t="s">
        <v>408</v>
      </c>
      <c r="C73" s="29" t="s">
        <v>1635</v>
      </c>
      <c r="D73" s="29" t="s">
        <v>3212</v>
      </c>
      <c r="E73" s="29" t="s">
        <v>2410</v>
      </c>
      <c r="F73" s="29" t="s">
        <v>406</v>
      </c>
      <c r="G73" s="29" t="s">
        <v>3171</v>
      </c>
      <c r="H73" s="27"/>
    </row>
    <row r="74">
      <c r="A74" s="10" t="s">
        <v>209</v>
      </c>
      <c r="B74" s="22" t="s">
        <v>2262</v>
      </c>
      <c r="C74" s="22" t="s">
        <v>2368</v>
      </c>
      <c r="D74" s="22" t="s">
        <v>2377</v>
      </c>
      <c r="E74" s="22" t="s">
        <v>217</v>
      </c>
      <c r="F74" s="22" t="s">
        <v>2368</v>
      </c>
      <c r="G74" s="22" t="s">
        <v>683</v>
      </c>
      <c r="H74" s="27"/>
    </row>
    <row r="75">
      <c r="A75" s="10" t="s">
        <v>215</v>
      </c>
      <c r="B75" s="29" t="s">
        <v>231</v>
      </c>
      <c r="C75" s="29" t="s">
        <v>231</v>
      </c>
      <c r="D75" s="29" t="s">
        <v>419</v>
      </c>
      <c r="E75" s="29" t="s">
        <v>222</v>
      </c>
      <c r="F75" s="29" t="s">
        <v>231</v>
      </c>
      <c r="G75" s="29" t="s">
        <v>419</v>
      </c>
      <c r="H75" s="27"/>
    </row>
    <row r="76">
      <c r="A76" s="15" t="s">
        <v>224</v>
      </c>
      <c r="B76" s="22" t="s">
        <v>2268</v>
      </c>
      <c r="C76" s="22" t="s">
        <v>1460</v>
      </c>
      <c r="D76" s="22" t="s">
        <v>2397</v>
      </c>
      <c r="E76" s="22" t="s">
        <v>3174</v>
      </c>
      <c r="F76" s="22" t="s">
        <v>1460</v>
      </c>
      <c r="G76" s="22" t="s">
        <v>2578</v>
      </c>
      <c r="H76" s="27"/>
    </row>
    <row r="77">
      <c r="A77" s="30"/>
      <c r="B77" s="22" t="s">
        <v>2491</v>
      </c>
      <c r="C77" s="22" t="s">
        <v>2513</v>
      </c>
      <c r="D77" s="22" t="s">
        <v>469</v>
      </c>
      <c r="E77" s="22" t="s">
        <v>1551</v>
      </c>
      <c r="F77" s="22" t="s">
        <v>2582</v>
      </c>
      <c r="G77" s="22" t="s">
        <v>2115</v>
      </c>
      <c r="H77" s="27"/>
    </row>
    <row r="78">
      <c r="A78" s="30"/>
      <c r="B78" s="22" t="s">
        <v>356</v>
      </c>
      <c r="C78" s="22" t="s">
        <v>2327</v>
      </c>
      <c r="D78" s="22" t="s">
        <v>589</v>
      </c>
      <c r="E78" s="22" t="s">
        <v>2786</v>
      </c>
      <c r="F78" s="22" t="s">
        <v>2464</v>
      </c>
      <c r="G78" s="22" t="s">
        <v>2555</v>
      </c>
      <c r="H78" s="27"/>
    </row>
    <row r="79">
      <c r="A79" s="25"/>
      <c r="B79" s="22" t="s">
        <v>361</v>
      </c>
      <c r="C79" s="22" t="s">
        <v>356</v>
      </c>
      <c r="D79" s="22" t="s">
        <v>424</v>
      </c>
      <c r="E79" s="22" t="s">
        <v>1436</v>
      </c>
      <c r="F79" s="22" t="s">
        <v>652</v>
      </c>
      <c r="G79" s="22" t="s">
        <v>1562</v>
      </c>
      <c r="H79" s="31"/>
      <c r="I79" s="32"/>
    </row>
    <row r="80">
      <c r="A80" s="10" t="s">
        <v>5</v>
      </c>
      <c r="B80" s="11" t="s">
        <v>3213</v>
      </c>
      <c r="C80" s="9"/>
      <c r="D80" s="9"/>
      <c r="E80" s="9"/>
      <c r="F80" s="9"/>
      <c r="G80" s="9"/>
      <c r="H80" s="9"/>
      <c r="I80" s="14"/>
    </row>
    <row r="81" ht="60.0" customHeight="1">
      <c r="A81" s="15" t="s">
        <v>16</v>
      </c>
      <c r="B81" s="22" t="str">
        <f t="array" ref="B81">iferror(VLOOKUP(INDIRECT(ADDRESS(ROW()+1,COLUMN(), 4)),Dex!$A$2:$C101,3,false),"")</f>
        <v/>
      </c>
      <c r="C81" s="22" t="str">
        <f t="array" ref="C81">iferror(VLOOKUP(INDIRECT(ADDRESS(ROW()+1,COLUMN(), 4)),Dex!$A$2:$C101,3,false),"")</f>
        <v/>
      </c>
      <c r="D81" s="22" t="str">
        <f t="array" ref="D81">iferror(VLOOKUP(INDIRECT(ADDRESS(ROW()+1,COLUMN(), 4)),Dex!$A$2:$C101,3,false),"")</f>
        <v/>
      </c>
      <c r="E81" s="22" t="str">
        <f t="array" ref="E81">iferror(VLOOKUP(INDIRECT(ADDRESS(ROW()+1,COLUMN(), 4)),Dex!$A$2:$C101,3,false),"")</f>
        <v/>
      </c>
      <c r="F81" s="22" t="str">
        <f t="array" ref="F81">iferror(VLOOKUP(INDIRECT(ADDRESS(ROW()+1,COLUMN(), 4)),Dex!$A$2:$C101,3,false),"")</f>
        <v/>
      </c>
      <c r="G81" s="22" t="str">
        <f t="array" ref="G81">iferror(VLOOKUP(INDIRECT(ADDRESS(ROW()+1,COLUMN(), 4)),Dex!$A$2:$C101,3,false),"")</f>
        <v/>
      </c>
      <c r="H81" s="23" t="str">
        <f t="array" ref="H81">iferror(VLOOKUP("TRAINER_PIC_Elite_Four_Drake",Sprites!$A$1:$B101,2,false),"")</f>
        <v/>
      </c>
      <c r="I81" s="24"/>
    </row>
    <row r="82">
      <c r="A82" s="25"/>
      <c r="B82" s="26" t="s">
        <v>671</v>
      </c>
      <c r="C82" s="26" t="s">
        <v>2252</v>
      </c>
      <c r="D82" s="26" t="s">
        <v>633</v>
      </c>
      <c r="E82" s="26" t="s">
        <v>660</v>
      </c>
      <c r="F82" s="26" t="s">
        <v>265</v>
      </c>
      <c r="G82" s="26" t="s">
        <v>869</v>
      </c>
      <c r="H82" s="27"/>
    </row>
    <row r="83">
      <c r="A83" s="10" t="s">
        <v>199</v>
      </c>
      <c r="B83" s="22">
        <v>100.0</v>
      </c>
      <c r="C83" s="22">
        <v>100.0</v>
      </c>
      <c r="D83" s="22">
        <v>100.0</v>
      </c>
      <c r="E83" s="22">
        <v>100.0</v>
      </c>
      <c r="F83" s="22">
        <v>100.0</v>
      </c>
      <c r="G83" s="22">
        <v>100.0</v>
      </c>
      <c r="H83" s="27"/>
    </row>
    <row r="84">
      <c r="A84" s="10" t="s">
        <v>201</v>
      </c>
      <c r="B84" s="29" t="s">
        <v>547</v>
      </c>
      <c r="C84" s="29" t="s">
        <v>408</v>
      </c>
      <c r="D84" s="29" t="s">
        <v>2032</v>
      </c>
      <c r="E84" s="29" t="s">
        <v>205</v>
      </c>
      <c r="F84" s="29" t="s">
        <v>206</v>
      </c>
      <c r="G84" s="29" t="s">
        <v>3220</v>
      </c>
      <c r="H84" s="27"/>
    </row>
    <row r="85">
      <c r="A85" s="10" t="s">
        <v>209</v>
      </c>
      <c r="B85" s="22" t="s">
        <v>1763</v>
      </c>
      <c r="C85" s="22" t="s">
        <v>2919</v>
      </c>
      <c r="D85" s="22" t="s">
        <v>1339</v>
      </c>
      <c r="E85" s="22" t="s">
        <v>219</v>
      </c>
      <c r="F85" s="22" t="s">
        <v>219</v>
      </c>
      <c r="G85" s="22" t="s">
        <v>2635</v>
      </c>
      <c r="H85" s="27"/>
    </row>
    <row r="86">
      <c r="A86" s="10" t="s">
        <v>215</v>
      </c>
      <c r="B86" s="29" t="s">
        <v>419</v>
      </c>
      <c r="C86" s="29" t="s">
        <v>419</v>
      </c>
      <c r="D86" s="29" t="s">
        <v>222</v>
      </c>
      <c r="E86" s="29" t="s">
        <v>220</v>
      </c>
      <c r="F86" s="29" t="s">
        <v>231</v>
      </c>
      <c r="G86" s="29" t="s">
        <v>1346</v>
      </c>
      <c r="H86" s="27"/>
    </row>
    <row r="87">
      <c r="A87" s="15" t="s">
        <v>224</v>
      </c>
      <c r="B87" s="22" t="s">
        <v>805</v>
      </c>
      <c r="C87" s="22" t="s">
        <v>2920</v>
      </c>
      <c r="D87" s="22" t="s">
        <v>2578</v>
      </c>
      <c r="E87" s="22" t="s">
        <v>555</v>
      </c>
      <c r="F87" s="22" t="s">
        <v>2327</v>
      </c>
      <c r="G87" s="22" t="s">
        <v>1873</v>
      </c>
      <c r="H87" s="27"/>
    </row>
    <row r="88">
      <c r="A88" s="30"/>
      <c r="B88" s="22" t="s">
        <v>580</v>
      </c>
      <c r="C88" s="22" t="s">
        <v>2397</v>
      </c>
      <c r="D88" s="22" t="s">
        <v>814</v>
      </c>
      <c r="E88" s="22" t="s">
        <v>477</v>
      </c>
      <c r="F88" s="22" t="s">
        <v>809</v>
      </c>
      <c r="G88" s="22" t="s">
        <v>236</v>
      </c>
      <c r="H88" s="27"/>
    </row>
    <row r="89">
      <c r="A89" s="30"/>
      <c r="B89" s="22" t="s">
        <v>2386</v>
      </c>
      <c r="C89" s="22" t="s">
        <v>2332</v>
      </c>
      <c r="D89" s="22" t="s">
        <v>234</v>
      </c>
      <c r="E89" s="22" t="s">
        <v>2387</v>
      </c>
      <c r="F89" s="22" t="s">
        <v>2513</v>
      </c>
      <c r="G89" s="22" t="s">
        <v>795</v>
      </c>
      <c r="H89" s="27"/>
    </row>
    <row r="90">
      <c r="A90" s="25"/>
      <c r="B90" s="22" t="s">
        <v>2560</v>
      </c>
      <c r="C90" s="22" t="s">
        <v>469</v>
      </c>
      <c r="D90" s="22" t="s">
        <v>580</v>
      </c>
      <c r="E90" s="22" t="s">
        <v>2041</v>
      </c>
      <c r="F90" s="22" t="s">
        <v>1035</v>
      </c>
      <c r="G90" s="22" t="s">
        <v>652</v>
      </c>
      <c r="H90" s="31"/>
      <c r="I90" s="32"/>
    </row>
    <row r="91">
      <c r="A91" s="10" t="s">
        <v>5</v>
      </c>
      <c r="B91" s="11" t="s">
        <v>3221</v>
      </c>
      <c r="C91" s="9"/>
      <c r="D91" s="9"/>
      <c r="E91" s="9"/>
      <c r="F91" s="9"/>
      <c r="G91" s="9"/>
      <c r="H91" s="9"/>
      <c r="I91" s="13"/>
    </row>
    <row r="92" ht="60.0" customHeight="1">
      <c r="A92" s="15" t="s">
        <v>16</v>
      </c>
      <c r="B92" s="22" t="str">
        <f t="array" ref="B92">iferror(VLOOKUP(INDIRECT(ADDRESS(ROW()+1,COLUMN(), 4)),Dex!$A$2:$C101,3,false),"")</f>
        <v/>
      </c>
      <c r="C92" s="22" t="str">
        <f t="array" ref="C92">iferror(VLOOKUP(INDIRECT(ADDRESS(ROW()+1,COLUMN(), 4)),Dex!$A$2:$C101,3,false),"")</f>
        <v/>
      </c>
      <c r="D92" s="22" t="str">
        <f t="array" ref="D92">iferror(VLOOKUP(INDIRECT(ADDRESS(ROW()+1,COLUMN(), 4)),Dex!$A$2:$C101,3,false),"")</f>
        <v/>
      </c>
      <c r="E92" s="22" t="str">
        <f t="array" ref="E92">iferror(VLOOKUP(INDIRECT(ADDRESS(ROW()+1,COLUMN(), 4)),Dex!$A$2:$C101,3,false),"")</f>
        <v/>
      </c>
      <c r="F92" s="22" t="str">
        <f t="array" ref="F92">iferror(VLOOKUP(INDIRECT(ADDRESS(ROW()+1,COLUMN(), 4)),Dex!$A$2:$C101,3,false),"")</f>
        <v/>
      </c>
      <c r="G92" s="22" t="str">
        <f t="array" ref="G92">iferror(VLOOKUP(INDIRECT(ADDRESS(ROW()+1,COLUMN(), 4)),Dex!$A$2:$C101,3,false),"")</f>
        <v/>
      </c>
      <c r="H92" s="23" t="str">
        <f t="array" ref="H92">iferror(VLOOKUP("TRAINER_PIC_Champion_Wallace",Sprites!$A$1:$B101,2,false),"")</f>
        <v/>
      </c>
      <c r="I92" s="24"/>
    </row>
    <row r="93">
      <c r="A93" s="25"/>
      <c r="B93" s="26" t="s">
        <v>1107</v>
      </c>
      <c r="C93" s="26" t="s">
        <v>1724</v>
      </c>
      <c r="D93" s="26" t="s">
        <v>1421</v>
      </c>
      <c r="E93" s="26" t="s">
        <v>1594</v>
      </c>
      <c r="F93" s="26" t="s">
        <v>1597</v>
      </c>
      <c r="G93" s="26" t="s">
        <v>839</v>
      </c>
      <c r="H93" s="27"/>
    </row>
    <row r="94">
      <c r="A94" s="10" t="s">
        <v>199</v>
      </c>
      <c r="B94" s="22">
        <v>100.0</v>
      </c>
      <c r="C94" s="22">
        <v>100.0</v>
      </c>
      <c r="D94" s="22">
        <v>100.0</v>
      </c>
      <c r="E94" s="22">
        <v>100.0</v>
      </c>
      <c r="F94" s="22">
        <v>100.0</v>
      </c>
      <c r="G94" s="22" t="s">
        <v>3231</v>
      </c>
      <c r="H94" s="27"/>
    </row>
    <row r="95">
      <c r="A95" s="10" t="s">
        <v>201</v>
      </c>
      <c r="B95" s="29" t="s">
        <v>3232</v>
      </c>
      <c r="C95" s="29" t="s">
        <v>1926</v>
      </c>
      <c r="D95" s="29" t="s">
        <v>3233</v>
      </c>
      <c r="E95" s="29" t="s">
        <v>3234</v>
      </c>
      <c r="F95" s="29" t="s">
        <v>1521</v>
      </c>
      <c r="G95" s="29" t="s">
        <v>1928</v>
      </c>
      <c r="H95" s="27"/>
    </row>
    <row r="96">
      <c r="A96" s="10" t="s">
        <v>209</v>
      </c>
      <c r="B96" s="22" t="s">
        <v>2377</v>
      </c>
      <c r="C96" s="22" t="s">
        <v>2392</v>
      </c>
      <c r="D96" s="22" t="s">
        <v>2613</v>
      </c>
      <c r="E96" s="22" t="s">
        <v>1840</v>
      </c>
      <c r="F96" s="22" t="s">
        <v>901</v>
      </c>
      <c r="G96" s="22" t="s">
        <v>2598</v>
      </c>
      <c r="H96" s="27"/>
    </row>
    <row r="97">
      <c r="A97" s="10" t="s">
        <v>215</v>
      </c>
      <c r="B97" s="29" t="s">
        <v>419</v>
      </c>
      <c r="C97" s="29" t="s">
        <v>220</v>
      </c>
      <c r="D97" s="29" t="s">
        <v>1346</v>
      </c>
      <c r="E97" s="29" t="s">
        <v>1346</v>
      </c>
      <c r="F97" s="29" t="s">
        <v>222</v>
      </c>
      <c r="G97" s="29" t="s">
        <v>222</v>
      </c>
      <c r="H97" s="27"/>
    </row>
    <row r="98">
      <c r="A98" s="15" t="s">
        <v>224</v>
      </c>
      <c r="B98" s="22" t="s">
        <v>3149</v>
      </c>
      <c r="C98" s="22" t="s">
        <v>1848</v>
      </c>
      <c r="D98" s="22" t="s">
        <v>2658</v>
      </c>
      <c r="E98" s="22" t="s">
        <v>943</v>
      </c>
      <c r="F98" s="22" t="s">
        <v>2937</v>
      </c>
      <c r="G98" s="22" t="s">
        <v>3235</v>
      </c>
      <c r="H98" s="27"/>
    </row>
    <row r="99">
      <c r="A99" s="30"/>
      <c r="B99" s="22" t="s">
        <v>814</v>
      </c>
      <c r="C99" s="22" t="s">
        <v>2484</v>
      </c>
      <c r="D99" s="22" t="s">
        <v>469</v>
      </c>
      <c r="E99" s="22" t="s">
        <v>2853</v>
      </c>
      <c r="F99" s="22" t="s">
        <v>236</v>
      </c>
      <c r="G99" s="22" t="s">
        <v>3163</v>
      </c>
      <c r="H99" s="27"/>
    </row>
    <row r="100">
      <c r="A100" s="30"/>
      <c r="B100" s="22" t="s">
        <v>2555</v>
      </c>
      <c r="C100" s="22" t="s">
        <v>2396</v>
      </c>
      <c r="D100" s="22" t="s">
        <v>1162</v>
      </c>
      <c r="E100" s="22" t="s">
        <v>697</v>
      </c>
      <c r="F100" s="22" t="s">
        <v>234</v>
      </c>
      <c r="G100" s="22" t="s">
        <v>238</v>
      </c>
      <c r="H100" s="27"/>
    </row>
    <row r="101">
      <c r="A101" s="25"/>
      <c r="B101" s="22" t="s">
        <v>357</v>
      </c>
      <c r="C101" s="22" t="s">
        <v>477</v>
      </c>
      <c r="D101" s="22" t="s">
        <v>233</v>
      </c>
      <c r="E101" s="22" t="s">
        <v>357</v>
      </c>
      <c r="F101" s="22" t="s">
        <v>1366</v>
      </c>
      <c r="G101" s="22" t="s">
        <v>1363</v>
      </c>
      <c r="H101" s="31"/>
      <c r="I101" s="32"/>
    </row>
  </sheetData>
  <mergeCells count="39">
    <mergeCell ref="B36:H36"/>
    <mergeCell ref="B47:H47"/>
    <mergeCell ref="B58:H58"/>
    <mergeCell ref="B69:H69"/>
    <mergeCell ref="B80:H80"/>
    <mergeCell ref="B91:H91"/>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H70:I79"/>
    <mergeCell ref="H81:I90"/>
    <mergeCell ref="H92:I101"/>
    <mergeCell ref="H15:I24"/>
    <mergeCell ref="H26:I35"/>
    <mergeCell ref="H37:I46"/>
    <mergeCell ref="H48:I51"/>
    <mergeCell ref="H52:I57"/>
    <mergeCell ref="H59:I62"/>
    <mergeCell ref="H63:I68"/>
    <mergeCell ref="A92:A93"/>
    <mergeCell ref="A98:A101"/>
    <mergeCell ref="A54:A57"/>
    <mergeCell ref="A59:A60"/>
    <mergeCell ref="A65:A68"/>
    <mergeCell ref="A70:A71"/>
    <mergeCell ref="A76:A79"/>
    <mergeCell ref="A81:A82"/>
    <mergeCell ref="A87:A90"/>
  </mergeCells>
  <drawing r:id="rId2"/>
  <legacyDrawing r:id="rId3"/>
</worksheet>
</file>